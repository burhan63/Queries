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emium\Premium\Raheel Malik\02-Dec-2024\"/>
    </mc:Choice>
  </mc:AlternateContent>
  <xr:revisionPtr revIDLastSave="0" documentId="13_ncr:1_{2010A1A2-CFEE-4ECC-A4CF-EA4230F17ECE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Payment" sheetId="1" r:id="rId1"/>
    <sheet name="working" sheetId="3" r:id="rId2"/>
    <sheet name="Sheet2" sheetId="4" r:id="rId3"/>
    <sheet name="policy" sheetId="5" r:id="rId4"/>
    <sheet name="Cancelaltion cases" sheetId="2" r:id="rId5"/>
  </sheets>
  <definedNames>
    <definedName name="_xlnm._FilterDatabase" localSheetId="4" hidden="1">'Cancelaltion cases'!$A$1:$AM$136</definedName>
    <definedName name="_xlnm._FilterDatabase" localSheetId="2" hidden="1">Sheet2!$H$1:$H$335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3" l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C336" i="3"/>
  <c r="D336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2" i="3"/>
  <c r="F2" i="3"/>
  <c r="D2" i="3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2" i="4"/>
  <c r="H2" i="3" l="1"/>
  <c r="AN2" i="1" l="1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0" i="1"/>
  <c r="AN201" i="1"/>
  <c r="AN202" i="1"/>
  <c r="AN203" i="1"/>
  <c r="AN204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N221" i="1"/>
  <c r="AN222" i="1"/>
  <c r="AN223" i="1"/>
  <c r="AN224" i="1"/>
  <c r="AN225" i="1"/>
  <c r="AN226" i="1"/>
  <c r="AN227" i="1"/>
  <c r="AN228" i="1"/>
  <c r="AN229" i="1"/>
  <c r="AN230" i="1"/>
  <c r="AN231" i="1"/>
  <c r="AN232" i="1"/>
  <c r="AN233" i="1"/>
  <c r="AN234" i="1"/>
  <c r="AN235" i="1"/>
  <c r="AN236" i="1"/>
  <c r="AN237" i="1"/>
  <c r="AN238" i="1"/>
  <c r="AN239" i="1"/>
  <c r="AN240" i="1"/>
  <c r="AN241" i="1"/>
  <c r="AN242" i="1"/>
  <c r="AN243" i="1"/>
  <c r="AN244" i="1"/>
  <c r="AN245" i="1"/>
  <c r="AN246" i="1"/>
  <c r="AN247" i="1"/>
  <c r="AN248" i="1"/>
  <c r="AN249" i="1"/>
  <c r="AN250" i="1"/>
  <c r="AN251" i="1"/>
  <c r="AN252" i="1"/>
  <c r="AN253" i="1"/>
  <c r="AN254" i="1"/>
  <c r="AN255" i="1"/>
  <c r="AN256" i="1"/>
  <c r="AN257" i="1"/>
  <c r="AN258" i="1"/>
  <c r="AN259" i="1"/>
  <c r="AN260" i="1"/>
  <c r="AN261" i="1"/>
  <c r="AN262" i="1"/>
  <c r="AN263" i="1"/>
  <c r="AN264" i="1"/>
  <c r="AN265" i="1"/>
  <c r="AN266" i="1"/>
  <c r="AN267" i="1"/>
  <c r="AN268" i="1"/>
  <c r="AN269" i="1"/>
  <c r="AN270" i="1"/>
  <c r="AN271" i="1"/>
  <c r="AN272" i="1"/>
  <c r="AN273" i="1"/>
  <c r="AN274" i="1"/>
  <c r="AN275" i="1"/>
  <c r="AN276" i="1"/>
  <c r="AN277" i="1"/>
  <c r="AN278" i="1"/>
  <c r="AN279" i="1"/>
  <c r="AN280" i="1"/>
  <c r="AN281" i="1"/>
  <c r="AN282" i="1"/>
  <c r="AN283" i="1"/>
  <c r="AN284" i="1"/>
  <c r="AN285" i="1"/>
  <c r="AN286" i="1"/>
  <c r="AN287" i="1"/>
  <c r="AN288" i="1"/>
  <c r="AN289" i="1"/>
  <c r="AN290" i="1"/>
  <c r="AN291" i="1"/>
  <c r="AN292" i="1"/>
  <c r="AN293" i="1"/>
  <c r="AN294" i="1"/>
  <c r="AN295" i="1"/>
  <c r="AN296" i="1"/>
  <c r="AN297" i="1"/>
  <c r="AN298" i="1"/>
  <c r="AN299" i="1"/>
  <c r="AN300" i="1"/>
  <c r="AN301" i="1"/>
  <c r="AN302" i="1"/>
  <c r="AN303" i="1"/>
  <c r="AN304" i="1"/>
  <c r="AN305" i="1"/>
  <c r="AN306" i="1"/>
  <c r="AN307" i="1"/>
  <c r="AN308" i="1"/>
  <c r="AN309" i="1"/>
  <c r="AN310" i="1"/>
  <c r="AN311" i="1"/>
  <c r="AN312" i="1"/>
  <c r="AN313" i="1"/>
  <c r="AN314" i="1"/>
  <c r="AN315" i="1"/>
  <c r="AN316" i="1"/>
  <c r="AN317" i="1"/>
  <c r="AN318" i="1"/>
  <c r="AN319" i="1"/>
  <c r="AN320" i="1"/>
  <c r="AN321" i="1"/>
  <c r="AN322" i="1"/>
  <c r="AN323" i="1"/>
  <c r="AN324" i="1"/>
  <c r="AN325" i="1"/>
  <c r="AN326" i="1"/>
  <c r="AN327" i="1"/>
  <c r="AN328" i="1"/>
  <c r="AN329" i="1"/>
  <c r="AN330" i="1"/>
  <c r="AN331" i="1"/>
  <c r="AN332" i="1"/>
  <c r="AN333" i="1"/>
  <c r="AN334" i="1"/>
  <c r="AN335" i="1"/>
  <c r="AH337" i="1" l="1"/>
</calcChain>
</file>

<file path=xl/sharedStrings.xml><?xml version="1.0" encoding="utf-8"?>
<sst xmlns="http://schemas.openxmlformats.org/spreadsheetml/2006/main" count="15462" uniqueCount="6907">
  <si>
    <t>Sr.</t>
  </si>
  <si>
    <t>Status</t>
  </si>
  <si>
    <t>Contract No.</t>
  </si>
  <si>
    <t>Status2</t>
  </si>
  <si>
    <t>Insurance Agency</t>
  </si>
  <si>
    <t>Dealer Name</t>
  </si>
  <si>
    <t>Customer Name</t>
  </si>
  <si>
    <t>City</t>
  </si>
  <si>
    <t>CNIC No.</t>
  </si>
  <si>
    <t>Home Phone#</t>
  </si>
  <si>
    <t>Mobile Number</t>
  </si>
  <si>
    <t>Business Phone#</t>
  </si>
  <si>
    <t>Mail Address</t>
  </si>
  <si>
    <t>Finance Amount</t>
  </si>
  <si>
    <t>Car Price</t>
  </si>
  <si>
    <t>Ins. Policy</t>
  </si>
  <si>
    <t>Ins. Expiry Date</t>
  </si>
  <si>
    <t>Engine No.</t>
  </si>
  <si>
    <t>Chassis No.</t>
  </si>
  <si>
    <t>Car Category</t>
  </si>
  <si>
    <t>Reg. No.</t>
  </si>
  <si>
    <t>Car Name</t>
  </si>
  <si>
    <t>Model</t>
  </si>
  <si>
    <t>Contract Booking Date</t>
  </si>
  <si>
    <t>Contract Value Date</t>
  </si>
  <si>
    <t>Contract Maturity Date</t>
  </si>
  <si>
    <t>Purchase Order No.</t>
  </si>
  <si>
    <t>Tenor#2</t>
  </si>
  <si>
    <t>Tracker Company</t>
  </si>
  <si>
    <t>Tracker Reference Number</t>
  </si>
  <si>
    <t>Tracker Installation Date</t>
  </si>
  <si>
    <t xml:space="preserve">Rate </t>
  </si>
  <si>
    <t xml:space="preserve">Sum Insured </t>
  </si>
  <si>
    <t>Premium</t>
  </si>
  <si>
    <t>OLD Contract Ref</t>
  </si>
  <si>
    <t>Remarks-I</t>
  </si>
  <si>
    <t>Remarks-II</t>
  </si>
  <si>
    <t>NORM</t>
  </si>
  <si>
    <t>9976AD1211950014</t>
  </si>
  <si>
    <t>Active</t>
  </si>
  <si>
    <t>T-PAK</t>
  </si>
  <si>
    <t>TOYOTA FAISALABAD</t>
  </si>
  <si>
    <t>MUHAMMAD ASIF</t>
  </si>
  <si>
    <t>Faisalabad</t>
  </si>
  <si>
    <t>33100-5411156-3</t>
  </si>
  <si>
    <t>03217606970</t>
  </si>
  <si>
    <t>03217606970, 03217606970</t>
  </si>
  <si>
    <t xml:space="preserve">H NO P-162 MAIN CHOWK ALI HOUSING C OLONY JHANG ROAD FAISALABAD PK </t>
  </si>
  <si>
    <t/>
  </si>
  <si>
    <t>2A34500</t>
  </si>
  <si>
    <t>9512872</t>
  </si>
  <si>
    <t>NEW</t>
  </si>
  <si>
    <t>TOYOTA YARIS ATIV X CVT 1.5</t>
  </si>
  <si>
    <t>2021</t>
  </si>
  <si>
    <t>14-JUL-2021</t>
  </si>
  <si>
    <t>03-SEP-2021</t>
  </si>
  <si>
    <t>03-Sep-2026</t>
  </si>
  <si>
    <t>OLAFSD0300070634</t>
  </si>
  <si>
    <t>ITECL</t>
  </si>
  <si>
    <t>5370/08/2021</t>
  </si>
  <si>
    <t>25-AUG-2021</t>
  </si>
  <si>
    <t>2%</t>
  </si>
  <si>
    <t>9976AD1232710002</t>
  </si>
  <si>
    <t>PAK SUZUKI MOTOR CO LTD</t>
  </si>
  <si>
    <t>MISBAH BATOOL</t>
  </si>
  <si>
    <t>Rawalpindi</t>
  </si>
  <si>
    <t>37201-9259868-6</t>
  </si>
  <si>
    <t>03327555233</t>
  </si>
  <si>
    <t xml:space="preserve">PLAZA # 10 ORCHARD RD, SECTOR-A,COMMERICAL DHA-2 ISLAMABAD 03327555233 </t>
  </si>
  <si>
    <t>76078/000021/10/2023</t>
  </si>
  <si>
    <t>02-OCT-2024</t>
  </si>
  <si>
    <t>284024</t>
  </si>
  <si>
    <t>1184046</t>
  </si>
  <si>
    <t>SUZUKI ALTO VXL AGS EURO II</t>
  </si>
  <si>
    <t>2023</t>
  </si>
  <si>
    <t>11-OCT-2023</t>
  </si>
  <si>
    <t>11-Oct-2028</t>
  </si>
  <si>
    <t>OLARWP300097295</t>
  </si>
  <si>
    <t>CTRK</t>
  </si>
  <si>
    <t>DIB0035359</t>
  </si>
  <si>
    <t>04-OCT-2023</t>
  </si>
  <si>
    <t>9976AD1212070016</t>
  </si>
  <si>
    <t>SAFIA BASHIR</t>
  </si>
  <si>
    <t>Lahore</t>
  </si>
  <si>
    <t>35404-1497221-2</t>
  </si>
  <si>
    <t>03017982777</t>
  </si>
  <si>
    <t>04236680434</t>
  </si>
  <si>
    <t xml:space="preserve">LAHORE GARRISON ACADEMY FOR BOYS TU FAIL ROAD CAMPUS LAHORE </t>
  </si>
  <si>
    <t>2524/02692/00002/10/2021</t>
  </si>
  <si>
    <t>187796</t>
  </si>
  <si>
    <t>1085753</t>
  </si>
  <si>
    <t>26-JUL-2021</t>
  </si>
  <si>
    <t>27-OCT-2021</t>
  </si>
  <si>
    <t>27-Oct-2026</t>
  </si>
  <si>
    <t>OLALHR300071150</t>
  </si>
  <si>
    <t>DIB0032003</t>
  </si>
  <si>
    <t>04-OCT-2021</t>
  </si>
  <si>
    <t>9976AD1211950016</t>
  </si>
  <si>
    <t>FAISAL AHMAD</t>
  </si>
  <si>
    <t>33100-0218679-7</t>
  </si>
  <si>
    <t>03006635147</t>
  </si>
  <si>
    <t>03006635147, 03006635147</t>
  </si>
  <si>
    <t xml:space="preserve">P-12 ST 1 SHADMAN COLONY NEAR CITY MEGA MART FAISALABAD PK </t>
  </si>
  <si>
    <t>2021/09/CLFTTPCDP01047</t>
  </si>
  <si>
    <t>6R185734</t>
  </si>
  <si>
    <t>NF1AET306H1085750</t>
  </si>
  <si>
    <t>SUZUKI ALTO VXL AGS EURO-II</t>
  </si>
  <si>
    <t>11-OCT-2021</t>
  </si>
  <si>
    <t>11-Oct-2025</t>
  </si>
  <si>
    <t>OLAFSD300070632</t>
  </si>
  <si>
    <t>5473/09/2021</t>
  </si>
  <si>
    <t>9976AD2211180001</t>
  </si>
  <si>
    <t>CHANGAN JHELUM MOTORS</t>
  </si>
  <si>
    <t>ABAIDA LATIF</t>
  </si>
  <si>
    <t>35404-1723467-2</t>
  </si>
  <si>
    <t>03007969570</t>
  </si>
  <si>
    <t xml:space="preserve">SHOP NO 07 GROUND FLOOR SADAT ARCADE WALLAYAT COMPLEX BAHRIA TOWN PH 7 RAWLAPINDI </t>
  </si>
  <si>
    <t>DIB/T/BT/33754/ISB/1021</t>
  </si>
  <si>
    <t>M69U505255</t>
  </si>
  <si>
    <t>M1009190</t>
  </si>
  <si>
    <t>CHANGAN KARVAAN</t>
  </si>
  <si>
    <t>28-APR-2021</t>
  </si>
  <si>
    <t>OLARWP300068075</t>
  </si>
  <si>
    <t>FLCN</t>
  </si>
  <si>
    <t>108582/10/2021</t>
  </si>
  <si>
    <t>01-OCT-2021</t>
  </si>
  <si>
    <t>9976AD1210890010</t>
  </si>
  <si>
    <t>MUHAMMAD NAWAZ</t>
  </si>
  <si>
    <t>Islamabad</t>
  </si>
  <si>
    <t>61101-7100750-7</t>
  </si>
  <si>
    <t>03005750960</t>
  </si>
  <si>
    <t xml:space="preserve">SHOP 9-B ROSE ARCADE G-11 MARKAZ ISLAMABAD </t>
  </si>
  <si>
    <t>DIB/T/BT/33756/ISB/1021</t>
  </si>
  <si>
    <t>U504960</t>
  </si>
  <si>
    <t>1008837</t>
  </si>
  <si>
    <t>CHANGAN KARVAAN PLUS</t>
  </si>
  <si>
    <t>30-MAR-2021</t>
  </si>
  <si>
    <t>21-OCT-2021</t>
  </si>
  <si>
    <t>21-Oct-2026</t>
  </si>
  <si>
    <t>OLAISD300067083</t>
  </si>
  <si>
    <t>TDIDIB0029635</t>
  </si>
  <si>
    <t>06-OCT-2021</t>
  </si>
  <si>
    <t>9976AD1211510006</t>
  </si>
  <si>
    <t>KIA MOTORS KINGS GATE</t>
  </si>
  <si>
    <t>ZUBAID UL HASSAN</t>
  </si>
  <si>
    <t>35301-1959371-7</t>
  </si>
  <si>
    <t xml:space="preserve">PUNJAB EDUCATION FOUNDATION 52 -L GULBERG III LAHORE </t>
  </si>
  <si>
    <t>DIB/T/33758/LHR/1021</t>
  </si>
  <si>
    <t>G4NAMH318860</t>
  </si>
  <si>
    <t>NNAQL51AZKP307432</t>
  </si>
  <si>
    <t>SPORTAGE FWD</t>
  </si>
  <si>
    <t>31-MAY-2021</t>
  </si>
  <si>
    <t>03-NOV-2021</t>
  </si>
  <si>
    <t>03-Nov-2026</t>
  </si>
  <si>
    <t>OLALHR300069013</t>
  </si>
  <si>
    <t>1.75%</t>
  </si>
  <si>
    <t>9976AD1211800009</t>
  </si>
  <si>
    <t>EHSAN ULLAH KHAN</t>
  </si>
  <si>
    <t>42301-1181720-5</t>
  </si>
  <si>
    <t>03248444007</t>
  </si>
  <si>
    <t xml:space="preserve">H.NO 8 GULBERG II LAHORE 0324-8444007 LAHORE </t>
  </si>
  <si>
    <t>56038/00008/10/2021</t>
  </si>
  <si>
    <t>312329</t>
  </si>
  <si>
    <t>513332</t>
  </si>
  <si>
    <t>SPORTAGE AWD</t>
  </si>
  <si>
    <t>29-JUN-2021</t>
  </si>
  <si>
    <t>OLALHR300070015</t>
  </si>
  <si>
    <t>5487/10/2021</t>
  </si>
  <si>
    <t>05-OCT-2021</t>
  </si>
  <si>
    <t>9976AD1211740033</t>
  </si>
  <si>
    <t>HONDA FALCON SIALKOT</t>
  </si>
  <si>
    <t>AKIF ABBAS</t>
  </si>
  <si>
    <t>Sialkot</t>
  </si>
  <si>
    <t>34602-5004905-9</t>
  </si>
  <si>
    <t>03219408040</t>
  </si>
  <si>
    <t xml:space="preserve">ZIANA INDUSTRIES ISLAM NAGAR ROAD P ACCA GARH SIALKOT </t>
  </si>
  <si>
    <t>PL-1021-1101010102-V14-D-00462</t>
  </si>
  <si>
    <t>L12B51002080</t>
  </si>
  <si>
    <t>NFBGN8523MR002765</t>
  </si>
  <si>
    <t>HONDA CITY I-VTEC M/T</t>
  </si>
  <si>
    <t>23-JUN-2021</t>
  </si>
  <si>
    <t>03-Nov-2024</t>
  </si>
  <si>
    <t>OLASKT300069693</t>
  </si>
  <si>
    <t>DIB0032007</t>
  </si>
  <si>
    <t>WACH</t>
  </si>
  <si>
    <t>9976AP1212810009</t>
  </si>
  <si>
    <t>SHADOW MOTORS</t>
  </si>
  <si>
    <t>SYED ALI JAFFER NAQVI</t>
  </si>
  <si>
    <t>Karachi</t>
  </si>
  <si>
    <t>42101-9473365-1</t>
  </si>
  <si>
    <t>03121014890</t>
  </si>
  <si>
    <t>02138771111</t>
  </si>
  <si>
    <t xml:space="preserve">DOW UNIVERSITY HOSPITAL GROUND OJHA CAMP OFFICE SAFOORA GOTH KARACHI </t>
  </si>
  <si>
    <t>56038/00071/10/2021</t>
  </si>
  <si>
    <t>690501437</t>
  </si>
  <si>
    <t>1L100173D</t>
  </si>
  <si>
    <t>USD</t>
  </si>
  <si>
    <t>CY-9101</t>
  </si>
  <si>
    <t>2020</t>
  </si>
  <si>
    <t>08-OCT-2021</t>
  </si>
  <si>
    <t>11-Oct-2026</t>
  </si>
  <si>
    <t>OLUKHI300074602</t>
  </si>
  <si>
    <t>DIB0032006</t>
  </si>
  <si>
    <t>9976AD2211980007</t>
  </si>
  <si>
    <t>SUZUKI SUMMIT MOTORS PVT LTD.</t>
  </si>
  <si>
    <t>WASEEM HAIDER</t>
  </si>
  <si>
    <t>35201-3439490-1</t>
  </si>
  <si>
    <t>03004252278</t>
  </si>
  <si>
    <t>04235921742</t>
  </si>
  <si>
    <t xml:space="preserve">109/F MAIN BOULEVARD STATE LIFE SOC IETY LAHORE </t>
  </si>
  <si>
    <t>2524/02692/0005/10/2021</t>
  </si>
  <si>
    <t>221437</t>
  </si>
  <si>
    <t>10121456</t>
  </si>
  <si>
    <t>SUZUKI WA GONR VXL</t>
  </si>
  <si>
    <t>17-JUL-2021</t>
  </si>
  <si>
    <t>OLALHR300070905</t>
  </si>
  <si>
    <t>DIB0032013</t>
  </si>
  <si>
    <t>9976AD2211960006</t>
  </si>
  <si>
    <t>HAMZA JAVAID</t>
  </si>
  <si>
    <t>35202-0424391-9</t>
  </si>
  <si>
    <t>03214251488</t>
  </si>
  <si>
    <t>04232174604</t>
  </si>
  <si>
    <t xml:space="preserve">136-MB 4TH FLOOR J BLOCK DHA PHASE 6 LAHORE </t>
  </si>
  <si>
    <t>2524/02692/00041/10/2021</t>
  </si>
  <si>
    <t>6R183797</t>
  </si>
  <si>
    <t>1084378</t>
  </si>
  <si>
    <t>ALTO VXL EURO II</t>
  </si>
  <si>
    <t>15-JUL-2021</t>
  </si>
  <si>
    <t>OLALHR300070758</t>
  </si>
  <si>
    <t>5485/10/2021</t>
  </si>
  <si>
    <t>9976AD1211110019</t>
  </si>
  <si>
    <t>HONDA GUJRANWALA</t>
  </si>
  <si>
    <t>JAVED IQBAL</t>
  </si>
  <si>
    <t>Gujranwala</t>
  </si>
  <si>
    <t>38402-4769167-5</t>
  </si>
  <si>
    <t>03215912021</t>
  </si>
  <si>
    <t xml:space="preserve">AUTO MKT SIALKOT ROAD LINK TEHSIL R OAD NEAR TEHSIL OFFICE GUJRANWALA </t>
  </si>
  <si>
    <t>2021-10-205-V01501OP0002385</t>
  </si>
  <si>
    <t>L12B51002904</t>
  </si>
  <si>
    <t>NFBGN8625MR003933</t>
  </si>
  <si>
    <t>HONDA CITY IVTEC P/T</t>
  </si>
  <si>
    <t>21-APR-2021</t>
  </si>
  <si>
    <t>21-Oct-2024</t>
  </si>
  <si>
    <t>OLAGWL300068050</t>
  </si>
  <si>
    <t>DIB0032017</t>
  </si>
  <si>
    <t>9976AD1211830096</t>
  </si>
  <si>
    <t>IMRAN ALI</t>
  </si>
  <si>
    <t>35201-9659682-3</t>
  </si>
  <si>
    <t>03214570085</t>
  </si>
  <si>
    <t xml:space="preserve">SHOP NO 1 MADINA MARKET DAKKHANA BA TAPUR JALLO MORE NEAR KHALID ABID M EDICAL STORE LAHORE </t>
  </si>
  <si>
    <t>2021-10-205-V01501OP0002387</t>
  </si>
  <si>
    <t>PK10B220862</t>
  </si>
  <si>
    <t>10120866</t>
  </si>
  <si>
    <t>SUZUKI WAGON R VXL</t>
  </si>
  <si>
    <t>02-JUL-2021</t>
  </si>
  <si>
    <t>OLALHR300070342</t>
  </si>
  <si>
    <t>5488/10/2021</t>
  </si>
  <si>
    <t>9976AD1212250009</t>
  </si>
  <si>
    <t>TOYOTA LAYALPUR MOTOR</t>
  </si>
  <si>
    <t>KHURAM ASLAM</t>
  </si>
  <si>
    <t>33100-5280143-7</t>
  </si>
  <si>
    <t>03137228656</t>
  </si>
  <si>
    <t xml:space="preserve">HOUSE NO.121, STREET NO.04, RAZA ABAD BAZAT 03, FASISALABAD CELL NO:0313-7228656 </t>
  </si>
  <si>
    <t>DIB/T/BT/33717/LHR/0921</t>
  </si>
  <si>
    <t>2A37296</t>
  </si>
  <si>
    <t>7023330</t>
  </si>
  <si>
    <t>TOYATA YARIS AITV CVT 1.3</t>
  </si>
  <si>
    <t>13-AUG-2021</t>
  </si>
  <si>
    <t>OLAFSD300071796</t>
  </si>
  <si>
    <t>DIB0031912</t>
  </si>
  <si>
    <t>9976AD1212390014</t>
  </si>
  <si>
    <t>MUHAMMAD AKRAM</t>
  </si>
  <si>
    <t>33100-2251475-3</t>
  </si>
  <si>
    <t>03237676483</t>
  </si>
  <si>
    <t>03237676483, 03237676483</t>
  </si>
  <si>
    <t xml:space="preserve">H NO 131 B BLOCK LIAQAT TOWN FAISALABAD PK </t>
  </si>
  <si>
    <t>DIB/T/BT/33757/LHR/1021</t>
  </si>
  <si>
    <t>2A37797</t>
  </si>
  <si>
    <t>9514013</t>
  </si>
  <si>
    <t>TOYOTA YARIS ATIV X CVT</t>
  </si>
  <si>
    <t>27-AUG-2021</t>
  </si>
  <si>
    <t>11-Oct-2024</t>
  </si>
  <si>
    <t>OLAFSD300072458</t>
  </si>
  <si>
    <t>DIB0032001</t>
  </si>
  <si>
    <t>9976AD1212420005</t>
  </si>
  <si>
    <t>TOYOTA CENTRAL MOTORS</t>
  </si>
  <si>
    <t>RIAZ AHMED</t>
  </si>
  <si>
    <t>42301-3237044-9</t>
  </si>
  <si>
    <t>00966544056631</t>
  </si>
  <si>
    <t xml:space="preserve">BUILDING NO.284 HAI ALWAZARAT KSA RIYADH HAI ALWAZARAT 11564 SAUDIA ARABIA </t>
  </si>
  <si>
    <t>PL-1021-1101010102-V14-D-00464</t>
  </si>
  <si>
    <t>A352653</t>
  </si>
  <si>
    <t>ZE172R-7051829</t>
  </si>
  <si>
    <t>RDA</t>
  </si>
  <si>
    <t>COROLLA ALTIS GRANDE CVT</t>
  </si>
  <si>
    <t>30-AUG-2021</t>
  </si>
  <si>
    <t>OLAKHI300072688</t>
  </si>
  <si>
    <t>DIB0031910</t>
  </si>
  <si>
    <t>29-SEP-2021</t>
  </si>
  <si>
    <t>1.4%</t>
  </si>
  <si>
    <t>9976AD1212120088</t>
  </si>
  <si>
    <t>CHANGAN YAZDANI MOTORS</t>
  </si>
  <si>
    <t>LIAQUAT ALI</t>
  </si>
  <si>
    <t>42201-0256366-7</t>
  </si>
  <si>
    <t>03222042469</t>
  </si>
  <si>
    <t>02135064445</t>
  </si>
  <si>
    <t xml:space="preserve">PLOT # 27 SEC 23 KORANGI INDUSTRIAL ARERA NEAR SUKI SOUTH KARACHI </t>
  </si>
  <si>
    <t>2524/02692/00009/10/2021</t>
  </si>
  <si>
    <t>JL466Q9M69U505280</t>
  </si>
  <si>
    <t>NKMAAB3D1M1009187</t>
  </si>
  <si>
    <t>CHANGAN KARVAN PLUS</t>
  </si>
  <si>
    <t>31-JUL-2021</t>
  </si>
  <si>
    <t>OLAKHI300071194</t>
  </si>
  <si>
    <t>5477/09/2021</t>
  </si>
  <si>
    <t>30-SEP-2021</t>
  </si>
  <si>
    <t>9976AD2212120023</t>
  </si>
  <si>
    <t>SUZUKI RACECOURSE MOTORS</t>
  </si>
  <si>
    <t>MURAD ALI</t>
  </si>
  <si>
    <t>37405-6776422-1</t>
  </si>
  <si>
    <t>03215052143</t>
  </si>
  <si>
    <t>0512326121</t>
  </si>
  <si>
    <t xml:space="preserve">UNION CONSAL ROAD OPP NEW ISLAMIC M OHIUD DEEN UNIVERSITY NEAR MAIN SIH ISLAMABAD PK </t>
  </si>
  <si>
    <t>01-2110-PO-MTR-PCCM-D-001362</t>
  </si>
  <si>
    <t>186805</t>
  </si>
  <si>
    <t>1086812</t>
  </si>
  <si>
    <t>SUZUKI ALTO VXR EURO II</t>
  </si>
  <si>
    <t>21-Oct-2027</t>
  </si>
  <si>
    <t>OLAISD300071378</t>
  </si>
  <si>
    <t>5494/10/2021</t>
  </si>
  <si>
    <t>9976AD2211510034</t>
  </si>
  <si>
    <t>ABDUL AHAD</t>
  </si>
  <si>
    <t>42201-7837972-7</t>
  </si>
  <si>
    <t>03340313754</t>
  </si>
  <si>
    <t>03340313754, 03122017660</t>
  </si>
  <si>
    <t>02134507660</t>
  </si>
  <si>
    <t xml:space="preserve">ABU ZAID TRAVEL and TOURS PVT LTD SHO P # 9 POPULAR PLAZA OPP DISTRICT and SESSION COURT MALIR MAIN NATIONAL H KARACHI </t>
  </si>
  <si>
    <t>2524/06292/00007/10/2021</t>
  </si>
  <si>
    <t>6R185075</t>
  </si>
  <si>
    <t>NF1AET306H1085049</t>
  </si>
  <si>
    <t>OLAKHI300069137</t>
  </si>
  <si>
    <t>DIB0032002</t>
  </si>
  <si>
    <t>9976AD2211800006</t>
  </si>
  <si>
    <t>MUHAMMAD SHAHZEB KHAN</t>
  </si>
  <si>
    <t>42201-6028139-1</t>
  </si>
  <si>
    <t>0213453442</t>
  </si>
  <si>
    <t>03333114064</t>
  </si>
  <si>
    <t xml:space="preserve">S 1 J BLOCK 2 PECHS NOORANI KABAB KARACHI </t>
  </si>
  <si>
    <t>2524/02692/00006/10/2021</t>
  </si>
  <si>
    <t>186714</t>
  </si>
  <si>
    <t>10086714</t>
  </si>
  <si>
    <t>SUZUKI CULTUS VXR</t>
  </si>
  <si>
    <t>OLAKHI300070136</t>
  </si>
  <si>
    <t>5495/10/2021</t>
  </si>
  <si>
    <t>9976AP1212810007</t>
  </si>
  <si>
    <t>SAEED AUTOS</t>
  </si>
  <si>
    <t>BASIT QAYYUM</t>
  </si>
  <si>
    <t>33100-2045155-1</t>
  </si>
  <si>
    <t>03216612621</t>
  </si>
  <si>
    <t>03216612621, 03216612621</t>
  </si>
  <si>
    <t xml:space="preserve">P-142 SAMUNDRI ROAD SEGHAL CITY FAISALABAD PK </t>
  </si>
  <si>
    <t>56038/00013/10/2021</t>
  </si>
  <si>
    <t>PK10B115726</t>
  </si>
  <si>
    <t>A1L310PK10015730</t>
  </si>
  <si>
    <t>LEE-16-3731</t>
  </si>
  <si>
    <t>SUZUKI WAGONR VXL</t>
  </si>
  <si>
    <t>2016</t>
  </si>
  <si>
    <t>OLUFSD300074693</t>
  </si>
  <si>
    <t>DIB0032024</t>
  </si>
  <si>
    <t>9976AD1212120081</t>
  </si>
  <si>
    <t>FAISAL AKHTAR</t>
  </si>
  <si>
    <t>37405-0555458-1</t>
  </si>
  <si>
    <t>0515708627</t>
  </si>
  <si>
    <t>03215558255</t>
  </si>
  <si>
    <t>0512251891-93</t>
  </si>
  <si>
    <t xml:space="preserve">H NO. 1024 A, ST 01, BLOCK C, NATIONAL POLICE FOUNDATION, ISLAMABAD. </t>
  </si>
  <si>
    <t>01-2110-PO-MTR-PCCM-D-001361</t>
  </si>
  <si>
    <t>186804</t>
  </si>
  <si>
    <t>1086805</t>
  </si>
  <si>
    <t>21-Oct-2028</t>
  </si>
  <si>
    <t>OLAISD300071344</t>
  </si>
  <si>
    <t>5493/10/2021</t>
  </si>
  <si>
    <t>9976AD1212000019</t>
  </si>
  <si>
    <t>NASIR ALI</t>
  </si>
  <si>
    <t>35201-4822544-9</t>
  </si>
  <si>
    <t>03094460040</t>
  </si>
  <si>
    <t xml:space="preserve">STREET NO 1 MANAWAN STOP NEAR LASAN I PHARMA LAHORE PK </t>
  </si>
  <si>
    <t>2021-10-205-V01501OP0002394</t>
  </si>
  <si>
    <t>185038</t>
  </si>
  <si>
    <t>1085041</t>
  </si>
  <si>
    <t>ALTO VXL AGS EURO-II</t>
  </si>
  <si>
    <t>19-JUL-2021</t>
  </si>
  <si>
    <t>OLALHR300070954</t>
  </si>
  <si>
    <t>DIB0032022</t>
  </si>
  <si>
    <t>9976AP1212950001</t>
  </si>
  <si>
    <t>KHALID MOTORS</t>
  </si>
  <si>
    <t>MUBASHIR ALI</t>
  </si>
  <si>
    <t>35202-5513748-1</t>
  </si>
  <si>
    <t>03247842306</t>
  </si>
  <si>
    <t xml:space="preserve">OFFICE NO 3 JOHAR VIEW G-BLOCK JOHA R TOWN LAHORE </t>
  </si>
  <si>
    <t>2524/02692/00019/10/2021</t>
  </si>
  <si>
    <t>221199</t>
  </si>
  <si>
    <t>10121213</t>
  </si>
  <si>
    <t>SUZUKI WAGON R VXL AGS</t>
  </si>
  <si>
    <t>22-OCT-2021</t>
  </si>
  <si>
    <t>OLDLHR300074655</t>
  </si>
  <si>
    <t>DIB0032034</t>
  </si>
  <si>
    <t>12-OCT-2021</t>
  </si>
  <si>
    <t>9976AD2212230007</t>
  </si>
  <si>
    <t>TOYOTA CAPITAL MOTORS</t>
  </si>
  <si>
    <t>SHAHZAD NAVEED</t>
  </si>
  <si>
    <t>13101-0883937-7</t>
  </si>
  <si>
    <t>03008505212</t>
  </si>
  <si>
    <t xml:space="preserve">PLOT NO 395 396 INDUSTRIAL AREA I-9/3 ISLAMABAD </t>
  </si>
  <si>
    <t>01-2110-PO-MTR-PCCM-D-001360</t>
  </si>
  <si>
    <t>2A38092</t>
  </si>
  <si>
    <t>R-7023894</t>
  </si>
  <si>
    <t>TOYOTA YARIS ATIV CVT 1.3</t>
  </si>
  <si>
    <t>11-AUG-2021</t>
  </si>
  <si>
    <t>OLAISB300071642</t>
  </si>
  <si>
    <t>DIB0032027</t>
  </si>
  <si>
    <t>9976AD1211400016</t>
  </si>
  <si>
    <t>NIRMALA</t>
  </si>
  <si>
    <t>Hyderabad</t>
  </si>
  <si>
    <t>44101-0154353-4</t>
  </si>
  <si>
    <t>03332841080</t>
  </si>
  <si>
    <t xml:space="preserve">FLAT NO 43 4TH FLOOR CHANDNI SHOPPING CENTRE SADDAR CANTT HYDERABAD </t>
  </si>
  <si>
    <t>PL-1021-1101010102-V14-D-00466</t>
  </si>
  <si>
    <t>JL473QFM3CAD517773</t>
  </si>
  <si>
    <t>NKMA2ASE5M1003376</t>
  </si>
  <si>
    <t>CHANGAN ALSVIN 1.5L LUMIERE</t>
  </si>
  <si>
    <t>20-MAY-2021</t>
  </si>
  <si>
    <t>OLAHYD300068773</t>
  </si>
  <si>
    <t>5483/10/2021</t>
  </si>
  <si>
    <t>9976AD1212250015</t>
  </si>
  <si>
    <t>TOYOTA ISLAMABAD MOTORS</t>
  </si>
  <si>
    <t>HASAN MEHMOOD BUTT</t>
  </si>
  <si>
    <t>61101-8755355-9</t>
  </si>
  <si>
    <t>03212036843</t>
  </si>
  <si>
    <t>0</t>
  </si>
  <si>
    <t xml:space="preserve">H # 13-C ST # 9 SECTOR F-11/1 ISLAMABAD PK </t>
  </si>
  <si>
    <t>DIB/T/BT/33764/ISB/1021</t>
  </si>
  <si>
    <t>2A37485</t>
  </si>
  <si>
    <t>NSP151R-9514082</t>
  </si>
  <si>
    <t>OLAISD300071917</t>
  </si>
  <si>
    <t>TDIDIB0029677</t>
  </si>
  <si>
    <t>9976AD1212250010</t>
  </si>
  <si>
    <t>TOYOTA SOUTHERN MOTORS</t>
  </si>
  <si>
    <t>HARIS AHMED</t>
  </si>
  <si>
    <t>42000-6970640-3</t>
  </si>
  <si>
    <t>03053000454</t>
  </si>
  <si>
    <t>02135374194</t>
  </si>
  <si>
    <t xml:space="preserve">B8 KHY-ERUM BLOCK-13B GULSHAN E IQB AL KARACHI PK </t>
  </si>
  <si>
    <t>56038/00011/10/2021</t>
  </si>
  <si>
    <t>2A37336</t>
  </si>
  <si>
    <t>7023452</t>
  </si>
  <si>
    <t>TOYOTA YARIS GLI CVT 1.3</t>
  </si>
  <si>
    <t>OLAKHI300071817</t>
  </si>
  <si>
    <t>5475/09/2021</t>
  </si>
  <si>
    <t>9976AD1212160152</t>
  </si>
  <si>
    <t>TAHIR HUSSAIN</t>
  </si>
  <si>
    <t>33100-2644226-1</t>
  </si>
  <si>
    <t>03208653379</t>
  </si>
  <si>
    <t xml:space="preserve">343-B EDEN GARDEN FSD </t>
  </si>
  <si>
    <t>2021/10/CLFTTPCDP01114</t>
  </si>
  <si>
    <t>2A37985</t>
  </si>
  <si>
    <t>7023828</t>
  </si>
  <si>
    <t>04-AUG-2021</t>
  </si>
  <si>
    <t>OLASFSD300071601</t>
  </si>
  <si>
    <t>5492/10/2021</t>
  </si>
  <si>
    <t>9976AD1211180015</t>
  </si>
  <si>
    <t>HONDA GATEWAY PVT LTD</t>
  </si>
  <si>
    <t>ASIF ALI</t>
  </si>
  <si>
    <t>35201-1378953-7</t>
  </si>
  <si>
    <t>03004337415</t>
  </si>
  <si>
    <t xml:space="preserve">MAIN CANAL ROAD NEAR LAL PUL MUGHAL PURA LAHORE </t>
  </si>
  <si>
    <t>252403898/10/2021</t>
  </si>
  <si>
    <t>1000984</t>
  </si>
  <si>
    <t>003623</t>
  </si>
  <si>
    <t>HONDA CITY ASPIRE</t>
  </si>
  <si>
    <t>OLALHR300068212</t>
  </si>
  <si>
    <t>DIB0032031</t>
  </si>
  <si>
    <t>07-OCT-2021</t>
  </si>
  <si>
    <t>9976AP1212880037</t>
  </si>
  <si>
    <t>TOYOTA AIRPORT MOTOR</t>
  </si>
  <si>
    <t>ANSAR ALI</t>
  </si>
  <si>
    <t>35201-0874888-1</t>
  </si>
  <si>
    <t>03213943808</t>
  </si>
  <si>
    <t xml:space="preserve">PL 51 SIDDIQ TRADE CENTER GULBERG I I LAHORE </t>
  </si>
  <si>
    <t>2524/02692/00012/10/2021</t>
  </si>
  <si>
    <t>Q352901</t>
  </si>
  <si>
    <t>7052057</t>
  </si>
  <si>
    <t>TOYOTA COROLLA ALTIS GRANDE</t>
  </si>
  <si>
    <t>15-OCT-2021</t>
  </si>
  <si>
    <t>OLDLHR300074666</t>
  </si>
  <si>
    <t>DIB0032023</t>
  </si>
  <si>
    <t>9976AD1211830098</t>
  </si>
  <si>
    <t>MG CENTER</t>
  </si>
  <si>
    <t>MUHAMMAD AHSAN</t>
  </si>
  <si>
    <t>33100-0579077-5</t>
  </si>
  <si>
    <t>0418523339</t>
  </si>
  <si>
    <t>03218661622</t>
  </si>
  <si>
    <t>0412696716</t>
  </si>
  <si>
    <t xml:space="preserve">HOUSE NO 41 AHMAD STREET MOHALLAH KHAYIBAN COLONY NO 1 NEAR PRIME CARE HOSPITAL FAISALABAD. </t>
  </si>
  <si>
    <t>DIB/T/BT/33708/FSD/0921</t>
  </si>
  <si>
    <t>5MGM6180193</t>
  </si>
  <si>
    <t>MN110733</t>
  </si>
  <si>
    <t>MG MOTORS MG HS TURBO</t>
  </si>
  <si>
    <t>21-Oct-2025</t>
  </si>
  <si>
    <t>OLAFSD300070368</t>
  </si>
  <si>
    <t>TDIDIB0029645</t>
  </si>
  <si>
    <t>9976AD1212100029</t>
  </si>
  <si>
    <t>KIA MACCA MOTORS</t>
  </si>
  <si>
    <t>MUHAMMAD RAFIQ</t>
  </si>
  <si>
    <t>42201-0733928-5</t>
  </si>
  <si>
    <t>N/A</t>
  </si>
  <si>
    <t>0300-8229541</t>
  </si>
  <si>
    <t>34944352</t>
  </si>
  <si>
    <t xml:space="preserve">FLAT# D-2 JAN KABIR REDENCY PLOT# 160/0 BLOCK-3 PECHS NEAR PECHS GOVT BOYS COLLEGE KARACHI </t>
  </si>
  <si>
    <t>56038/00010/10/2021</t>
  </si>
  <si>
    <t>G4NAMH3105350</t>
  </si>
  <si>
    <t>NNAQL51AZKP512857</t>
  </si>
  <si>
    <t>KIA SPORTAGE AWD</t>
  </si>
  <si>
    <t>29-JUL-2021</t>
  </si>
  <si>
    <t>OLAKHI300071316</t>
  </si>
  <si>
    <t>9976AP2222800007</t>
  </si>
  <si>
    <t>AL-QURASH MOTORS</t>
  </si>
  <si>
    <t>NASIR KHAN</t>
  </si>
  <si>
    <t>21201-4848113-5</t>
  </si>
  <si>
    <t>03218265003 0308-5999985</t>
  </si>
  <si>
    <t>32734422</t>
  </si>
  <si>
    <t xml:space="preserve">FLAT# 103 BLOCK-B IST FLOOR NAZ PLAZA M A JINNAH ROAD NEAR NISHAT CINEMA KARACHI </t>
  </si>
  <si>
    <t>64081/000006/10/2022</t>
  </si>
  <si>
    <t>6R123909</t>
  </si>
  <si>
    <t>1023608</t>
  </si>
  <si>
    <t>AAW-884</t>
  </si>
  <si>
    <t>SUZUKI ALTO VXR AGS EURO II</t>
  </si>
  <si>
    <t>2019</t>
  </si>
  <si>
    <t>07-OCT-2022</t>
  </si>
  <si>
    <t>11-OCT-2022</t>
  </si>
  <si>
    <t>OLULHR300090255</t>
  </si>
  <si>
    <t>ITFT</t>
  </si>
  <si>
    <t>8955/10/2022/ITFM</t>
  </si>
  <si>
    <t>06-OCT-2022</t>
  </si>
  <si>
    <t>9976AD1213620030</t>
  </si>
  <si>
    <t>SHAHZARA ABID</t>
  </si>
  <si>
    <t>61101-6668987-8</t>
  </si>
  <si>
    <t>03215099485</t>
  </si>
  <si>
    <t xml:space="preserve">H # 480 ST # 67 SECTOR I-8/3 ISLAMABAD PK </t>
  </si>
  <si>
    <t>64081/00005/10/2022</t>
  </si>
  <si>
    <t>100624</t>
  </si>
  <si>
    <t>6077924</t>
  </si>
  <si>
    <t>TOYOTA COROLLA ALTIS A/T</t>
  </si>
  <si>
    <t>2022</t>
  </si>
  <si>
    <t>28-DEC-2021</t>
  </si>
  <si>
    <t>11-Oct-2027</t>
  </si>
  <si>
    <t>OLAISD300082495</t>
  </si>
  <si>
    <t>ITFM</t>
  </si>
  <si>
    <t>8941/10/2022/ITFM</t>
  </si>
  <si>
    <t>9976AD1212090003</t>
  </si>
  <si>
    <t>SALAMAT LATIF</t>
  </si>
  <si>
    <t>33102-8605139-7</t>
  </si>
  <si>
    <t>0418753867</t>
  </si>
  <si>
    <t>03007913402, 03007913402</t>
  </si>
  <si>
    <t>03007913402</t>
  </si>
  <si>
    <t xml:space="preserve">H NO P-05 ST NO 03 GHAZI ABAD NO 01 MILLAT ROAD FAISALABAD PK </t>
  </si>
  <si>
    <t>DIB/T/BT/33759/LHR/1021</t>
  </si>
  <si>
    <t>186632</t>
  </si>
  <si>
    <t>10086600</t>
  </si>
  <si>
    <t>CULTUS VXL</t>
  </si>
  <si>
    <t>28-JUL-2021</t>
  </si>
  <si>
    <t>OLAFSD300071183</t>
  </si>
  <si>
    <t>DIB0032012</t>
  </si>
  <si>
    <t>9976AD1212120109</t>
  </si>
  <si>
    <t>FATIMA SYED</t>
  </si>
  <si>
    <t>37406-6812273-4</t>
  </si>
  <si>
    <t>03325621994</t>
  </si>
  <si>
    <t>0518441376</t>
  </si>
  <si>
    <t xml:space="preserve">H # 27 (FIRST FLOOR ) ST # 5 SECTOR # D DHA 1 NEAR DHA AVENUE MALL RAWALPINDI PK </t>
  </si>
  <si>
    <t>01-2110-PO-MTR-PCCM-D-001368</t>
  </si>
  <si>
    <t>183915</t>
  </si>
  <si>
    <t>10083928</t>
  </si>
  <si>
    <t>SUZUKI CULTUS VXL AGS EURO II</t>
  </si>
  <si>
    <t>OLARWP300071536</t>
  </si>
  <si>
    <t>5506/10/2021</t>
  </si>
  <si>
    <t>9976AD1212110035</t>
  </si>
  <si>
    <t>SUZUKI GUJRANWALA MOTOR</t>
  </si>
  <si>
    <t>MUHAMMAD ZAKIR MAHMOOD-ASAAN ACCOUN</t>
  </si>
  <si>
    <t>34101-2511164-5</t>
  </si>
  <si>
    <t>0300300884 03009646209</t>
  </si>
  <si>
    <t>554215233</t>
  </si>
  <si>
    <t xml:space="preserve">CIRCULAR ROAD LOHA BAZAR KHALID MAHMOOD IRON MERCHANT GRW 03000300884/03009646209 </t>
  </si>
  <si>
    <t>56038/00016/10/2021</t>
  </si>
  <si>
    <t>PK10K186803</t>
  </si>
  <si>
    <t>NF1AVK31H10086799</t>
  </si>
  <si>
    <t>CULTUS VXL EURO-II</t>
  </si>
  <si>
    <t>30-JUL-2021</t>
  </si>
  <si>
    <t>OLAGWL300071242</t>
  </si>
  <si>
    <t>5502/10/2021</t>
  </si>
  <si>
    <t>9976AD2212070001</t>
  </si>
  <si>
    <t>SUFYAN</t>
  </si>
  <si>
    <t>34601-8191304-5</t>
  </si>
  <si>
    <t>03206866952</t>
  </si>
  <si>
    <t xml:space="preserve">STREET NO 2 HASHMI COLONY MUHAMMADI PARK GUJRANWALA </t>
  </si>
  <si>
    <t>56038/00014/10/2021</t>
  </si>
  <si>
    <t>2A37897</t>
  </si>
  <si>
    <t>R-7023788</t>
  </si>
  <si>
    <t>YARIS GLI CVT 1.3</t>
  </si>
  <si>
    <t>OLAGWL300070945</t>
  </si>
  <si>
    <t>5500/10/2021</t>
  </si>
  <si>
    <t>9976AD1212090006</t>
  </si>
  <si>
    <t>KIA CLIFTON</t>
  </si>
  <si>
    <t>ZAMAN ZED</t>
  </si>
  <si>
    <t>41303-2362189-9</t>
  </si>
  <si>
    <t>03163029266,03313567600</t>
  </si>
  <si>
    <t xml:space="preserve">M/S RAHAT PETROLIUM SERVICE NEAR NEW INDUS BRIDGE BY PASS HYDERABAD </t>
  </si>
  <si>
    <t>DIB/T/BT/33774/HYD/1021</t>
  </si>
  <si>
    <t>306026</t>
  </si>
  <si>
    <t>513039</t>
  </si>
  <si>
    <t>KIA SPORTGE AWD</t>
  </si>
  <si>
    <t>OLAHYD300070985</t>
  </si>
  <si>
    <t>9976AP1212930013</t>
  </si>
  <si>
    <t>H.N. MOTORS</t>
  </si>
  <si>
    <t>MANZOOR SHAHEEN RUPAL</t>
  </si>
  <si>
    <t>35201-1513681-3</t>
  </si>
  <si>
    <t>03000773331</t>
  </si>
  <si>
    <t xml:space="preserve">278 R DHA PHASE 2 LAHORE 03000773331 </t>
  </si>
  <si>
    <t>56038/00018/10/2021</t>
  </si>
  <si>
    <t>318184</t>
  </si>
  <si>
    <t>513534</t>
  </si>
  <si>
    <t>20-OCT-2021</t>
  </si>
  <si>
    <t>OLDLHR300074733</t>
  </si>
  <si>
    <t>5501/10/2021</t>
  </si>
  <si>
    <t>9976AD1212430085</t>
  </si>
  <si>
    <t>FAZAL ULLAH NOONARI</t>
  </si>
  <si>
    <t>41306-0439472-3</t>
  </si>
  <si>
    <t>03008371215</t>
  </si>
  <si>
    <t>0223411264</t>
  </si>
  <si>
    <t xml:space="preserve">B.NO RHS MAIN AUTO BHAN ROAD LATIFA BAD # 3 NEAR TANDORI GRILL HYD HYDERABAD </t>
  </si>
  <si>
    <t>2021/10/CLFTTPCDP01118</t>
  </si>
  <si>
    <t>G4NAMH312305</t>
  </si>
  <si>
    <t>NNAQL51AZKP513369</t>
  </si>
  <si>
    <t>31-AUG-2021</t>
  </si>
  <si>
    <t>OLAHYD300072861</t>
  </si>
  <si>
    <t>9976AP1222840011</t>
  </si>
  <si>
    <t>CRESENT CAR COMPANY</t>
  </si>
  <si>
    <t>MUHAMMAD AHMAD KHAN</t>
  </si>
  <si>
    <t>42501-1030528-9</t>
  </si>
  <si>
    <t>03344317595</t>
  </si>
  <si>
    <t>03214305069, 03344317595</t>
  </si>
  <si>
    <t xml:space="preserve">H NO 751 ST NO 46 OVERSEAS-B BLOCK BAHRIA TOWN LAHORE PK </t>
  </si>
  <si>
    <t>64081/00007/10/2022</t>
  </si>
  <si>
    <t>726340</t>
  </si>
  <si>
    <t>01264862</t>
  </si>
  <si>
    <t>LEH-19-3401</t>
  </si>
  <si>
    <t>SUZUKI MEHRAN VX-EURO II</t>
  </si>
  <si>
    <t>OLULHR300090256</t>
  </si>
  <si>
    <t>8983/10/2022/ITFM</t>
  </si>
  <si>
    <t>10-OCT-2022</t>
  </si>
  <si>
    <t>9976AP1222850015</t>
  </si>
  <si>
    <t>AL JANAT MOTORS</t>
  </si>
  <si>
    <t>MUHAMMAD BASHIR AHMAD</t>
  </si>
  <si>
    <t>35202-2945108-9</t>
  </si>
  <si>
    <t>03234570218</t>
  </si>
  <si>
    <t xml:space="preserve">58-A NESPAK PHASE 2 CANAL ROAD NEAR IZMIR TOWN LAHORE </t>
  </si>
  <si>
    <t>64081/00008/10/2022</t>
  </si>
  <si>
    <t>082806</t>
  </si>
  <si>
    <t>6060283</t>
  </si>
  <si>
    <t>AHK-714</t>
  </si>
  <si>
    <t>12-OCT-2022</t>
  </si>
  <si>
    <t>21-OCT-2022</t>
  </si>
  <si>
    <t>OLULHR300090273</t>
  </si>
  <si>
    <t>8961/10/2022/ITFM</t>
  </si>
  <si>
    <t>08-OCT-2022</t>
  </si>
  <si>
    <t>9976AD2211940005</t>
  </si>
  <si>
    <t>MUHAMMAD IRFAN</t>
  </si>
  <si>
    <t>33104-8750479-9</t>
  </si>
  <si>
    <t>03006602180</t>
  </si>
  <si>
    <t>03006602180, 03006602180</t>
  </si>
  <si>
    <t>0412640799</t>
  </si>
  <si>
    <t xml:space="preserve">HOUSE NO P-01 CHAK NO 194 RB ST 04 MAIN BAZAR KHURRIANWALA ROAD LATIAN FAISALABAD PK </t>
  </si>
  <si>
    <t>2021/10/CLFTTPCDP01110</t>
  </si>
  <si>
    <t>186485</t>
  </si>
  <si>
    <t>1086491</t>
  </si>
  <si>
    <t>SUZUKI ALTO VXE EURO II</t>
  </si>
  <si>
    <t>13-JUL-2021</t>
  </si>
  <si>
    <t>OLAFSD300070633</t>
  </si>
  <si>
    <t>5498/10/2021</t>
  </si>
  <si>
    <t>9976AD1212070007</t>
  </si>
  <si>
    <t>SYED ZULFIQAR ALI NAQVI</t>
  </si>
  <si>
    <t>33100-2522268-7</t>
  </si>
  <si>
    <t>03007649820</t>
  </si>
  <si>
    <t>0418797972</t>
  </si>
  <si>
    <t xml:space="preserve">P-372 STREET NO 8 FAREED CHOWK SIDDIQUE AKBAR TOWN FAISALABAD </t>
  </si>
  <si>
    <t>2021/10/CLFTTPCDP01206</t>
  </si>
  <si>
    <t>190187</t>
  </si>
  <si>
    <t>1090159</t>
  </si>
  <si>
    <t>SUZUKI ALTO VXR</t>
  </si>
  <si>
    <t>11-NOV-2021</t>
  </si>
  <si>
    <t>11-Nov-2027</t>
  </si>
  <si>
    <t>OLASFSD300070662</t>
  </si>
  <si>
    <t>DIB0032362</t>
  </si>
  <si>
    <t>08-NOV-2021</t>
  </si>
  <si>
    <t>9976AD2211800004</t>
  </si>
  <si>
    <t>SUZUKI MEHRAN MOTORS</t>
  </si>
  <si>
    <t>AZRA PERVEEN</t>
  </si>
  <si>
    <t>Nawab Shah</t>
  </si>
  <si>
    <t>45402-0889568-6</t>
  </si>
  <si>
    <t>03337888993</t>
  </si>
  <si>
    <t xml:space="preserve">HOUSE # 05 BLOCK 10 POLICE LINE NAW AB SHAH POLICE HEAD QUARTER NEAR PO NAWABSHAH PK </t>
  </si>
  <si>
    <t>DIB/T/BT/33776/HYD/1021</t>
  </si>
  <si>
    <t>186025</t>
  </si>
  <si>
    <t>10086003</t>
  </si>
  <si>
    <t>OLANWB300069850</t>
  </si>
  <si>
    <t>DIB0032014</t>
  </si>
  <si>
    <t>9976AD1212110040</t>
  </si>
  <si>
    <t>TOYOTA WALTON MOTORS</t>
  </si>
  <si>
    <t>35201-9667854-3</t>
  </si>
  <si>
    <t>03218400571</t>
  </si>
  <si>
    <t>04235292905</t>
  </si>
  <si>
    <t xml:space="preserve">PLOT NO 1 SAMSANI ROAD NEAR SUPARCO HANJARWAL LAHORE </t>
  </si>
  <si>
    <t>2524/02692/00031/10/2021</t>
  </si>
  <si>
    <t>2A37466</t>
  </si>
  <si>
    <t>7023746</t>
  </si>
  <si>
    <t>OLALHR300071282</t>
  </si>
  <si>
    <t>DIB0032067</t>
  </si>
  <si>
    <t>09-OCT-2021</t>
  </si>
  <si>
    <t>9976AP2222850010</t>
  </si>
  <si>
    <t>KIA MOTORS FESTIVAL CITY</t>
  </si>
  <si>
    <t>ARSHIA SHUJAAT</t>
  </si>
  <si>
    <t>35202-2412910-6</t>
  </si>
  <si>
    <t>03024545012</t>
  </si>
  <si>
    <t xml:space="preserve">H NO 192-M BLOCK SABZAZAR MULTAN RO AD NEAR MAKKAH CHOWK NEAR NEW KASHM LAHORE PK </t>
  </si>
  <si>
    <t>64081/00009/10/2022</t>
  </si>
  <si>
    <t>879013</t>
  </si>
  <si>
    <t>701994</t>
  </si>
  <si>
    <t>KIA STONIC EX+</t>
  </si>
  <si>
    <t>OLDLHR300090252</t>
  </si>
  <si>
    <t>8969/10/2022/ITFM</t>
  </si>
  <si>
    <t>9976AD1221130013</t>
  </si>
  <si>
    <t>ALEEM MERAJ</t>
  </si>
  <si>
    <t>33102-8497767-1</t>
  </si>
  <si>
    <t>03008820112</t>
  </si>
  <si>
    <t>03008820112, 03008820112</t>
  </si>
  <si>
    <t xml:space="preserve">P-411 A BLOCK SUMANDRI ROAD SEHGAL CITY FAISALABAD FAISALABAD PK </t>
  </si>
  <si>
    <t>64081/00014/10/2022</t>
  </si>
  <si>
    <t>6R250106</t>
  </si>
  <si>
    <t>1150131</t>
  </si>
  <si>
    <t>23-APR-2022</t>
  </si>
  <si>
    <t>OLAFSD300086807</t>
  </si>
  <si>
    <t>8977/10/2022/ITFM</t>
  </si>
  <si>
    <t>9976AD2222730003</t>
  </si>
  <si>
    <t>CHANGAN BILAL AUTOMOBILES</t>
  </si>
  <si>
    <t>HAFIZ MUHAMMAD ADEEL-ASAAN ACCOUNT</t>
  </si>
  <si>
    <t>35202-5634147-1</t>
  </si>
  <si>
    <t>03234859490</t>
  </si>
  <si>
    <t xml:space="preserve">8-C HAIDER PARK SHAD BAGH LAHORE </t>
  </si>
  <si>
    <t>64081/00010/10/2022</t>
  </si>
  <si>
    <t>509198</t>
  </si>
  <si>
    <t>1009958</t>
  </si>
  <si>
    <t>30-SEP-2022</t>
  </si>
  <si>
    <t>OLALHR300090203</t>
  </si>
  <si>
    <t>8984/10/2022/ITFM</t>
  </si>
  <si>
    <t>9976AD1221600001</t>
  </si>
  <si>
    <t>CHANGAN ADIL ASHRAF MOTORS</t>
  </si>
  <si>
    <t>MALIK MUHAMMAD IMRAN</t>
  </si>
  <si>
    <t>35201-1701117-9</t>
  </si>
  <si>
    <t>03004442933</t>
  </si>
  <si>
    <t xml:space="preserve">OLYMPIC TOWN ST NO 1 MIAN AMEER UD DIN PARK HARBANSPURA LAHORE PK </t>
  </si>
  <si>
    <t>64082/00015/10/2022</t>
  </si>
  <si>
    <t>503746</t>
  </si>
  <si>
    <t>1016716</t>
  </si>
  <si>
    <t>09-JUN-2022</t>
  </si>
  <si>
    <t>OLALHR300087953</t>
  </si>
  <si>
    <t>9013/10/2022</t>
  </si>
  <si>
    <t>9976AD1221100033</t>
  </si>
  <si>
    <t>SOHAIB AHMAD</t>
  </si>
  <si>
    <t>33100-7852626-5</t>
  </si>
  <si>
    <t>03005706076</t>
  </si>
  <si>
    <t>03005706076, 03005706076</t>
  </si>
  <si>
    <t>0414713501</t>
  </si>
  <si>
    <t xml:space="preserve">HOUSE # 18 STREET # 01 PREMIER COLO NY NAZIMABAD FAISALABAD PK </t>
  </si>
  <si>
    <t>64081/00013/10/2022</t>
  </si>
  <si>
    <t>6R250574</t>
  </si>
  <si>
    <t>1150579</t>
  </si>
  <si>
    <t>SUZUKI ALTO VXR EURO-II</t>
  </si>
  <si>
    <t>20-APR-2022</t>
  </si>
  <si>
    <t>OLAFSD300086635</t>
  </si>
  <si>
    <t>8978/10/2022/ITFM</t>
  </si>
  <si>
    <t>9976AP2222900004</t>
  </si>
  <si>
    <t>FAROOQ MOTORS</t>
  </si>
  <si>
    <t>SHABEER AHMED</t>
  </si>
  <si>
    <t>35301-7377030-5</t>
  </si>
  <si>
    <t>03084557218</t>
  </si>
  <si>
    <t xml:space="preserve">HOUSE NO 39 40 BLOCK A GEO PARK GREEN TOWN BAGRIAN LAHORE </t>
  </si>
  <si>
    <t>64081/00011/10/2022</t>
  </si>
  <si>
    <t>6R158628</t>
  </si>
  <si>
    <t>1058599</t>
  </si>
  <si>
    <t>AHC-242</t>
  </si>
  <si>
    <t>17-OCT-2022</t>
  </si>
  <si>
    <t>OLULHR300090271</t>
  </si>
  <si>
    <t>8980/10/2022/ITFM</t>
  </si>
  <si>
    <t>9976AD1211960003</t>
  </si>
  <si>
    <t>MUHAMMAD MOAZZAM</t>
  </si>
  <si>
    <t>33100-8719701-3</t>
  </si>
  <si>
    <t>03336622338</t>
  </si>
  <si>
    <t>04235717090</t>
  </si>
  <si>
    <t xml:space="preserve">17-B AZIZ AVENUE UNIT NO 3 CANAL BA NK ROAD GULBERG V LAHORE </t>
  </si>
  <si>
    <t>2021-10-205-V01501OP0002413</t>
  </si>
  <si>
    <t>186483</t>
  </si>
  <si>
    <t>1086250</t>
  </si>
  <si>
    <t>ALTO VXR EURO-II</t>
  </si>
  <si>
    <t>27-Oct-2028</t>
  </si>
  <si>
    <t>OLALHR300070674</t>
  </si>
  <si>
    <t>5509/10/2021</t>
  </si>
  <si>
    <t>9976AD1212080029</t>
  </si>
  <si>
    <t>IKRAM HUSSAIN</t>
  </si>
  <si>
    <t>35202-6342864-7</t>
  </si>
  <si>
    <t>03004456627</t>
  </si>
  <si>
    <t>04235118808</t>
  </si>
  <si>
    <t xml:space="preserve">PLOT NO 1 BLOCK 11-B1 AL MADINA and K ASHMIR ROAD TOWNSHIP LAHORE </t>
  </si>
  <si>
    <t>2021-10-205-V01501OP0002419</t>
  </si>
  <si>
    <t>185481</t>
  </si>
  <si>
    <t>1085473</t>
  </si>
  <si>
    <t>27-JUL-2021</t>
  </si>
  <si>
    <t>03-Nov-2027</t>
  </si>
  <si>
    <t>OLALHR300071163</t>
  </si>
  <si>
    <t>DIB0032076</t>
  </si>
  <si>
    <t>9976AP1212880034</t>
  </si>
  <si>
    <t>SUBHAN MOTORS</t>
  </si>
  <si>
    <t>OSAMA ANWAR RAZA</t>
  </si>
  <si>
    <t>34101-1325863-3</t>
  </si>
  <si>
    <t>03000410440</t>
  </si>
  <si>
    <t xml:space="preserve">MAIN NEEAI CHOWK NEAR FRAZ CLINIC GUJRANWALA </t>
  </si>
  <si>
    <t>PL-1021-1101010102-V14-D-00472</t>
  </si>
  <si>
    <t>Z557156</t>
  </si>
  <si>
    <t>R4182893</t>
  </si>
  <si>
    <t>LED-19-8930</t>
  </si>
  <si>
    <t>TOYOTA COROLLA GLI</t>
  </si>
  <si>
    <t>OLUGWL300074852</t>
  </si>
  <si>
    <t>DIB0032078</t>
  </si>
  <si>
    <t>9976AD2211720002</t>
  </si>
  <si>
    <t>HONDA KHAIR</t>
  </si>
  <si>
    <t>FAHMEEDA MUSTAFA</t>
  </si>
  <si>
    <t>41306-0350417-0</t>
  </si>
  <si>
    <t>03003509074</t>
  </si>
  <si>
    <t xml:space="preserve">HOUSE NO B-12 MUHALLAH NASEEM NAGAR PHASE 1 QASIMABAD HYDERABAD. </t>
  </si>
  <si>
    <t>PL-1021-1101010102-V14-D-00473</t>
  </si>
  <si>
    <t>51002696</t>
  </si>
  <si>
    <t>003711</t>
  </si>
  <si>
    <t>21-JUN-2021</t>
  </si>
  <si>
    <t>OLAHYD300069447</t>
  </si>
  <si>
    <t>DIB0032070</t>
  </si>
  <si>
    <t>9976AP1212860021</t>
  </si>
  <si>
    <t>NEW S.S MOTORS</t>
  </si>
  <si>
    <t>ABDUL SATTAR</t>
  </si>
  <si>
    <t>33100-8134929-7</t>
  </si>
  <si>
    <t>03007966233</t>
  </si>
  <si>
    <t>03007966233, 03007966233</t>
  </si>
  <si>
    <t xml:space="preserve">P-66-D D BLOCK TECH TOWN SATYANA RO AD NEAR ALLIED BANK FAISALABAD PK </t>
  </si>
  <si>
    <t>56038/00023/10/2021</t>
  </si>
  <si>
    <t>PK10K167170</t>
  </si>
  <si>
    <t>10067142</t>
  </si>
  <si>
    <t>ACK-933</t>
  </si>
  <si>
    <t>SUZUKI CULTUS VXL EURO II</t>
  </si>
  <si>
    <t>13-OCT-2021</t>
  </si>
  <si>
    <t>OLUFSD300074858</t>
  </si>
  <si>
    <t>DIB0032075</t>
  </si>
  <si>
    <t>9976AD1212320017</t>
  </si>
  <si>
    <t>HONDA CENTRE</t>
  </si>
  <si>
    <t>TAIMOOR ALI</t>
  </si>
  <si>
    <t>34101-6364661-1</t>
  </si>
  <si>
    <t>03215222518</t>
  </si>
  <si>
    <t>0512745845</t>
  </si>
  <si>
    <t xml:space="preserve">H # 8 JINNAH BOVLEVARD SECTOR E DHA -2 ISLAMABAD PK </t>
  </si>
  <si>
    <t>DIB/T/BT/33819/ISB/1021</t>
  </si>
  <si>
    <t>6926803</t>
  </si>
  <si>
    <t>MR079340</t>
  </si>
  <si>
    <t>CIVIC VTI ORIEL P/T</t>
  </si>
  <si>
    <t>20-AUG-2021</t>
  </si>
  <si>
    <t>27-Oct-2024</t>
  </si>
  <si>
    <t>OLAISD300072088</t>
  </si>
  <si>
    <t>TDIDIB0029692</t>
  </si>
  <si>
    <t>1.5%</t>
  </si>
  <si>
    <t>9976AD2212120033</t>
  </si>
  <si>
    <t>TOYOTA CREEK MOTORS PVT LTD</t>
  </si>
  <si>
    <t>WAJAHAT NADEEM-ASAAN ACCOUNT</t>
  </si>
  <si>
    <t>42101-4429760-5</t>
  </si>
  <si>
    <t xml:space="preserve">FLAT # L-24 AREA AL-AZAM SQUARE LIAQUATABAD KARACHI </t>
  </si>
  <si>
    <t>56038/00025/10/2021</t>
  </si>
  <si>
    <t>2A38033</t>
  </si>
  <si>
    <t>7023889</t>
  </si>
  <si>
    <t>OLAKHI300071525</t>
  </si>
  <si>
    <t>5496/10/2021</t>
  </si>
  <si>
    <t>9976AD1211510027</t>
  </si>
  <si>
    <t>KIA MOTORS CITY OF SAINTS</t>
  </si>
  <si>
    <t>FARRUKH KARIM HASHMI (G)</t>
  </si>
  <si>
    <t>Bahawalpur</t>
  </si>
  <si>
    <t>31202-0269096-5</t>
  </si>
  <si>
    <t>03226159359</t>
  </si>
  <si>
    <t xml:space="preserve">H NO 135 B MODEL TOWN B PO MODEL TOWN B BAHAWAL PUR </t>
  </si>
  <si>
    <t>56038/00024/10/2021</t>
  </si>
  <si>
    <t>G4NAMH312809</t>
  </si>
  <si>
    <t>NNAQL51AZLP101971</t>
  </si>
  <si>
    <t>SPORTAGE ALPHA</t>
  </si>
  <si>
    <t>OLABHP300068934</t>
  </si>
  <si>
    <t>9976AP2222790005</t>
  </si>
  <si>
    <t>MINI MOTORS</t>
  </si>
  <si>
    <t>MUHAMMAD SOHAIL AMJAD</t>
  </si>
  <si>
    <t>35202-2308361-9</t>
  </si>
  <si>
    <t>0300-8472409</t>
  </si>
  <si>
    <t>111-111-660</t>
  </si>
  <si>
    <t xml:space="preserve">H NO-104 BLOCK AZAM GARDEN MULTAN ROAD LAHORE </t>
  </si>
  <si>
    <t>64081/00004/10/2022</t>
  </si>
  <si>
    <t>1007710</t>
  </si>
  <si>
    <t>107724</t>
  </si>
  <si>
    <t>SUZUKI SWIFT GL CVT</t>
  </si>
  <si>
    <t>OLDLHR300090247</t>
  </si>
  <si>
    <t>8942/10/2022/ITFM</t>
  </si>
  <si>
    <t>05-OCT-2022</t>
  </si>
  <si>
    <t>9976AP1222850014</t>
  </si>
  <si>
    <t>SUFYAN JAMIL</t>
  </si>
  <si>
    <t>34503-0345109-5</t>
  </si>
  <si>
    <t>03216959568</t>
  </si>
  <si>
    <t xml:space="preserve">E 724/7 B MAIN STREET MEHRABAD ALI PARK BEDIAN ROAD LAHORE </t>
  </si>
  <si>
    <t>64081/00015/10/2022</t>
  </si>
  <si>
    <t>2A41619</t>
  </si>
  <si>
    <t>7026128</t>
  </si>
  <si>
    <t>AGP-169</t>
  </si>
  <si>
    <t>OLULHR300090285</t>
  </si>
  <si>
    <t>8992/10/2022/ITFM</t>
  </si>
  <si>
    <t>9976AP1222850016</t>
  </si>
  <si>
    <t>OMER SAJJAD</t>
  </si>
  <si>
    <t>35202-4460398-1</t>
  </si>
  <si>
    <t>03214188220</t>
  </si>
  <si>
    <t>04237652192</t>
  </si>
  <si>
    <t xml:space="preserve">H NO 316-A SHADMAN 1 LAHORE PK </t>
  </si>
  <si>
    <t>64081/00016/10/2022</t>
  </si>
  <si>
    <t>82861</t>
  </si>
  <si>
    <t>704960</t>
  </si>
  <si>
    <t>ACD-342</t>
  </si>
  <si>
    <t>KIA PICANTO 1.0 L A/T</t>
  </si>
  <si>
    <t>OLULHR300090284</t>
  </si>
  <si>
    <t>8997/10/2022/ITFM</t>
  </si>
  <si>
    <t>9976AP2222860011</t>
  </si>
  <si>
    <t>MOTOR TREND</t>
  </si>
  <si>
    <t>MUHAMMAD AKHTAR</t>
  </si>
  <si>
    <t>35201-2982306-7</t>
  </si>
  <si>
    <t>03269888818</t>
  </si>
  <si>
    <t xml:space="preserve">AHATA NO.222 ST NO.12 MOHALLAH QAZI SADDAR BAZAR LAHORE CANTT </t>
  </si>
  <si>
    <t>64081/00017/10/2022</t>
  </si>
  <si>
    <t>501098</t>
  </si>
  <si>
    <t>1014137</t>
  </si>
  <si>
    <t>13-OCT-2022</t>
  </si>
  <si>
    <t>OLULHR300090297</t>
  </si>
  <si>
    <t>9000/10/2022/ITFM</t>
  </si>
  <si>
    <t>9976AD1211510054</t>
  </si>
  <si>
    <t>NASREEN GULL</t>
  </si>
  <si>
    <t>36402-5529606-4</t>
  </si>
  <si>
    <t>03314455579</t>
  </si>
  <si>
    <t>3111223377</t>
  </si>
  <si>
    <t xml:space="preserve">OFFICE 152 BLOCK G-1 CANAL BANK JOH AR TOWN LAHORE </t>
  </si>
  <si>
    <t>2524/02640/00121/09/2021</t>
  </si>
  <si>
    <t>27-SEP-2022</t>
  </si>
  <si>
    <t>182963</t>
  </si>
  <si>
    <t>10082946</t>
  </si>
  <si>
    <t>CULTUS VXR EURO-II</t>
  </si>
  <si>
    <t>03-OCT-2021</t>
  </si>
  <si>
    <t>03-Oct-2026</t>
  </si>
  <si>
    <t>OLDLHR300069141</t>
  </si>
  <si>
    <t>DIB0031906</t>
  </si>
  <si>
    <t>28-SEP-2021</t>
  </si>
  <si>
    <t>9976AD1210500017</t>
  </si>
  <si>
    <t>JW SEZ (PVT) LTD</t>
  </si>
  <si>
    <t>FARHANA JAMIL</t>
  </si>
  <si>
    <t>42201-9569904-8</t>
  </si>
  <si>
    <t>03218232717</t>
  </si>
  <si>
    <t>34534580</t>
  </si>
  <si>
    <t xml:space="preserve">HOUSE # 30/2 21 STREET KHAYABAN E T ANZEEM DHA PH-05NEAR ZAMZAMA PARK KARACHI PK </t>
  </si>
  <si>
    <t>DIB/T/BT/33705/FSD/0921</t>
  </si>
  <si>
    <t>22-SEP-2022</t>
  </si>
  <si>
    <t>6160137</t>
  </si>
  <si>
    <t>MN107674</t>
  </si>
  <si>
    <t>MG HS TURBO</t>
  </si>
  <si>
    <t>19-FEB-2021</t>
  </si>
  <si>
    <t>11-Nov-2026</t>
  </si>
  <si>
    <t>OLAKHI300066012</t>
  </si>
  <si>
    <t>TDIDIB00029642</t>
  </si>
  <si>
    <t>27-SEP-2021</t>
  </si>
  <si>
    <t>9976AD1211030014</t>
  </si>
  <si>
    <t>CITY SALES PVT LTD</t>
  </si>
  <si>
    <t>MUHAMMAD SOHAIL SARWAR</t>
  </si>
  <si>
    <t>35201-6566129-3</t>
  </si>
  <si>
    <t>03218806418</t>
  </si>
  <si>
    <t>04235691715</t>
  </si>
  <si>
    <t xml:space="preserve">F-34 1ST FLOOR , PHASE 1 DHA NEAR M ASJID CHOWK LAHORE </t>
  </si>
  <si>
    <t>2524/02640/00077/09/2021</t>
  </si>
  <si>
    <t>20-SEP-2022</t>
  </si>
  <si>
    <t>51588</t>
  </si>
  <si>
    <t>1003041</t>
  </si>
  <si>
    <t>CHANGAN ALSVIN 1.5L</t>
  </si>
  <si>
    <t>13-APR-2021</t>
  </si>
  <si>
    <t>OLALHR300067669</t>
  </si>
  <si>
    <t>DIB0031771</t>
  </si>
  <si>
    <t>21-SEP-2021</t>
  </si>
  <si>
    <t>9976AD2211740016</t>
  </si>
  <si>
    <t>NOOR UL MUSTAFA</t>
  </si>
  <si>
    <t>35201-9192235-1</t>
  </si>
  <si>
    <t>03214505671</t>
  </si>
  <si>
    <t>04235123451</t>
  </si>
  <si>
    <t xml:space="preserve">SECTOR C-1 BLOCK 2 TOWNSHIP LAHORE </t>
  </si>
  <si>
    <t>2021-09-205-V01501OP0002164</t>
  </si>
  <si>
    <t>15-SEP-2022</t>
  </si>
  <si>
    <t>PK10K184714</t>
  </si>
  <si>
    <t>NF1AVK31H10084723</t>
  </si>
  <si>
    <t>OLALHR300069783</t>
  </si>
  <si>
    <t>DIB0031704</t>
  </si>
  <si>
    <t>22-SEP-2021</t>
  </si>
  <si>
    <t>9976AD1212230028</t>
  </si>
  <si>
    <t>TOYOTA PORT QASIM MOTORS</t>
  </si>
  <si>
    <t>SADAF AZHAR</t>
  </si>
  <si>
    <t>42301-8382631-4</t>
  </si>
  <si>
    <t>03452317764</t>
  </si>
  <si>
    <t xml:space="preserve">HOUSE NO. 11, 35TH STREET, PHASE VI , D.H.A KHAY-E-MUHAFIZ KARACHI PK </t>
  </si>
  <si>
    <t>55601/00007/09/2021</t>
  </si>
  <si>
    <t>05-SEP-2022</t>
  </si>
  <si>
    <t>2A35039</t>
  </si>
  <si>
    <t>NSP151R-9513144</t>
  </si>
  <si>
    <t>11-SEP-2021</t>
  </si>
  <si>
    <t>11-Sep-2026</t>
  </si>
  <si>
    <t>OLAKHI300071764</t>
  </si>
  <si>
    <t>DIB0031450</t>
  </si>
  <si>
    <t>9976AD2211660006</t>
  </si>
  <si>
    <t>MUHAMMAD ISMAIL</t>
  </si>
  <si>
    <t>38302-1183588-1</t>
  </si>
  <si>
    <t>03007064166</t>
  </si>
  <si>
    <t xml:space="preserve">PAKLINE TRANSPORT CO PLOT NO. A-459 GATE 03 QUAID E AZAM TRUCK STAND HAWKS BAY ROAD KARACHIPAKISTAN </t>
  </si>
  <si>
    <t>2021-09-205-V01501DP0002114</t>
  </si>
  <si>
    <t>180448</t>
  </si>
  <si>
    <t>10080446</t>
  </si>
  <si>
    <t>SUZUKI CULTUS VXL</t>
  </si>
  <si>
    <t>15-JUN-2021</t>
  </si>
  <si>
    <t>OLAKHI300069422</t>
  </si>
  <si>
    <t>5393/08/20021</t>
  </si>
  <si>
    <t>997APD1201320001</t>
  </si>
  <si>
    <t>SUZUKI CANAL MOTORS</t>
  </si>
  <si>
    <t>MUHAMMAD AWAIS QAISER</t>
  </si>
  <si>
    <t>33100-4014715-5</t>
  </si>
  <si>
    <t>03018661616</t>
  </si>
  <si>
    <t>0418530616</t>
  </si>
  <si>
    <t xml:space="preserve">H NO 170-B TECH TOWN EXTENTION BLOCK SATYAN ROAD FSD FAISALABAD 03018661616 </t>
  </si>
  <si>
    <t>49889/00063/10/2018</t>
  </si>
  <si>
    <t>130889</t>
  </si>
  <si>
    <t>10030894</t>
  </si>
  <si>
    <t>LEC-18A-8880</t>
  </si>
  <si>
    <t>2018</t>
  </si>
  <si>
    <t>11-MAY-2020</t>
  </si>
  <si>
    <t>27-OCT-2018</t>
  </si>
  <si>
    <t>01-Aug-2039</t>
  </si>
  <si>
    <t>PODFSD300039647</t>
  </si>
  <si>
    <t>FSPT</t>
  </si>
  <si>
    <t>16614/10/2018/SPD</t>
  </si>
  <si>
    <t>3.1%</t>
  </si>
  <si>
    <t>997APD1183020007</t>
  </si>
  <si>
    <t>CO19 Relief Principal Deferment Cases</t>
  </si>
  <si>
    <t>9976AP2201750002</t>
  </si>
  <si>
    <t>SAAD HANIF AWAN</t>
  </si>
  <si>
    <t>37405-9265252-3</t>
  </si>
  <si>
    <t>03225090377</t>
  </si>
  <si>
    <t>0518315100</t>
  </si>
  <si>
    <t xml:space="preserve">H # 174/D-2 AFSHAN COLONY KASHMIR M ARKET RAWALPINDI PK </t>
  </si>
  <si>
    <t>51244/00020/10/2019</t>
  </si>
  <si>
    <t>Z547520</t>
  </si>
  <si>
    <t>4173264</t>
  </si>
  <si>
    <t>APT-288</t>
  </si>
  <si>
    <t>TOYOTA COROLLA GLI M/T</t>
  </si>
  <si>
    <t>11-OCT-2019</t>
  </si>
  <si>
    <t>POURWP300049691</t>
  </si>
  <si>
    <t>DIB0027893</t>
  </si>
  <si>
    <t>09-OCT-2019</t>
  </si>
  <si>
    <t>2.5%</t>
  </si>
  <si>
    <t>9976AP2192840002</t>
  </si>
  <si>
    <t>9976AP2201680004</t>
  </si>
  <si>
    <t>MUHAMMAD WAQAS</t>
  </si>
  <si>
    <t>35201-1429112-1</t>
  </si>
  <si>
    <t>03354104685</t>
  </si>
  <si>
    <t xml:space="preserve">H# 4 ST# 1 BARE MIAN DARS SHALIMAR LINK ROAD MUGHAL PURA LAHORE PK </t>
  </si>
  <si>
    <t>51244/00017/10/2019</t>
  </si>
  <si>
    <t>Z569302</t>
  </si>
  <si>
    <t>4193854</t>
  </si>
  <si>
    <t>LEA-19A-1078</t>
  </si>
  <si>
    <t>COROLLA GLI</t>
  </si>
  <si>
    <t>10-OCT-2019</t>
  </si>
  <si>
    <t>PODLHR300049706</t>
  </si>
  <si>
    <t>1868/10/2019/ITFM</t>
  </si>
  <si>
    <t>9976AP2192830002</t>
  </si>
  <si>
    <t>9976AP2201510012</t>
  </si>
  <si>
    <t>CITY CARS</t>
  </si>
  <si>
    <t>RIZWAN AHMED KHAN</t>
  </si>
  <si>
    <t>42201-9205625-3</t>
  </si>
  <si>
    <t>03112303933</t>
  </si>
  <si>
    <t xml:space="preserve">FLAT NO 96 BLOCK - E FARAZ AVENUE BLOCK 20 GULISTAN E JOHAR KARACHI </t>
  </si>
  <si>
    <t>49889/00150/10/2018</t>
  </si>
  <si>
    <t>577588</t>
  </si>
  <si>
    <t>484456</t>
  </si>
  <si>
    <t>AZF-710</t>
  </si>
  <si>
    <t>CULTUS VXR</t>
  </si>
  <si>
    <t>2013</t>
  </si>
  <si>
    <t>30-MAY-2020</t>
  </si>
  <si>
    <t>03-NOV-2018</t>
  </si>
  <si>
    <t>01-Jul-2039</t>
  </si>
  <si>
    <t>POUKHI300039944</t>
  </si>
  <si>
    <t>DIB0026216</t>
  </si>
  <si>
    <t>31-OCT-2018</t>
  </si>
  <si>
    <t>9976AP2183040033</t>
  </si>
  <si>
    <t>9976AP1201790110</t>
  </si>
  <si>
    <t>MADNI MOTORS</t>
  </si>
  <si>
    <t>FARAZ HUSSAIN</t>
  </si>
  <si>
    <t>38201-5001952-9</t>
  </si>
  <si>
    <t>03214298783</t>
  </si>
  <si>
    <t>04235890056, 03214298738</t>
  </si>
  <si>
    <t>04235890056</t>
  </si>
  <si>
    <t xml:space="preserve">HOUSE NO 341 BLOCK-E CANAL GARDEN C ANAL BANK ROAD NEAR SHAKAM CHOWK LAHORE </t>
  </si>
  <si>
    <t>DIB/T/BT/25816/LHR/1019</t>
  </si>
  <si>
    <t>117988</t>
  </si>
  <si>
    <t>1017999</t>
  </si>
  <si>
    <t>LEA-19A-1076</t>
  </si>
  <si>
    <t>SUZUKI ALTO VXL AGS</t>
  </si>
  <si>
    <t>30-OCT-2019</t>
  </si>
  <si>
    <t>03-NOV-2019</t>
  </si>
  <si>
    <t>PODLHR300050322</t>
  </si>
  <si>
    <t>TDIDIB0027368</t>
  </si>
  <si>
    <t>9976AP1193030009</t>
  </si>
  <si>
    <t>9976AP1212870028</t>
  </si>
  <si>
    <t>MOHAMMAD SALEH SALEEM</t>
  </si>
  <si>
    <t>33100-1333917-3</t>
  </si>
  <si>
    <t>03216638275</t>
  </si>
  <si>
    <t>03216638275, 03216638275</t>
  </si>
  <si>
    <t xml:space="preserve">P-207ST NO 01 JHANG ROAD SAIF ABAD FAISALABAD PK </t>
  </si>
  <si>
    <t>56038/00031/10/2021</t>
  </si>
  <si>
    <t>PKB722518</t>
  </si>
  <si>
    <t>01621038</t>
  </si>
  <si>
    <t>AJK-901</t>
  </si>
  <si>
    <t>SUZUKI MEHRAN VX EURO II</t>
  </si>
  <si>
    <t>14-OCT-2021</t>
  </si>
  <si>
    <t>OLUFSD300074966</t>
  </si>
  <si>
    <t>DIB0032092</t>
  </si>
  <si>
    <t>9976AD1211670014</t>
  </si>
  <si>
    <t>SYED ALI JAWAD BUKHARI</t>
  </si>
  <si>
    <t>61101-1962418-9</t>
  </si>
  <si>
    <t>03335168050</t>
  </si>
  <si>
    <t xml:space="preserve">AL FATAH WARE HOUSE NEAR ATARI SARO BA FEROZPUR ROAD LAHORE </t>
  </si>
  <si>
    <t>2021-10-205-V01501OP0002425</t>
  </si>
  <si>
    <t>185548</t>
  </si>
  <si>
    <t>10085561</t>
  </si>
  <si>
    <t>CULTUS XVR EURO-II</t>
  </si>
  <si>
    <t>16-JUN-2021</t>
  </si>
  <si>
    <t>03-Nov-2028</t>
  </si>
  <si>
    <t>OLALHR300069488</t>
  </si>
  <si>
    <t>5517/10/2021</t>
  </si>
  <si>
    <t>9976AD2212360016</t>
  </si>
  <si>
    <t>SADAF IQBAL</t>
  </si>
  <si>
    <t>33102-7329393-4</t>
  </si>
  <si>
    <t>03015229271</t>
  </si>
  <si>
    <t>03015229271, 03015229271</t>
  </si>
  <si>
    <t xml:space="preserve">H NO P-55 BLOCK B RAHIM GARDENS ST NO 23 MAIN NAWABANWALA ROAD FAISALABAD PK </t>
  </si>
  <si>
    <t>DIB/T/BT/33769/LHR/1021</t>
  </si>
  <si>
    <t>185279</t>
  </si>
  <si>
    <t>1085231</t>
  </si>
  <si>
    <t>24-AUG-2021</t>
  </si>
  <si>
    <t>OLAFSD300072255</t>
  </si>
  <si>
    <t>DIB0032035</t>
  </si>
  <si>
    <t>9976AP1201670038</t>
  </si>
  <si>
    <t>AHSAN WASEEM</t>
  </si>
  <si>
    <t>42201-3669837-9</t>
  </si>
  <si>
    <t>03452787595</t>
  </si>
  <si>
    <t xml:space="preserve">HOUSE#169 BLOCK BMCHS BAHADURABAD STREET NO, 14 KARACHI </t>
  </si>
  <si>
    <t>51244/00064/10/2019</t>
  </si>
  <si>
    <t>13024975</t>
  </si>
  <si>
    <t>10024971</t>
  </si>
  <si>
    <t>SUZUKI SWIFT DLX</t>
  </si>
  <si>
    <t>2014</t>
  </si>
  <si>
    <t>25-OCT-2019</t>
  </si>
  <si>
    <t>27-OCT-2019</t>
  </si>
  <si>
    <t>POUKHI300050122</t>
  </si>
  <si>
    <t>DIB0027925</t>
  </si>
  <si>
    <t>9976AP1192980005</t>
  </si>
  <si>
    <t>9976AD1212700048</t>
  </si>
  <si>
    <t>WAQAS IDRESS</t>
  </si>
  <si>
    <t>35202-6801459-1</t>
  </si>
  <si>
    <t>03034633723</t>
  </si>
  <si>
    <t xml:space="preserve">NEAR ZEBI MASJID KANGNI WALA MOH GR EEN TOWN GUJRANWALA PK </t>
  </si>
  <si>
    <t>PL-1021-1101010102-V14-D-00475</t>
  </si>
  <si>
    <t>187471</t>
  </si>
  <si>
    <t>1087473</t>
  </si>
  <si>
    <t>OLAGWL300074112</t>
  </si>
  <si>
    <t>DIB0032090</t>
  </si>
  <si>
    <t>9976AD1211800001</t>
  </si>
  <si>
    <t>AFTAB-ASAAN ACCOUNT</t>
  </si>
  <si>
    <t>Gujrat</t>
  </si>
  <si>
    <t>34201-5446992-9</t>
  </si>
  <si>
    <t>03024247274</t>
  </si>
  <si>
    <t xml:space="preserve">NEAR ISLAMIA SCHOOL ,OH ALI MASJID GUJRAT 0302-4247274 </t>
  </si>
  <si>
    <t>56038/00028/10/2021</t>
  </si>
  <si>
    <t>PK10B221583</t>
  </si>
  <si>
    <t>PK10121719</t>
  </si>
  <si>
    <t>WAGONR VXL</t>
  </si>
  <si>
    <t>OLAGJR300069842</t>
  </si>
  <si>
    <t>DIB0032026</t>
  </si>
  <si>
    <t>9976AP2212880011</t>
  </si>
  <si>
    <t>SIDDIQUI MOTORS</t>
  </si>
  <si>
    <t>ABDUL MAJID</t>
  </si>
  <si>
    <t>41306-7775557-3</t>
  </si>
  <si>
    <t>03335833329</t>
  </si>
  <si>
    <t>02132803061</t>
  </si>
  <si>
    <t xml:space="preserve">CLOUD VENTURE (PVT) LTD ROYAL CYBER SUIT NO CEASAR TOWER SHAHR E FAISA L 11TH FLOORASHA SCHOOL KARACHI </t>
  </si>
  <si>
    <t>PL-1021-1101010102-V14-D-00474</t>
  </si>
  <si>
    <t>177540</t>
  </si>
  <si>
    <t>10077561</t>
  </si>
  <si>
    <t>OLUKHI300074982</t>
  </si>
  <si>
    <t>5521/10/2021</t>
  </si>
  <si>
    <t>9976AD1211670016</t>
  </si>
  <si>
    <t>NUHAMMAD NADEEM</t>
  </si>
  <si>
    <t>34101-7885693-1</t>
  </si>
  <si>
    <t>03216408824</t>
  </si>
  <si>
    <t xml:space="preserve">X BLOCK HOUSE NO 14 STREET NO 3 PRO PLES COLONY GUJRANWALA PK </t>
  </si>
  <si>
    <t>TOO2/0000001084/1021/109/-0</t>
  </si>
  <si>
    <t>185465</t>
  </si>
  <si>
    <t>10085473</t>
  </si>
  <si>
    <t>SUZUKI CULTUS VXR EURO II</t>
  </si>
  <si>
    <t>27-Oct-2027</t>
  </si>
  <si>
    <t>OLAGWL300069471</t>
  </si>
  <si>
    <t>DIB0032077</t>
  </si>
  <si>
    <t>9976AP1212870025</t>
  </si>
  <si>
    <t>HAFIZ MUHAMMAD USAMA</t>
  </si>
  <si>
    <t>34101-8608060-5</t>
  </si>
  <si>
    <t>03006323651</t>
  </si>
  <si>
    <t xml:space="preserve">H NO R 3 ST NO A-1 MOH QASIM TOWN G REEN STREET RATTA ROAD GUJRANWALA PK </t>
  </si>
  <si>
    <t>01-2110-PO-MTR-PCCM-D-001391</t>
  </si>
  <si>
    <t>PK10K143032</t>
  </si>
  <si>
    <t>NF1AVK31H10043014</t>
  </si>
  <si>
    <t>ANA-383</t>
  </si>
  <si>
    <t>OLUGWL300075012</t>
  </si>
  <si>
    <t>DIB0032093</t>
  </si>
  <si>
    <t>9976AP1201810069</t>
  </si>
  <si>
    <t>MUHAMMAD ALI</t>
  </si>
  <si>
    <t>36302-3720910-3</t>
  </si>
  <si>
    <t>03012161080</t>
  </si>
  <si>
    <t xml:space="preserve">HOUSE NO 265 EDEN COTTAGES PHASE 1 LAHORE </t>
  </si>
  <si>
    <t>51244/00016/10/2019</t>
  </si>
  <si>
    <t>L13Z1523409</t>
  </si>
  <si>
    <t>NFBGM1547DR141888</t>
  </si>
  <si>
    <t>LEE-13-7673</t>
  </si>
  <si>
    <t>CITY I-VTEC M/T</t>
  </si>
  <si>
    <t>POULHR300049702</t>
  </si>
  <si>
    <t>1871/10/2019/ITFM</t>
  </si>
  <si>
    <t>9976AP1192830001</t>
  </si>
  <si>
    <t>9976AD1211970015</t>
  </si>
  <si>
    <t>SNA MOTORS</t>
  </si>
  <si>
    <t>RANA ARIF IRSHAD</t>
  </si>
  <si>
    <t>42501-8963872-9</t>
  </si>
  <si>
    <t>00971547075049</t>
  </si>
  <si>
    <t xml:space="preserve">ROYAL CATERING CAMP NEAR AL MADINA MARKET GHAYATHI ROAD RUWAIS 73085 ABU DHABI UNITED ARAB EMIRATES </t>
  </si>
  <si>
    <t>2524/02721/00001/10/2021</t>
  </si>
  <si>
    <t>186887</t>
  </si>
  <si>
    <t>10086873</t>
  </si>
  <si>
    <t>CULTUS VXL AGS EURO-II</t>
  </si>
  <si>
    <t>16-JUL-2021</t>
  </si>
  <si>
    <t>OLAKHI300070793</t>
  </si>
  <si>
    <t>DIB0032038</t>
  </si>
  <si>
    <t>9976AD2212570006</t>
  </si>
  <si>
    <t>JAZIB ALI</t>
  </si>
  <si>
    <t>42101-3349091-7</t>
  </si>
  <si>
    <t>03152038127</t>
  </si>
  <si>
    <t>03152038127, 03122608533</t>
  </si>
  <si>
    <t>02135822401</t>
  </si>
  <si>
    <t xml:space="preserve">HORIZON TOWER GROUND FLOOR BLOCK-3 CLIFTON NEAR B.B.Q TONIGHT KARACHI KARACHI </t>
  </si>
  <si>
    <t>2524/02692/00034/10/2021</t>
  </si>
  <si>
    <t>517847</t>
  </si>
  <si>
    <t>1003396</t>
  </si>
  <si>
    <t>14-SEP-2021</t>
  </si>
  <si>
    <t>OLAKHI300073519</t>
  </si>
  <si>
    <t>DIB0032050</t>
  </si>
  <si>
    <t>9976AD1211650006</t>
  </si>
  <si>
    <t>HONDA CLASSIC</t>
  </si>
  <si>
    <t>DANIYAL JUNAID KHAN</t>
  </si>
  <si>
    <t>61101-8793709-7</t>
  </si>
  <si>
    <t>03018541148</t>
  </si>
  <si>
    <t>05159054643</t>
  </si>
  <si>
    <t xml:space="preserve">H # 221 ST # 13 NPF SECTOR E-11/4 ISLAMABAD PK </t>
  </si>
  <si>
    <t>56038/00029/10/2021</t>
  </si>
  <si>
    <t>16926833</t>
  </si>
  <si>
    <t>079410</t>
  </si>
  <si>
    <t>14-JUN-2021</t>
  </si>
  <si>
    <t>OLAISD300069503</t>
  </si>
  <si>
    <t>DIB0032088</t>
  </si>
  <si>
    <t>9976AD2212120034</t>
  </si>
  <si>
    <t>ZEESHAN ALI KHAN</t>
  </si>
  <si>
    <t>42201-0667472-5</t>
  </si>
  <si>
    <t>NA</t>
  </si>
  <si>
    <t>03028478927</t>
  </si>
  <si>
    <t>36297609</t>
  </si>
  <si>
    <t xml:space="preserve">H NO 188 ST NO 28, BLOCK-Z, PHASE 3 DHA LAHORE </t>
  </si>
  <si>
    <t>2524/02692/00037/10/2021</t>
  </si>
  <si>
    <t>2A37984</t>
  </si>
  <si>
    <t>NSP150R-7023895</t>
  </si>
  <si>
    <t>TOYOTA YARIS ATIV</t>
  </si>
  <si>
    <t>OLALHR300071498</t>
  </si>
  <si>
    <t>5520/10/2021</t>
  </si>
  <si>
    <t>9976AP1201790148</t>
  </si>
  <si>
    <t>HASSAN SAJJAD AHMED</t>
  </si>
  <si>
    <t>35202-5780955-3</t>
  </si>
  <si>
    <t>03214849022</t>
  </si>
  <si>
    <t>37160750</t>
  </si>
  <si>
    <t xml:space="preserve">H # 116 C JUDICIAL SOCIETY PHASE 1 THOKAR LAHORE </t>
  </si>
  <si>
    <t>49889/00136/10/2018</t>
  </si>
  <si>
    <t>11541331</t>
  </si>
  <si>
    <t>NFBFB2557CR101325</t>
  </si>
  <si>
    <t>LEA-13-6300</t>
  </si>
  <si>
    <t>CIVIC IVTEC ORIEL M/T</t>
  </si>
  <si>
    <t>2012</t>
  </si>
  <si>
    <t>POULHR300040001</t>
  </si>
  <si>
    <t>FTSM</t>
  </si>
  <si>
    <t>16716/10/2018/FTSM</t>
  </si>
  <si>
    <t>9976AP1183040041</t>
  </si>
  <si>
    <t>9976AD2210490002</t>
  </si>
  <si>
    <t>AL-HAJ AUTOMOTIVE PVT LTD</t>
  </si>
  <si>
    <t>MOHSIN GULZAR</t>
  </si>
  <si>
    <t>35202-2803792-5</t>
  </si>
  <si>
    <t>03214016113</t>
  </si>
  <si>
    <t>04232560445</t>
  </si>
  <si>
    <t xml:space="preserve">ZAMEEN.COM 3RD FLOOR OFFICE NO 94 B /1 MM ALAM ROAD GULBERG III LAHORE </t>
  </si>
  <si>
    <t>DIB/T/BT/33833/LHR/1021</t>
  </si>
  <si>
    <t>6G15TD013UA3101313</t>
  </si>
  <si>
    <t>PL1NL2EVRMG028171</t>
  </si>
  <si>
    <t>PROTON X70 PREMIUM 2WD</t>
  </si>
  <si>
    <t>18-FEB-2021</t>
  </si>
  <si>
    <t>OLALHR300065967</t>
  </si>
  <si>
    <t>5519/10/2021</t>
  </si>
  <si>
    <t>9976AD2210300015</t>
  </si>
  <si>
    <t>ASIF RAZA RIZVI</t>
  </si>
  <si>
    <t>42201-0820461-1</t>
  </si>
  <si>
    <t>0333-3556660</t>
  </si>
  <si>
    <t xml:space="preserve">KHOKHRA PAR MALIR HOUSE F-1 8-1 NEAR SHELL PETROL PUMP KARACHI </t>
  </si>
  <si>
    <t>DIB/T/BT/33830/KHI/1021</t>
  </si>
  <si>
    <t>3UA3101408</t>
  </si>
  <si>
    <t>028145</t>
  </si>
  <si>
    <t>30-JAN-2021</t>
  </si>
  <si>
    <t>OLAKHI300065582</t>
  </si>
  <si>
    <t>5514/10/2021</t>
  </si>
  <si>
    <t>9976AP1201770031</t>
  </si>
  <si>
    <t>KT MOTORS</t>
  </si>
  <si>
    <t>HURAIN JAVAID</t>
  </si>
  <si>
    <t>38403-3380375-6</t>
  </si>
  <si>
    <t>03336504092</t>
  </si>
  <si>
    <t>03336504092, 03336504092</t>
  </si>
  <si>
    <t>0418735540</t>
  </si>
  <si>
    <t xml:space="preserve">H NO P-14 ST NO 7 ARFAN SATYAN ROAD FSD FAISALABAD PK </t>
  </si>
  <si>
    <t>DIB/T/BT/23026/LHR/1018</t>
  </si>
  <si>
    <t>PKB659492</t>
  </si>
  <si>
    <t>SB308PK01198001</t>
  </si>
  <si>
    <t>LEB-18A-1691</t>
  </si>
  <si>
    <t>SUZUKI MEHRAN VXR</t>
  </si>
  <si>
    <t>22-OCT-2018</t>
  </si>
  <si>
    <t>27-Oct-2025</t>
  </si>
  <si>
    <t>POUFSD300039404</t>
  </si>
  <si>
    <t>DIB0026071</t>
  </si>
  <si>
    <t>9976AP1182950002</t>
  </si>
  <si>
    <t>9976AP1201670040</t>
  </si>
  <si>
    <t>HASAN MAQBOOL SIDDIQUI</t>
  </si>
  <si>
    <t>42000-5843792-3</t>
  </si>
  <si>
    <t>03333423478</t>
  </si>
  <si>
    <t xml:space="preserve">C- 24 KAUSER TOWN MALIR AL KHIDMAT HOSPITAL KHI KARACHI PK </t>
  </si>
  <si>
    <t>PL-0918-1101010102-V14-D-00658</t>
  </si>
  <si>
    <t>745178</t>
  </si>
  <si>
    <t>1283701</t>
  </si>
  <si>
    <t>BNM-946</t>
  </si>
  <si>
    <t>MEHRAN XVR EURO-II</t>
  </si>
  <si>
    <t>18-SEP-2018</t>
  </si>
  <si>
    <t>21-SEP-2018</t>
  </si>
  <si>
    <t>21-Sep-2025</t>
  </si>
  <si>
    <t>PODKHI300038145</t>
  </si>
  <si>
    <t>DIB0025799</t>
  </si>
  <si>
    <t>9976AP1182610003</t>
  </si>
  <si>
    <t>9976AP1201790084</t>
  </si>
  <si>
    <t>HONDA FORT</t>
  </si>
  <si>
    <t>SYED ABID GILLANI</t>
  </si>
  <si>
    <t>54400-0236172-7</t>
  </si>
  <si>
    <t>03214164224</t>
  </si>
  <si>
    <t xml:space="preserve">H 370 A BLOCK ST 06 SHALIMAR HOUSIN G LAHORE LAHORE PK </t>
  </si>
  <si>
    <t>DIB/T/18491/LHR/1017</t>
  </si>
  <si>
    <t>17502113</t>
  </si>
  <si>
    <t>NFGN1548HR212215</t>
  </si>
  <si>
    <t>LEB-17A-5216</t>
  </si>
  <si>
    <t>2017</t>
  </si>
  <si>
    <t>31-OCT-2017</t>
  </si>
  <si>
    <t>03-NOV-2017</t>
  </si>
  <si>
    <t>PODLHR300026919</t>
  </si>
  <si>
    <t>13666/10/2017</t>
  </si>
  <si>
    <t>3.2%</t>
  </si>
  <si>
    <t>9976AP1173040022</t>
  </si>
  <si>
    <t>9976AP1201790194</t>
  </si>
  <si>
    <t>NEW CAR COMPLEX</t>
  </si>
  <si>
    <t>MAHRUKH ASIF</t>
  </si>
  <si>
    <t>41304-3365899-4</t>
  </si>
  <si>
    <t>03453644288</t>
  </si>
  <si>
    <t xml:space="preserve">HOUSE # 252 UNIT # 8 BLOCK-F LATIFA BAD NEAR 8 # MARKET HYDERABAD PK </t>
  </si>
  <si>
    <t>01-1710-PO-MTR-PCCM-D-002924</t>
  </si>
  <si>
    <t>579580</t>
  </si>
  <si>
    <t>2142982</t>
  </si>
  <si>
    <t>AXZ-811</t>
  </si>
  <si>
    <t>30-OCT-2017</t>
  </si>
  <si>
    <t>03-Nov-2023</t>
  </si>
  <si>
    <t>POUKHI300026498</t>
  </si>
  <si>
    <t>13571/10/2017/SPD</t>
  </si>
  <si>
    <t>26-OCT-2017</t>
  </si>
  <si>
    <t>9976AP1173030010</t>
  </si>
  <si>
    <t>9976AD1211510007</t>
  </si>
  <si>
    <t>SULEMAN TARIQ</t>
  </si>
  <si>
    <t>34603-4237890-7</t>
  </si>
  <si>
    <t>03126184001</t>
  </si>
  <si>
    <t>0524582950</t>
  </si>
  <si>
    <t xml:space="preserve">KARIM PURA ROAD SIALKOT </t>
  </si>
  <si>
    <t>PL-1021-1101010102-V14-D-00491</t>
  </si>
  <si>
    <t>181660</t>
  </si>
  <si>
    <t>10081657</t>
  </si>
  <si>
    <t>CULTUS VXL AGS EURO II</t>
  </si>
  <si>
    <t>03-DEC-2021</t>
  </si>
  <si>
    <t>03-Dec-2024</t>
  </si>
  <si>
    <t>OLASKT300068937</t>
  </si>
  <si>
    <t>DIB0032205</t>
  </si>
  <si>
    <t>25-OCT-2021</t>
  </si>
  <si>
    <t>9976AD1212120101</t>
  </si>
  <si>
    <t>MUHAMMAD USMAN ANWAR</t>
  </si>
  <si>
    <t>33102-9190027-7</t>
  </si>
  <si>
    <t>03219999915</t>
  </si>
  <si>
    <t>03219999915, 03219999915</t>
  </si>
  <si>
    <t>0412615083</t>
  </si>
  <si>
    <t xml:space="preserve">H NO P-5-B BLOCK B MOHALLA SHEIKH C OLONY JHANG ROAD FAISALABAD PK </t>
  </si>
  <si>
    <t>DIB/T/BT/33932/LHR/1021</t>
  </si>
  <si>
    <t>6R187761</t>
  </si>
  <si>
    <t>1087775</t>
  </si>
  <si>
    <t>OLAFSD300071420</t>
  </si>
  <si>
    <t>TDIDIB0029720</t>
  </si>
  <si>
    <t>9976AD1212100024</t>
  </si>
  <si>
    <t>AMIR UN NISA BIBI</t>
  </si>
  <si>
    <t>61101-5011695-6</t>
  </si>
  <si>
    <t>03315440684</t>
  </si>
  <si>
    <t xml:space="preserve">H # 853 ST # 23 AREA I-14/1 NEAR NO ON POLICE STATION ISLAMABAD PK </t>
  </si>
  <si>
    <t>01-2110-PO-MTR-PCCM-D-001415</t>
  </si>
  <si>
    <t>187864</t>
  </si>
  <si>
    <t>1087878</t>
  </si>
  <si>
    <t>SUZUKI ALTO VXL AGS EUROO II</t>
  </si>
  <si>
    <t>OLAISD300071285</t>
  </si>
  <si>
    <t>5532/10/2021</t>
  </si>
  <si>
    <t>18-OCT-2021</t>
  </si>
  <si>
    <t>9976AD1210580088</t>
  </si>
  <si>
    <t>SALMAN REHMAN</t>
  </si>
  <si>
    <t>35202-9367102-3</t>
  </si>
  <si>
    <t>03224983119</t>
  </si>
  <si>
    <t>37664388</t>
  </si>
  <si>
    <t xml:space="preserve">35 RAZA ELECTRIC MARKET BRANDRETH R OAD LAHORE </t>
  </si>
  <si>
    <t>DIB/T/BT/33836/LHR/1021</t>
  </si>
  <si>
    <t>3101337</t>
  </si>
  <si>
    <t>RMG028136</t>
  </si>
  <si>
    <t>27-FEB-2021</t>
  </si>
  <si>
    <t>OLALHR300066257</t>
  </si>
  <si>
    <t>5518/10/2021/ITFM</t>
  </si>
  <si>
    <t>9976AD1211970013</t>
  </si>
  <si>
    <t>TOYOTA RAWAL MOTORS</t>
  </si>
  <si>
    <t>AJAZ MIR</t>
  </si>
  <si>
    <t>82203-5557069-1</t>
  </si>
  <si>
    <t>00971543836661</t>
  </si>
  <si>
    <t xml:space="preserve">MOVELLAH SHARJAH BUILDING NO 1543 FLAT NO 203 SHARJAH UNITED ARAB EMIRATES </t>
  </si>
  <si>
    <t>56038/00005/10/2021</t>
  </si>
  <si>
    <t>2A37151</t>
  </si>
  <si>
    <t>R-9513819</t>
  </si>
  <si>
    <t>YARIS ATIV X 1.5 A/T</t>
  </si>
  <si>
    <t>OLARWP300070809</t>
  </si>
  <si>
    <t>DIB0031995</t>
  </si>
  <si>
    <t>9976AD1222090002</t>
  </si>
  <si>
    <t>FAW APOLLO MOTORS</t>
  </si>
  <si>
    <t>MOHAMMED MAROOF</t>
  </si>
  <si>
    <t>42301-9184914-1</t>
  </si>
  <si>
    <t>03335274274</t>
  </si>
  <si>
    <t xml:space="preserve">136/2 STREET NO 31 KHAYABAN-E- MUHA FIZ DHA PHASE 6 NEAR CHOTA BUKHARI KARACHI PK </t>
  </si>
  <si>
    <t>64081/00021/10/2022</t>
  </si>
  <si>
    <t>3109867</t>
  </si>
  <si>
    <t>000511</t>
  </si>
  <si>
    <t>PROTON X701 PREMIUM 2WD</t>
  </si>
  <si>
    <t>28-JUL-2022</t>
  </si>
  <si>
    <t>27-OCT-2022</t>
  </si>
  <si>
    <t>OLAKHI300089024</t>
  </si>
  <si>
    <t>8989/10/2022/ITFM</t>
  </si>
  <si>
    <t>997APD1203050111</t>
  </si>
  <si>
    <t>MUBASHIR AHMAD</t>
  </si>
  <si>
    <t>33100-9018495-7</t>
  </si>
  <si>
    <t>0412632967</t>
  </si>
  <si>
    <t>03235517736, 03235517736</t>
  </si>
  <si>
    <t>03235517736</t>
  </si>
  <si>
    <t xml:space="preserve">H NO P-610 MAIN GATE JINNAH COLONY FSD FAISALABAD PK </t>
  </si>
  <si>
    <t>2524/02150/00159/10/2020</t>
  </si>
  <si>
    <t>B207853</t>
  </si>
  <si>
    <t>PK10107852</t>
  </si>
  <si>
    <t>31-OCT-2020</t>
  </si>
  <si>
    <t>03-NOV-2020</t>
  </si>
  <si>
    <t>PODFSD300059893</t>
  </si>
  <si>
    <t>TDIDIB0028725</t>
  </si>
  <si>
    <t>997APD2203050096</t>
  </si>
  <si>
    <t>MIDWAY MOTORS</t>
  </si>
  <si>
    <t>MUHAMMAD SALMAN KHAN</t>
  </si>
  <si>
    <t>42101-5899174-3</t>
  </si>
  <si>
    <t>03332231983</t>
  </si>
  <si>
    <t xml:space="preserve">HOUSE # F-3 BLOCK-F NORTH NAZIMABAD NEAR ZIAUDDIN HOSPITAL KARACHI PK </t>
  </si>
  <si>
    <t>52921/00149/10/2020</t>
  </si>
  <si>
    <t>8279324</t>
  </si>
  <si>
    <t>NKE165-7155598</t>
  </si>
  <si>
    <t>RCN</t>
  </si>
  <si>
    <t>COROLLA AXIO</t>
  </si>
  <si>
    <t>03-Nov-2025</t>
  </si>
  <si>
    <t>POUKHI300059871</t>
  </si>
  <si>
    <t>DIB0028984</t>
  </si>
  <si>
    <t>9976AD1210490005</t>
  </si>
  <si>
    <t>BILAL ARIF</t>
  </si>
  <si>
    <t>35202-5449282-3</t>
  </si>
  <si>
    <t>03215228417</t>
  </si>
  <si>
    <t>04237658417</t>
  </si>
  <si>
    <t xml:space="preserve">KICK SHOES SULTAN CENTER MOTI BAZAR LAHORE </t>
  </si>
  <si>
    <t>56036/00033/10/2021</t>
  </si>
  <si>
    <t>505912</t>
  </si>
  <si>
    <t>1009656</t>
  </si>
  <si>
    <t>CHANGAN KARVAAN N PLUS</t>
  </si>
  <si>
    <t>OLALHR300065940</t>
  </si>
  <si>
    <t>DIB0032111</t>
  </si>
  <si>
    <t>997APD2203050095</t>
  </si>
  <si>
    <t>HAFIZ ALI SALEEM</t>
  </si>
  <si>
    <t>34101-9535622-1</t>
  </si>
  <si>
    <t>03456254666</t>
  </si>
  <si>
    <t xml:space="preserve">SIALKOT ROAD SARFRAZ TOWN BUTTRANWA LI GUJRANWALA </t>
  </si>
  <si>
    <t>01-2010-PO-MTR-PCCM-D-001963</t>
  </si>
  <si>
    <t>13506930</t>
  </si>
  <si>
    <t>R006941</t>
  </si>
  <si>
    <t>AHH-961</t>
  </si>
  <si>
    <t>HONDA BRV IVTEC</t>
  </si>
  <si>
    <t>PODGWL300059888</t>
  </si>
  <si>
    <t>3421/10/2020/ITFM</t>
  </si>
  <si>
    <t>9976AD2211810022</t>
  </si>
  <si>
    <t>NAEEM QADIR</t>
  </si>
  <si>
    <t>33100-0770584-1</t>
  </si>
  <si>
    <t>03237001165</t>
  </si>
  <si>
    <t>03237001165, 03237001165</t>
  </si>
  <si>
    <t xml:space="preserve">H NO 41 NAI ABADI 248 RB SAMUNDRI R OAD NEAR DALOWAL CAMP STOP BISMILLA FAISALABAD PK </t>
  </si>
  <si>
    <t>2021/10/CLFTTPCDP01043</t>
  </si>
  <si>
    <t>185825</t>
  </si>
  <si>
    <t>10086039</t>
  </si>
  <si>
    <t>CULTUS VXR EURO II</t>
  </si>
  <si>
    <t>30-JUN-2021</t>
  </si>
  <si>
    <t>OLAFSD300070193</t>
  </si>
  <si>
    <t>DIB0031884</t>
  </si>
  <si>
    <t>9976AD2211540055</t>
  </si>
  <si>
    <t>CHANGAN GUL MOTORS</t>
  </si>
  <si>
    <t>ABDUL RAZZAQ</t>
  </si>
  <si>
    <t>42501-9335631-9</t>
  </si>
  <si>
    <t>03062535902</t>
  </si>
  <si>
    <t>34830869</t>
  </si>
  <si>
    <t xml:space="preserve">HOUSE # E-122 MOHALLA GULFISHAN SOC IETY MALIR HALT NEAR JAMA MASJID GH KARACHI PK </t>
  </si>
  <si>
    <t>2021-10-205-V01501DP0002429</t>
  </si>
  <si>
    <t>JL466Q9M69U505663</t>
  </si>
  <si>
    <t>NKMAAB3D1M1009754</t>
  </si>
  <si>
    <t>CHANGAN KRAVAAN PLUS</t>
  </si>
  <si>
    <t>03-JUN-2021</t>
  </si>
  <si>
    <t>OLAKHI300069283</t>
  </si>
  <si>
    <t>DIB0032082</t>
  </si>
  <si>
    <t>997APD1203050101</t>
  </si>
  <si>
    <t>FATIMA IDREES</t>
  </si>
  <si>
    <t>35201-4004648-8</t>
  </si>
  <si>
    <t>03334812152</t>
  </si>
  <si>
    <t xml:space="preserve">MAIN OFFICE COMPLEX BLOCK A DHA PHA SE VI LAHORE </t>
  </si>
  <si>
    <t>52921/00150/10/2020</t>
  </si>
  <si>
    <t>1KR-1799687</t>
  </si>
  <si>
    <t>KSP130-2201255</t>
  </si>
  <si>
    <t>VITZ</t>
  </si>
  <si>
    <t>POULHR300059721</t>
  </si>
  <si>
    <t>3431/10/2020/ITFM</t>
  </si>
  <si>
    <t>997APD1203050152</t>
  </si>
  <si>
    <t>NAVEED SHAHZAD</t>
  </si>
  <si>
    <t>35202-2985358-3</t>
  </si>
  <si>
    <t>03334597198</t>
  </si>
  <si>
    <t xml:space="preserve">HOUSE NO 12 STREET NO 6-B NEW ABADI LAJPAT ROAD SHAHDARA LAHORE PK </t>
  </si>
  <si>
    <t>52921/00155/10/2020</t>
  </si>
  <si>
    <t>207102</t>
  </si>
  <si>
    <t>10107102</t>
  </si>
  <si>
    <t>WAGON R VXL</t>
  </si>
  <si>
    <t>PODLHR300059947</t>
  </si>
  <si>
    <t>3456/10/2020/ITFM</t>
  </si>
  <si>
    <t>997APD2203050092</t>
  </si>
  <si>
    <t>SOBIA JAWAD</t>
  </si>
  <si>
    <t>34603-2107042-4</t>
  </si>
  <si>
    <t>03216132767</t>
  </si>
  <si>
    <t xml:space="preserve">SAID PUR ROAD THE CITY SCHOOL SIALKOT </t>
  </si>
  <si>
    <t>2020/10/CLFTTPCDP00678</t>
  </si>
  <si>
    <t>1KR1486050</t>
  </si>
  <si>
    <t>KSP1302118788</t>
  </si>
  <si>
    <t>LEB-18-3314</t>
  </si>
  <si>
    <t>POUSKT300059889</t>
  </si>
  <si>
    <t>3439/10/2020/ITFM</t>
  </si>
  <si>
    <t>997APD2203050087</t>
  </si>
  <si>
    <t>MONA LIZA</t>
  </si>
  <si>
    <t>54400-6008594-4</t>
  </si>
  <si>
    <t>03314659988</t>
  </si>
  <si>
    <t>0518312156</t>
  </si>
  <si>
    <t xml:space="preserve">UNIVERSAL GIRLS HOSTEL, 14/13 PARK AVENUE PESHAWAR </t>
  </si>
  <si>
    <t>2524/02150/00166/10/2020</t>
  </si>
  <si>
    <t>206148</t>
  </si>
  <si>
    <t>10106128</t>
  </si>
  <si>
    <t>WAGON R VXR</t>
  </si>
  <si>
    <t>PODRWP300059907</t>
  </si>
  <si>
    <t>3437/10/2020/ITFM</t>
  </si>
  <si>
    <t>9976AP1222870002</t>
  </si>
  <si>
    <t>CAR DEALS</t>
  </si>
  <si>
    <t>HAMMAD KHALID</t>
  </si>
  <si>
    <t>42101-8642987-9</t>
  </si>
  <si>
    <t>03332085028</t>
  </si>
  <si>
    <t xml:space="preserve">L- 497 1ST FLOOR SEC 5-C /2 NORTH K HI ROSE APPARTMENT KARACHI PK </t>
  </si>
  <si>
    <t>64081/00025/10/2022</t>
  </si>
  <si>
    <t>3602856W</t>
  </si>
  <si>
    <t>02520</t>
  </si>
  <si>
    <t>BUJ-102</t>
  </si>
  <si>
    <t>PRINCE PEARL</t>
  </si>
  <si>
    <t>14-OCT-2022</t>
  </si>
  <si>
    <t>OLUKHI300090324</t>
  </si>
  <si>
    <t>9019/10/2022/ITFM</t>
  </si>
  <si>
    <t>9976AP1222870004</t>
  </si>
  <si>
    <t>SALMAN MUNIR</t>
  </si>
  <si>
    <t>35202-3145992-9</t>
  </si>
  <si>
    <t>03086563617</t>
  </si>
  <si>
    <t xml:space="preserve">H NO 106-A WEST WOOD COLONY RAIWIND ROAD LAHORE PK </t>
  </si>
  <si>
    <t>64081/00024/10/2022</t>
  </si>
  <si>
    <t>6R218730</t>
  </si>
  <si>
    <t>1118695</t>
  </si>
  <si>
    <t>ALS-688</t>
  </si>
  <si>
    <t>OLULHR300090332</t>
  </si>
  <si>
    <t>9023/10/2022/ITFM</t>
  </si>
  <si>
    <t>997APD1183040029</t>
  </si>
  <si>
    <t>HONDA DRIVE IN</t>
  </si>
  <si>
    <t>SALMAN BARI</t>
  </si>
  <si>
    <t>42201-8067627-5</t>
  </si>
  <si>
    <t>34984547</t>
  </si>
  <si>
    <t>03222244408, 03222244408</t>
  </si>
  <si>
    <t>03222244408</t>
  </si>
  <si>
    <t xml:space="preserve">MAYMAR PLAZA L-4/lll BLOCK-1 2ND FL OOR MUHALLA GULSHAN-E-IQBAL NEAR IQ KARACHI PK </t>
  </si>
  <si>
    <t>49889/00149/10/2018</t>
  </si>
  <si>
    <t>7519825</t>
  </si>
  <si>
    <t>235430</t>
  </si>
  <si>
    <t>BNV-654</t>
  </si>
  <si>
    <t>HONDA CITY IVTEC</t>
  </si>
  <si>
    <t>PODKHI300039654</t>
  </si>
  <si>
    <t>16734/10/2018/SPD</t>
  </si>
  <si>
    <t>9976AP2193040036</t>
  </si>
  <si>
    <t>SUZUKI ZEESHAN MOTORS</t>
  </si>
  <si>
    <t>KASHIF</t>
  </si>
  <si>
    <t>42401-8416785-5</t>
  </si>
  <si>
    <t xml:space="preserve">MADNI CORPORATION, OFFICE NO 6/A, GROUND FLOOR, ALI APARTMENTS, GIDDOMAL DAYA RAM ROAD, PARSI COLONY SOLDIER BAZAR KARACHI </t>
  </si>
  <si>
    <t>118180</t>
  </si>
  <si>
    <t>1018186</t>
  </si>
  <si>
    <t>BRC-140</t>
  </si>
  <si>
    <t>31-OCT-2019</t>
  </si>
  <si>
    <t>PODKHI300050512</t>
  </si>
  <si>
    <t>1966/10/2019</t>
  </si>
  <si>
    <t>997APD1203050158</t>
  </si>
  <si>
    <t>MARGALLA MOTORS</t>
  </si>
  <si>
    <t>HAMIMA AMANULLAH</t>
  </si>
  <si>
    <t>71402-7663401-6</t>
  </si>
  <si>
    <t>35883508</t>
  </si>
  <si>
    <t>03363883508</t>
  </si>
  <si>
    <t xml:space="preserve">PLOT NO C-31/C SOUTH PARK AVENUE DHA PHASE-2 EXT (NEW DELHI RESTAURANT) </t>
  </si>
  <si>
    <t>UWT/D/T002/0000000624/1020/109-0</t>
  </si>
  <si>
    <t>1007151</t>
  </si>
  <si>
    <t>01123161</t>
  </si>
  <si>
    <t>SUZUKI BOLAN VX EURO II</t>
  </si>
  <si>
    <t>PODKHI300059932</t>
  </si>
  <si>
    <t>3449/10/2020</t>
  </si>
  <si>
    <t>9976AD1221260074</t>
  </si>
  <si>
    <t>ARBAB AHMED</t>
  </si>
  <si>
    <t>33100-7954316-9</t>
  </si>
  <si>
    <t>03228660785</t>
  </si>
  <si>
    <t>03228660785, 03228660785</t>
  </si>
  <si>
    <t xml:space="preserve">H NO P-125 ST NO 8 MOHALLA QASIMABA D FSD FAISALABAD PK </t>
  </si>
  <si>
    <t>64081/00023/10/2022</t>
  </si>
  <si>
    <t>6R252486</t>
  </si>
  <si>
    <t>1152380</t>
  </si>
  <si>
    <t>SUZUKI ALTO AGS EURO II</t>
  </si>
  <si>
    <t>06-MAY-2022</t>
  </si>
  <si>
    <t>OLAFSD300087156</t>
  </si>
  <si>
    <t>9015/10/2022/ITFM</t>
  </si>
  <si>
    <t>9976AP1183040018</t>
  </si>
  <si>
    <t>SUZUKI MOTOR HOUSE</t>
  </si>
  <si>
    <t>SANA USMAN</t>
  </si>
  <si>
    <t>35202-2294247-6</t>
  </si>
  <si>
    <t>03377226618</t>
  </si>
  <si>
    <t>35310841 2</t>
  </si>
  <si>
    <t xml:space="preserve">LGS 254 F-1, JOHAR TOWN LAHORE </t>
  </si>
  <si>
    <t>49889/00122/10/2018</t>
  </si>
  <si>
    <t>131494</t>
  </si>
  <si>
    <t>10031456</t>
  </si>
  <si>
    <t>LEC-18A-603</t>
  </si>
  <si>
    <t>PODLHR300039916</t>
  </si>
  <si>
    <t>16684/10/2018/FTSM</t>
  </si>
  <si>
    <t>997APD1183040011</t>
  </si>
  <si>
    <t>SUNRISE AUTOS</t>
  </si>
  <si>
    <t>MUHAMMAD TARIQ KHAN</t>
  </si>
  <si>
    <t>17301-9256852-3</t>
  </si>
  <si>
    <t>03310160161</t>
  </si>
  <si>
    <t>0518464171</t>
  </si>
  <si>
    <t xml:space="preserve">H # 240-A ST # 54 SECTOR I-8/3 ISLAMABAD PK </t>
  </si>
  <si>
    <t>2524/01036/00174/10/2018</t>
  </si>
  <si>
    <t>7414693</t>
  </si>
  <si>
    <t>2413414</t>
  </si>
  <si>
    <t>ALG-683</t>
  </si>
  <si>
    <t>AQUA HYBRID</t>
  </si>
  <si>
    <t>2015</t>
  </si>
  <si>
    <t>POUISD300039720</t>
  </si>
  <si>
    <t>16691/10/2018/SPD</t>
  </si>
  <si>
    <t>997APD2173040004</t>
  </si>
  <si>
    <t>KHAWAR SULIMAN</t>
  </si>
  <si>
    <t>71103-4591370-3</t>
  </si>
  <si>
    <t>03124270298</t>
  </si>
  <si>
    <t>0519260262</t>
  </si>
  <si>
    <t xml:space="preserve">H # 108 AL MUSTAFA APARTMENTS G-8 M ARKAZ ISLAMABAD PK </t>
  </si>
  <si>
    <t>2017-10-205-V01501DP0003398</t>
  </si>
  <si>
    <t>7198336</t>
  </si>
  <si>
    <t>2348621</t>
  </si>
  <si>
    <t>AFU-382</t>
  </si>
  <si>
    <t>AQUA</t>
  </si>
  <si>
    <t>POUISD300026885</t>
  </si>
  <si>
    <t>13656/10/2017</t>
  </si>
  <si>
    <t>9976AP1183040016</t>
  </si>
  <si>
    <t>USMAN AZAM</t>
  </si>
  <si>
    <t>35201-5551394-7</t>
  </si>
  <si>
    <t>03224281384</t>
  </si>
  <si>
    <t xml:space="preserve">PAK CHINA DOSTI SQAURE 3RD FLOOR 21 KM FEROZEPUR ROAD GAJUMATA LAHORE </t>
  </si>
  <si>
    <t>49889/00086/10/2018</t>
  </si>
  <si>
    <t>131473</t>
  </si>
  <si>
    <t>10031473</t>
  </si>
  <si>
    <t>LEC-18A-8197</t>
  </si>
  <si>
    <t>PODLHR300039729</t>
  </si>
  <si>
    <t>DIB0026196</t>
  </si>
  <si>
    <t>30-OCT-2018</t>
  </si>
  <si>
    <t>9976AP1183030004</t>
  </si>
  <si>
    <t>KHAWAJA GHANI TARIQ</t>
  </si>
  <si>
    <t>35202-9919100-5</t>
  </si>
  <si>
    <t>03214725738</t>
  </si>
  <si>
    <t xml:space="preserve">GODAM # 11 /A OPP SARI MILL RAHIM R OAD MISRI SHAH LAHORE </t>
  </si>
  <si>
    <t>49889/00090/10/2018</t>
  </si>
  <si>
    <t>R18Z1-2914136</t>
  </si>
  <si>
    <t>NFBFC6665HR017443</t>
  </si>
  <si>
    <t>LEE-17-412</t>
  </si>
  <si>
    <t>CIVIC I-VTEC ORIEL P/T WITH NAV &amp; LEATHER SEATS</t>
  </si>
  <si>
    <t>POULHR300039765</t>
  </si>
  <si>
    <t>DIB0026183</t>
  </si>
  <si>
    <t>29-OCT-2018</t>
  </si>
  <si>
    <t>9976AP2183040003</t>
  </si>
  <si>
    <t>AFFAN BIN FARHAN</t>
  </si>
  <si>
    <t>42101-2713810-7</t>
  </si>
  <si>
    <t>03132193088</t>
  </si>
  <si>
    <t>34985818</t>
  </si>
  <si>
    <t xml:space="preserve">A- 1103 SAFARI OMEGA BLOCK 13 GULIS TAN-E- JOUHAR OPP DARUL SEHAT HOSPI KARACHI PK </t>
  </si>
  <si>
    <t>49889/00094/10/2018</t>
  </si>
  <si>
    <t>Z12929051</t>
  </si>
  <si>
    <t>R032417</t>
  </si>
  <si>
    <t>BNT-618</t>
  </si>
  <si>
    <t>HONDA CIVIC 1.8L ORIEL</t>
  </si>
  <si>
    <t>PODKHI300039328</t>
  </si>
  <si>
    <t>DIB0026157</t>
  </si>
  <si>
    <t>9976AP2193040011</t>
  </si>
  <si>
    <t>NADEEM INTERNATIONAL</t>
  </si>
  <si>
    <t>MOHAMMAD ARSHAD</t>
  </si>
  <si>
    <t>13101-1223026-3</t>
  </si>
  <si>
    <t>03343490762</t>
  </si>
  <si>
    <t>03142959914</t>
  </si>
  <si>
    <t xml:space="preserve">PLOT # LX-12/25,MAIN CHATTAI BAZAR,NEAR MILK MANDI, LEE MARKET,KARACHI KARACHI </t>
  </si>
  <si>
    <t>51244/00078/10/2019</t>
  </si>
  <si>
    <t>1001323</t>
  </si>
  <si>
    <t>1117830</t>
  </si>
  <si>
    <t>CY-7104</t>
  </si>
  <si>
    <t>BOLAN VX</t>
  </si>
  <si>
    <t>PODKHI300050314</t>
  </si>
  <si>
    <t>DIB0027938</t>
  </si>
  <si>
    <t>9976AP1173040010</t>
  </si>
  <si>
    <t>ALI JAN MOTORS</t>
  </si>
  <si>
    <t>GHULAM RASOOL</t>
  </si>
  <si>
    <t>35102-4193469-5</t>
  </si>
  <si>
    <t>03004498238</t>
  </si>
  <si>
    <t xml:space="preserve">H# E 993 -1-K SHAHID TOWN GHAZI ROA D LAHORE PK </t>
  </si>
  <si>
    <t>DIB/T/18482/LHR/1017</t>
  </si>
  <si>
    <t>111288</t>
  </si>
  <si>
    <t>10011306</t>
  </si>
  <si>
    <t>LEB-17A-8872</t>
  </si>
  <si>
    <t>CULTUC VXL</t>
  </si>
  <si>
    <t>PODLHR300026786</t>
  </si>
  <si>
    <t>13644/10/2017</t>
  </si>
  <si>
    <t>9976AP2232900001</t>
  </si>
  <si>
    <t>MIAN MUHAMMAD AYAZ</t>
  </si>
  <si>
    <t>35201-2422296-9</t>
  </si>
  <si>
    <t>03227177771</t>
  </si>
  <si>
    <t xml:space="preserve">HOUSE NO 789 STREET NO 21 ASKARI 9 LAHORE CANTT 0322 7177771 </t>
  </si>
  <si>
    <t>76078/00004/10/2023</t>
  </si>
  <si>
    <t>12-OCT-2024</t>
  </si>
  <si>
    <t>6R285386</t>
  </si>
  <si>
    <t>1185410</t>
  </si>
  <si>
    <t>21-OCT-2023</t>
  </si>
  <si>
    <t>OLDLHR300097470</t>
  </si>
  <si>
    <t>10535/10/2023/ITFM</t>
  </si>
  <si>
    <t>14-OCT-2023</t>
  </si>
  <si>
    <t>997APD1183040018</t>
  </si>
  <si>
    <t>SUZUKI HAQ MOTORS</t>
  </si>
  <si>
    <t>NARGIS NAHEED</t>
  </si>
  <si>
    <t>33100-6989051-8</t>
  </si>
  <si>
    <t>03236043011</t>
  </si>
  <si>
    <t>03236043011, 03236043011</t>
  </si>
  <si>
    <t>0419239031</t>
  </si>
  <si>
    <t xml:space="preserve">H NO 74 ST NO 6 SAIF ABAD NO 2 FSD FAISALABAD PK </t>
  </si>
  <si>
    <t>49889/00099/10/2018</t>
  </si>
  <si>
    <t>174444</t>
  </si>
  <si>
    <t>10074458</t>
  </si>
  <si>
    <t>ALF-651</t>
  </si>
  <si>
    <t>PODFSD300039773</t>
  </si>
  <si>
    <t>FTST</t>
  </si>
  <si>
    <t>16647/10/2018/FTSM</t>
  </si>
  <si>
    <t>9976AD2212080009</t>
  </si>
  <si>
    <t>AHMAD HASSAN</t>
  </si>
  <si>
    <t>35202-5952333-7</t>
  </si>
  <si>
    <t>03224283463</t>
  </si>
  <si>
    <t xml:space="preserve">PENTA SQUARE PHASE V COMMERCIAL BLO CK DHA LAHORE </t>
  </si>
  <si>
    <t>2021-10-205-V01501OP0002431</t>
  </si>
  <si>
    <t>6R185655</t>
  </si>
  <si>
    <t>NF1AET306H1085685</t>
  </si>
  <si>
    <t>OLALHR300071152</t>
  </si>
  <si>
    <t>DIB0032106</t>
  </si>
  <si>
    <t>997AAD1202120035</t>
  </si>
  <si>
    <t>KIA MOTORS PORT QASIM</t>
  </si>
  <si>
    <t>WALEED</t>
  </si>
  <si>
    <t>42401-0177788-3</t>
  </si>
  <si>
    <t>03212726357</t>
  </si>
  <si>
    <t xml:space="preserve">1729/447 MUHALLAH GUJRAT COLONY BAL DIA TOWN NO 3 KARACHI PK </t>
  </si>
  <si>
    <t>52921/00136/10/2020</t>
  </si>
  <si>
    <t>326129</t>
  </si>
  <si>
    <t>506351</t>
  </si>
  <si>
    <t>30-JUL-2020</t>
  </si>
  <si>
    <t>POAKHI300056146</t>
  </si>
  <si>
    <t>9976AD1212120082</t>
  </si>
  <si>
    <t>AHSAN BAIG</t>
  </si>
  <si>
    <t>37406-1645860-3</t>
  </si>
  <si>
    <t>03215305684</t>
  </si>
  <si>
    <t>0519270309</t>
  </si>
  <si>
    <t xml:space="preserve">H NO G-47 ST NO 14 OFFICER COLONY PHASE 3 WAH CANTT TEH TAXILA DIST RAWALPINDI </t>
  </si>
  <si>
    <t>01-2110-PO-MTR-PCCM-D-001401</t>
  </si>
  <si>
    <t>186046</t>
  </si>
  <si>
    <t>1086051</t>
  </si>
  <si>
    <t>SUZUKI ALTO VXL AGS EUR II</t>
  </si>
  <si>
    <t>OLAISD3000714641</t>
  </si>
  <si>
    <t>5524/10/2021</t>
  </si>
  <si>
    <t>9976AD2212430042</t>
  </si>
  <si>
    <t>TOYOTA POINT MOTORS</t>
  </si>
  <si>
    <t>AAMIR BADERUDDIN</t>
  </si>
  <si>
    <t>41306-0703939-5</t>
  </si>
  <si>
    <t>03332777278</t>
  </si>
  <si>
    <t xml:space="preserve">HTA BANGLOWS NO 5/200 NEAR MARVI LAWN QASIMABAD HYDERABAD </t>
  </si>
  <si>
    <t>2021-01-205-V01501DP0002434</t>
  </si>
  <si>
    <t>2A38423</t>
  </si>
  <si>
    <t>7024001</t>
  </si>
  <si>
    <t>OLAHYD300072854</t>
  </si>
  <si>
    <t>DIB0032112</t>
  </si>
  <si>
    <t>9976AD2212250013</t>
  </si>
  <si>
    <t>SUZUKI MUZAFARABAD MOTOR</t>
  </si>
  <si>
    <t>GHULAM HAIDER</t>
  </si>
  <si>
    <t>Muzaffarabad</t>
  </si>
  <si>
    <t>82203-6160021-9</t>
  </si>
  <si>
    <t>03015264960</t>
  </si>
  <si>
    <t>05822920451</t>
  </si>
  <si>
    <t xml:space="preserve">WARD # 23 MUHALLAH GOJRA NEAR AL SA IF PLAZA MUZAFFARABAD PK </t>
  </si>
  <si>
    <t>2021/10/CLFTTPCDP01127</t>
  </si>
  <si>
    <t>186837</t>
  </si>
  <si>
    <t>10086835</t>
  </si>
  <si>
    <t>OLAMFD300071822</t>
  </si>
  <si>
    <t>DIB0032116</t>
  </si>
  <si>
    <t>29-OCT-2021</t>
  </si>
  <si>
    <t>9976AD1212700040</t>
  </si>
  <si>
    <t>MUHAMMAD ANNS KHAN</t>
  </si>
  <si>
    <t>35201-4719010-1</t>
  </si>
  <si>
    <t>03218452380</t>
  </si>
  <si>
    <t xml:space="preserve">HOUSE NO. 278, STREET NO. 06 MOHALLA CAVALARY GROUND, LAHORE, CANTT </t>
  </si>
  <si>
    <t>DIB/T/BT/33844/LHR/1021</t>
  </si>
  <si>
    <t>6927264</t>
  </si>
  <si>
    <t>079849</t>
  </si>
  <si>
    <t>HONDA CIVIC VTI ORIEL</t>
  </si>
  <si>
    <t>OLALHR300074096</t>
  </si>
  <si>
    <t>TDIDIB0029703</t>
  </si>
  <si>
    <t>1.85%</t>
  </si>
  <si>
    <t>997AAD1202690005</t>
  </si>
  <si>
    <t>KIA MOTORS DEFENCE</t>
  </si>
  <si>
    <t>QADEER ASHFAQ</t>
  </si>
  <si>
    <t>42301-6850080-3</t>
  </si>
  <si>
    <t>03018411800</t>
  </si>
  <si>
    <t xml:space="preserve">13-KM MAIN RAIWIND ROAD NEAR AL KAB IR TOWN PHASE II LAHORE </t>
  </si>
  <si>
    <t>2524/02150/00151/10/2020</t>
  </si>
  <si>
    <t>G4NALH32573</t>
  </si>
  <si>
    <t>NNAQL51AZKP100283</t>
  </si>
  <si>
    <t>25-SEP-2020</t>
  </si>
  <si>
    <t>POALHR300057583</t>
  </si>
  <si>
    <t>9976AP1183040019</t>
  </si>
  <si>
    <t>CAR DREAM</t>
  </si>
  <si>
    <t>MUHAMMAD TAYYAB</t>
  </si>
  <si>
    <t>33202-8830766-9</t>
  </si>
  <si>
    <t>03444443044</t>
  </si>
  <si>
    <t>35905000</t>
  </si>
  <si>
    <t xml:space="preserve">OFF# 7 A BLOCK R 3 JOHAR TOWN LAHORE </t>
  </si>
  <si>
    <t>49889/00109/10/2018</t>
  </si>
  <si>
    <t>R18Z1-2942149</t>
  </si>
  <si>
    <t>NFBFC6663JR045554</t>
  </si>
  <si>
    <t>LEC-18A-4444</t>
  </si>
  <si>
    <t>CIVIC IVTEC ORIEL P/T WITH NAV &amp; LEATHER SEATS</t>
  </si>
  <si>
    <t>PODLHR300039762</t>
  </si>
  <si>
    <t>DIB0026186</t>
  </si>
  <si>
    <t>9976AD2211020005</t>
  </si>
  <si>
    <t>TOYOTA HYDERABAD</t>
  </si>
  <si>
    <t>MOOL CHAND SOORAJ</t>
  </si>
  <si>
    <t>44206-5567747-1</t>
  </si>
  <si>
    <t>03053037619</t>
  </si>
  <si>
    <t xml:space="preserve">HOUSE # B3 STAT LIFE HOUSING SOCIET Y QASIMABAD NEAR GIRLS DIGREE COLLE HYDERABAD PK </t>
  </si>
  <si>
    <t>DIB/T/BT/33842/HYD/1021</t>
  </si>
  <si>
    <t>1GD5070051</t>
  </si>
  <si>
    <t>GUN156R-1096559</t>
  </si>
  <si>
    <t>FORTUNER DIESEL 4X4</t>
  </si>
  <si>
    <t>12-APR-2021</t>
  </si>
  <si>
    <t>OLAHYD300067719</t>
  </si>
  <si>
    <t>108585/10/2021</t>
  </si>
  <si>
    <t>9976AP2222870003</t>
  </si>
  <si>
    <t>SAQIB SANDHU</t>
  </si>
  <si>
    <t>42301-3213032-3</t>
  </si>
  <si>
    <t>03219222282</t>
  </si>
  <si>
    <t xml:space="preserve">25/1/2 CENTRAL STREET 10 PHASE II D HA KARACHI PK </t>
  </si>
  <si>
    <t>64081/00026/10/2022</t>
  </si>
  <si>
    <t>0879167</t>
  </si>
  <si>
    <t>5541731</t>
  </si>
  <si>
    <t>KZ-6644</t>
  </si>
  <si>
    <t>TOYOTA HILUX REVO V DC A/T 4XA</t>
  </si>
  <si>
    <t>OLUKHI300090338</t>
  </si>
  <si>
    <t>9022/10/2022/ITFM</t>
  </si>
  <si>
    <t>997APD2203050076</t>
  </si>
  <si>
    <t>MUHAMMAD WASIF</t>
  </si>
  <si>
    <t>42101-8858638-1</t>
  </si>
  <si>
    <t>03002118818</t>
  </si>
  <si>
    <t xml:space="preserve">HOUSE # R 615 SECTOR 11-C-1 ADAM TOWN NORTH KARACHI NEAR AL HAAJ RESTURANT KARACHI CELL 03002118818 </t>
  </si>
  <si>
    <t>52921/00143/10/2020</t>
  </si>
  <si>
    <t>71401878</t>
  </si>
  <si>
    <t>006150</t>
  </si>
  <si>
    <t>BGX-443</t>
  </si>
  <si>
    <t>CIVIC 1.5L TURBO</t>
  </si>
  <si>
    <t>POUKHI300059020</t>
  </si>
  <si>
    <t>3420/10/2020/ITFM</t>
  </si>
  <si>
    <t>997APD2203050062</t>
  </si>
  <si>
    <t>HONDA AVENUE</t>
  </si>
  <si>
    <t>MUHAMMAD FAISAL</t>
  </si>
  <si>
    <t>33100-0433288-9</t>
  </si>
  <si>
    <t>2605760</t>
  </si>
  <si>
    <t>03006660520, 03006660520</t>
  </si>
  <si>
    <t>0412605760</t>
  </si>
  <si>
    <t xml:space="preserve">H NO P-497 FIRST FLOOR ST NO 6 AFGH AN ABAD NO 1 FSD FAISALABAD PK </t>
  </si>
  <si>
    <t>2524002150/10/2020</t>
  </si>
  <si>
    <t>7541720</t>
  </si>
  <si>
    <t>264828</t>
  </si>
  <si>
    <t>CITY IVTEC MT</t>
  </si>
  <si>
    <t>PODFSD300059211</t>
  </si>
  <si>
    <t>DIB0028965</t>
  </si>
  <si>
    <t>28-OCT-2020</t>
  </si>
  <si>
    <t>997APD2203050068</t>
  </si>
  <si>
    <t>NAVEED AHMED ANJUM</t>
  </si>
  <si>
    <t>35202-2969677-5</t>
  </si>
  <si>
    <t>03218481866</t>
  </si>
  <si>
    <t>35836699</t>
  </si>
  <si>
    <t xml:space="preserve">H# 66 / 3 D BLOCK MODEL TOWN LAHORE PK </t>
  </si>
  <si>
    <t>52921/00133/10/2020</t>
  </si>
  <si>
    <t>1864337</t>
  </si>
  <si>
    <t>0074638</t>
  </si>
  <si>
    <t>TOYOTA PASSO</t>
  </si>
  <si>
    <t>POULHR300059599</t>
  </si>
  <si>
    <t>3409/10/2020/ITFM</t>
  </si>
  <si>
    <t>29-OCT-2020</t>
  </si>
  <si>
    <t>997APD2203050072</t>
  </si>
  <si>
    <t>SUZUKI SHALIMAR MOTORS</t>
  </si>
  <si>
    <t>MUHAMMAD AWAIS</t>
  </si>
  <si>
    <t>35202-4739539-1</t>
  </si>
  <si>
    <t>03314018596</t>
  </si>
  <si>
    <t xml:space="preserve">243-N MODEL TOWN EXTENSION LAHORE </t>
  </si>
  <si>
    <t>DIB/T/BT/29381/LHR/1020</t>
  </si>
  <si>
    <t>PK10B206618</t>
  </si>
  <si>
    <t>A1J310PK10106616</t>
  </si>
  <si>
    <t>PODLHR300059841</t>
  </si>
  <si>
    <t>3417/10/2020/ITFM</t>
  </si>
  <si>
    <t>997APD1203050098</t>
  </si>
  <si>
    <t>ZEESHAN ALI</t>
  </si>
  <si>
    <t>33302-1671917-1</t>
  </si>
  <si>
    <t>03239988773</t>
  </si>
  <si>
    <t>35884570</t>
  </si>
  <si>
    <t xml:space="preserve">KFC 70 THE MALL COOPERA BUILDING MALL ROAD LAHORE </t>
  </si>
  <si>
    <t>52921/00134/10/2020</t>
  </si>
  <si>
    <t>143646</t>
  </si>
  <si>
    <t>1043715</t>
  </si>
  <si>
    <t>ALTO VXR EURO II</t>
  </si>
  <si>
    <t>PODLHR300059610</t>
  </si>
  <si>
    <t>3410/10/2020/ITFM</t>
  </si>
  <si>
    <t>997APD1203050125</t>
  </si>
  <si>
    <t>SUZUKI SOUTH MOTORS</t>
  </si>
  <si>
    <t>SYED BAQIR HASSNAIN GHAZI</t>
  </si>
  <si>
    <t>42401-3423022-7</t>
  </si>
  <si>
    <t>03122818708</t>
  </si>
  <si>
    <t xml:space="preserve">H # 10/1/3 SHEET # 15 MODEL COLONY MALIR KARACHI PK </t>
  </si>
  <si>
    <t>52921/00146/10/2020</t>
  </si>
  <si>
    <t>143896</t>
  </si>
  <si>
    <t>1044129</t>
  </si>
  <si>
    <t>PODKHI300059832</t>
  </si>
  <si>
    <t>DIB0028979</t>
  </si>
  <si>
    <t>997APD2203050065</t>
  </si>
  <si>
    <t>MUHAMMAD</t>
  </si>
  <si>
    <t>Sukkar</t>
  </si>
  <si>
    <t>45501-0900721-9</t>
  </si>
  <si>
    <t xml:space="preserve">GOVERNMENT PRIMARY SCHOOL SATTAR DINO CHACHAR TALUKA PANO AKIL DISTRICT SUKKUR 03063110173 </t>
  </si>
  <si>
    <t>01-2010-PO-MTR-PCCM-D-001962</t>
  </si>
  <si>
    <t>1044063</t>
  </si>
  <si>
    <t>143854</t>
  </si>
  <si>
    <t>PODSUK300059084</t>
  </si>
  <si>
    <t>DIB0028976</t>
  </si>
  <si>
    <t>997APD1203050117</t>
  </si>
  <si>
    <t>RANA MUHAMMAD JABRAN</t>
  </si>
  <si>
    <t>35202-4820743-7</t>
  </si>
  <si>
    <t>03032299335</t>
  </si>
  <si>
    <t xml:space="preserve">DOGAR MARKET MAIN BAZAR DUBAI TOWN RAIWIND ROAD LAHORE </t>
  </si>
  <si>
    <t>52921/00141/10/2020</t>
  </si>
  <si>
    <t>105597</t>
  </si>
  <si>
    <t>1005547</t>
  </si>
  <si>
    <t>LEH-19-961</t>
  </si>
  <si>
    <t>POULHR300059752</t>
  </si>
  <si>
    <t>3428/10/2020/ITFM</t>
  </si>
  <si>
    <t>997APD1203030084</t>
  </si>
  <si>
    <t>KIA SAMA MOTORS</t>
  </si>
  <si>
    <t>ZULFIQAR HASSAN ABID</t>
  </si>
  <si>
    <t>35201-3340180-7</t>
  </si>
  <si>
    <t>0322-4018484</t>
  </si>
  <si>
    <t xml:space="preserve">H NO 652-J ST NO 8 PHASE 6 DHA LAHORE </t>
  </si>
  <si>
    <t>52921/001124/10/2020</t>
  </si>
  <si>
    <t>321606</t>
  </si>
  <si>
    <t>504751</t>
  </si>
  <si>
    <t>PODLHR300059301</t>
  </si>
  <si>
    <t>997AAD1202660007</t>
  </si>
  <si>
    <t>KIA MOTORS LUCKY ONE</t>
  </si>
  <si>
    <t>MEHNAZ NASEEM</t>
  </si>
  <si>
    <t>42201-3417212-8</t>
  </si>
  <si>
    <t>03008200754</t>
  </si>
  <si>
    <t xml:space="preserve">HOUSE NO 100 AL HAMRA SOCIETY OPPOSITE TIPU SULTAN ROAD KARACHI </t>
  </si>
  <si>
    <t>DIB/T/29368/KHI/1020</t>
  </si>
  <si>
    <t>G4NALH325761</t>
  </si>
  <si>
    <t>NNAQL51AZKP100266</t>
  </si>
  <si>
    <t>KIA SPORTAGE ALPHA</t>
  </si>
  <si>
    <t>22-SEP-2020</t>
  </si>
  <si>
    <t>POAKHI300057471</t>
  </si>
  <si>
    <t>997AAD1201740001</t>
  </si>
  <si>
    <t>MUHAMMAD QAMAR FAROOQ</t>
  </si>
  <si>
    <t>35202-9440369-5</t>
  </si>
  <si>
    <t>03000455252</t>
  </si>
  <si>
    <t>111724725</t>
  </si>
  <si>
    <t xml:space="preserve">PEPSI COLA , 37-C-1 GULBERG III, NE AR PTCL EXCHANGE LAHORE </t>
  </si>
  <si>
    <t>52921/00125/10/2020</t>
  </si>
  <si>
    <t>2A09571</t>
  </si>
  <si>
    <t>9504042</t>
  </si>
  <si>
    <t>YARIS ATIV X CVT 1.5</t>
  </si>
  <si>
    <t>22-JUN-2020</t>
  </si>
  <si>
    <t>POALHR300054402</t>
  </si>
  <si>
    <t>DIB0028964</t>
  </si>
  <si>
    <t>9976AD2212430056</t>
  </si>
  <si>
    <t>AHSAN ALI QURESHI</t>
  </si>
  <si>
    <t>41302-3745095-9</t>
  </si>
  <si>
    <t>03152474969</t>
  </si>
  <si>
    <t xml:space="preserve">HOUSE # 3458-G PHULALI PAR PARITABA D NEAR MUHAJIR MASJID HYD HYDERABAD PK </t>
  </si>
  <si>
    <t>PL-1021-1101010102-V14-D-00490</t>
  </si>
  <si>
    <t>2A38470</t>
  </si>
  <si>
    <t>7024092</t>
  </si>
  <si>
    <t>OLAHYD300072859</t>
  </si>
  <si>
    <t>DIB0032097</t>
  </si>
  <si>
    <t>9976AD2212110010</t>
  </si>
  <si>
    <t>MUHAMMAD AMMAR IQBAL</t>
  </si>
  <si>
    <t>33301-7234437-7</t>
  </si>
  <si>
    <t>03458551753</t>
  </si>
  <si>
    <t xml:space="preserve">45-1-C1 LAJNAH CHOWK TOWNSHIP COLLE GE ROAD NEAR HASCOL PETROL PUMP LAHORE </t>
  </si>
  <si>
    <t>2524/02692/00053/10/2021</t>
  </si>
  <si>
    <t>6R186987</t>
  </si>
  <si>
    <t>NF1AET306H1087027</t>
  </si>
  <si>
    <t>OLALHR300071125</t>
  </si>
  <si>
    <t>DIB0032134</t>
  </si>
  <si>
    <t>9976AD1212090011</t>
  </si>
  <si>
    <t>ABDUL REHMAN</t>
  </si>
  <si>
    <t>33100-4599317-5</t>
  </si>
  <si>
    <t>03012503100</t>
  </si>
  <si>
    <t xml:space="preserve">LOON MIRCHI RESTURANT 36 B HARRIAN WALA CHOWK D GROUND BLOCK B PEOPLE COLONY NO 01 FAISALABAD </t>
  </si>
  <si>
    <t>2021/10/CLFTTPCDP01115</t>
  </si>
  <si>
    <t>186916</t>
  </si>
  <si>
    <t>10086899</t>
  </si>
  <si>
    <t>CULTUS VXL AGS</t>
  </si>
  <si>
    <t>OLAFSD300070967</t>
  </si>
  <si>
    <t>DIB0032033</t>
  </si>
  <si>
    <t>9976AD2211800005</t>
  </si>
  <si>
    <t>KHATEEB AHMED</t>
  </si>
  <si>
    <t>42201-7704785-3</t>
  </si>
  <si>
    <t>03002101304</t>
  </si>
  <si>
    <t xml:space="preserve">HOUSE # A-237 LONG LIFE BANGLOWS BL OCK-17 GULISTAN E JAUHAR NEAR BALOC KARACHI PK </t>
  </si>
  <si>
    <t>2021/10/CLFTTPCDP01130</t>
  </si>
  <si>
    <t>186549</t>
  </si>
  <si>
    <t>10086514</t>
  </si>
  <si>
    <t>OLAKHI300070046</t>
  </si>
  <si>
    <t>5529/10/2021</t>
  </si>
  <si>
    <t>997AAD1202060002</t>
  </si>
  <si>
    <t>KIA MOTORS GREEN FIELDS</t>
  </si>
  <si>
    <t>CHAUDHRY ASAD AMAN</t>
  </si>
  <si>
    <t>34101-5353426-7</t>
  </si>
  <si>
    <t>03008647071</t>
  </si>
  <si>
    <t xml:space="preserve">OPPOSITE GENERAL BUS STAND BEHIND A SKARI BANK GT ROAD NEAR ASKARI BANK GUJRANWALA </t>
  </si>
  <si>
    <t>52921/00116/10/2020</t>
  </si>
  <si>
    <t>G4NALH326130</t>
  </si>
  <si>
    <t>NNAQL51AZKP505794</t>
  </si>
  <si>
    <t>24-JUL-2020</t>
  </si>
  <si>
    <t>POAGWL300055854</t>
  </si>
  <si>
    <t>997APD1203020068</t>
  </si>
  <si>
    <t>ARSLAN MUZAFFAR</t>
  </si>
  <si>
    <t>33100-3762069-3</t>
  </si>
  <si>
    <t>03244255048</t>
  </si>
  <si>
    <t>04237163814</t>
  </si>
  <si>
    <t xml:space="preserve">NESTLE WARE HOUSE AL MASOOM PLAZA S AGGIAN BY PASS ROAD NEAR POLICE CHO KI LAHORE </t>
  </si>
  <si>
    <t>52921/00121/10/2020</t>
  </si>
  <si>
    <t>PKB553474</t>
  </si>
  <si>
    <t>SB308PK01092010</t>
  </si>
  <si>
    <t>LEC-14-827</t>
  </si>
  <si>
    <t>MEHRAN VX EURO-II</t>
  </si>
  <si>
    <t>27-OCT-2020</t>
  </si>
  <si>
    <t>POULHR300059222</t>
  </si>
  <si>
    <t>3387/10/2020/ITFM</t>
  </si>
  <si>
    <t>9976AD2211650005</t>
  </si>
  <si>
    <t>MUHAMMAD BILAL SHAHID</t>
  </si>
  <si>
    <t>37405-7358711-9</t>
  </si>
  <si>
    <t>03204403779</t>
  </si>
  <si>
    <t>04235972051</t>
  </si>
  <si>
    <t xml:space="preserve">7-02 ARFA SOFTWARE TECHNOLOGY PARK MAIN FEROZPUR ROAD LAHORE </t>
  </si>
  <si>
    <t>2524/02692/00056/10/2021</t>
  </si>
  <si>
    <t>517896</t>
  </si>
  <si>
    <t>1003341</t>
  </si>
  <si>
    <t>ALSVIN 1.5L</t>
  </si>
  <si>
    <t>OLALHR300069484</t>
  </si>
  <si>
    <t>5527/10/2021</t>
  </si>
  <si>
    <t>16-OCT-2021</t>
  </si>
  <si>
    <t>9976AP2193010001</t>
  </si>
  <si>
    <t>MUHAMMAD RAZZAQ</t>
  </si>
  <si>
    <t>35202-7233000-3</t>
  </si>
  <si>
    <t>03214945107</t>
  </si>
  <si>
    <t xml:space="preserve">HOUSE NO 38-A STREET NO 30 REHMAT S TREET KOT LAKHPAT LAHORE </t>
  </si>
  <si>
    <t>DIB/T/BT/25732/LHR/1019</t>
  </si>
  <si>
    <t>R06A-8242718</t>
  </si>
  <si>
    <t>MJ64S-746383</t>
  </si>
  <si>
    <t>FW-550</t>
  </si>
  <si>
    <t>MAZDA FLAIR</t>
  </si>
  <si>
    <t>28-OCT-2019</t>
  </si>
  <si>
    <t>POULHR300050224</t>
  </si>
  <si>
    <t>TDIDIB0027358</t>
  </si>
  <si>
    <t>26-OCT-2019</t>
  </si>
  <si>
    <t>997APD2203010036</t>
  </si>
  <si>
    <t>FAIZAN MUSTAFA</t>
  </si>
  <si>
    <t>42501-3731259-5</t>
  </si>
  <si>
    <t>34901204</t>
  </si>
  <si>
    <t>03322303577, 03322303577</t>
  </si>
  <si>
    <t>99023400</t>
  </si>
  <si>
    <t xml:space="preserve">HOUSE NO. E-53, CANTT BAZAR, MALIR CANTT. NEAR SHELL PETROL PUMP KARACHI PK </t>
  </si>
  <si>
    <t>52921/00109/10/2020</t>
  </si>
  <si>
    <t>12914987</t>
  </si>
  <si>
    <t>018291</t>
  </si>
  <si>
    <t>BJR-404</t>
  </si>
  <si>
    <t>CIVIC 1.8L ORIEL</t>
  </si>
  <si>
    <t>POUKHI300059058</t>
  </si>
  <si>
    <t>3379/10/2020/ITFM</t>
  </si>
  <si>
    <t>26-OCT-2020</t>
  </si>
  <si>
    <t>997APD2203020046</t>
  </si>
  <si>
    <t>TOYOTA WESTERN MOTORS</t>
  </si>
  <si>
    <t>ABDUL RAZAQUE</t>
  </si>
  <si>
    <t>45301-3659889-9</t>
  </si>
  <si>
    <t>03012004397</t>
  </si>
  <si>
    <t>34854546</t>
  </si>
  <si>
    <t xml:space="preserve">FLAT # A-11 APSARA APPARTMENT BLOCK -14 GULSHAN E IQBAL NEAR CIVIC CENT KARACHI PK </t>
  </si>
  <si>
    <t>52921/00110/10/2020</t>
  </si>
  <si>
    <t>2A10034</t>
  </si>
  <si>
    <t>9504165</t>
  </si>
  <si>
    <t>PODKHI300059074</t>
  </si>
  <si>
    <t>3378/10/2020/ITFM</t>
  </si>
  <si>
    <t>997AAD1202730028</t>
  </si>
  <si>
    <t>HYUNDAI SOUTH</t>
  </si>
  <si>
    <t>BABER JADOON</t>
  </si>
  <si>
    <t>41303-0533319-3</t>
  </si>
  <si>
    <t>35001712-5</t>
  </si>
  <si>
    <t>0321-8290016</t>
  </si>
  <si>
    <t xml:space="preserve">SD-212 ST NO 6 PHASE II MALIR CANTT NEAR CHECK POST 06 KARACHI </t>
  </si>
  <si>
    <t>DIB/T/BT/33848/KHI/1021</t>
  </si>
  <si>
    <t>G4NAMU106898</t>
  </si>
  <si>
    <t>PHHJ2813SMN204656</t>
  </si>
  <si>
    <t>HYUNDAI TUCSON AWD</t>
  </si>
  <si>
    <t>29-SEP-2020</t>
  </si>
  <si>
    <t>POAKHI300057222</t>
  </si>
  <si>
    <t>TDIDIB0029702</t>
  </si>
  <si>
    <t>9976AD1211020005</t>
  </si>
  <si>
    <t>TOYOTA TOWN SHIP MOTORS</t>
  </si>
  <si>
    <t>AFZAL AHMAD</t>
  </si>
  <si>
    <t>35201-1678578-7</t>
  </si>
  <si>
    <t>03004137065</t>
  </si>
  <si>
    <t>04236543618</t>
  </si>
  <si>
    <t xml:space="preserve">PLOT NO 4 AL-SIRAJ PARK MOMINPURA R OAD DAROGHAWALA LAHORE </t>
  </si>
  <si>
    <t>DIB/T/BT/33845/LHR/1021</t>
  </si>
  <si>
    <t>1GD5070090</t>
  </si>
  <si>
    <t>GUN156R-1096725</t>
  </si>
  <si>
    <t>OLALHR300067796</t>
  </si>
  <si>
    <t>DIB0032126</t>
  </si>
  <si>
    <t>9976AD1212430121</t>
  </si>
  <si>
    <t>AHMED ULLAH</t>
  </si>
  <si>
    <t>QUETTA</t>
  </si>
  <si>
    <t>54400-1758958-1</t>
  </si>
  <si>
    <t>03013742421</t>
  </si>
  <si>
    <t xml:space="preserve">SHOP NO TB 25 SABZI MANDI HAZAR GANGI ZARGHOON TOWN QUETTA </t>
  </si>
  <si>
    <t>2021/10/CLFTTPCDP01133</t>
  </si>
  <si>
    <t>311713</t>
  </si>
  <si>
    <t>513430</t>
  </si>
  <si>
    <t>OLAQUT300072919</t>
  </si>
  <si>
    <t>997AAD2202750009</t>
  </si>
  <si>
    <t>HAQ NAWAZ</t>
  </si>
  <si>
    <t>42101-0982730-9</t>
  </si>
  <si>
    <t>03138755024</t>
  </si>
  <si>
    <t xml:space="preserve">H # 492 A/B MUHAMMADI GALI FAROOQAB AD GULBAHAR KARACHI PK </t>
  </si>
  <si>
    <t>52921/00106/10/2020</t>
  </si>
  <si>
    <t>0300280-J2</t>
  </si>
  <si>
    <t>AHFMVE120PD000722</t>
  </si>
  <si>
    <t>FAW-XPV</t>
  </si>
  <si>
    <t>01-OCT-2020</t>
  </si>
  <si>
    <t>POAKHI300058156</t>
  </si>
  <si>
    <t>3296/10/2020</t>
  </si>
  <si>
    <t>15-OCT-2020</t>
  </si>
  <si>
    <t>9976AP1173000007</t>
  </si>
  <si>
    <t>JAWAD AHMED</t>
  </si>
  <si>
    <t>35202-3534627-9</t>
  </si>
  <si>
    <t>03320072605</t>
  </si>
  <si>
    <t xml:space="preserve">H# 20 MOH LIAQAT ABAD KOT LAKHPAT S T# 12 QADRI STREET LAHORE PK </t>
  </si>
  <si>
    <t>DIB/T/18412/LHR/1017</t>
  </si>
  <si>
    <t>967043</t>
  </si>
  <si>
    <t>1083518</t>
  </si>
  <si>
    <t>LEA-17A-9893</t>
  </si>
  <si>
    <t>27-OCT-2017</t>
  </si>
  <si>
    <t>PODLHR300026618</t>
  </si>
  <si>
    <t>TDIDIB0021206</t>
  </si>
  <si>
    <t>24-OCT-2017</t>
  </si>
  <si>
    <t>997AAD2201820019</t>
  </si>
  <si>
    <t>TOYOTA CLIFTON MOTORS</t>
  </si>
  <si>
    <t>FAWWAD SHARIF</t>
  </si>
  <si>
    <t>41304-2966785-1</t>
  </si>
  <si>
    <t>0224410182 0223817715</t>
  </si>
  <si>
    <t>03219998177</t>
  </si>
  <si>
    <t>34325431 2</t>
  </si>
  <si>
    <t xml:space="preserve">HOUSE NO. I.H 33 5A STREET NO.2 FALCON COMPLEX (AFOSHS) NEW MALIR KARACHI </t>
  </si>
  <si>
    <t>DIB/T/BT/29259/KHI/1020</t>
  </si>
  <si>
    <t>1GD0865604</t>
  </si>
  <si>
    <t>GUN156R-1093676</t>
  </si>
  <si>
    <t>TOYOTA FORTUNER DIESEL 4X4</t>
  </si>
  <si>
    <t>30-JUN-2020</t>
  </si>
  <si>
    <t>PODKHI300055031</t>
  </si>
  <si>
    <t>3361/10/2020/ITFM</t>
  </si>
  <si>
    <t>23-OCT-2020</t>
  </si>
  <si>
    <t>997AAD1202960011</t>
  </si>
  <si>
    <t>RAFAY UL AZIZ</t>
  </si>
  <si>
    <t>34201-4192184-3</t>
  </si>
  <si>
    <t>03006255698</t>
  </si>
  <si>
    <t xml:space="preserve">RIGHT SIDE 5TH HOUSE UPPER PORTION ST # 02 LALAZAR RAWALPINDI PK </t>
  </si>
  <si>
    <t>2524/02150/00126/10/2020</t>
  </si>
  <si>
    <t>17540283</t>
  </si>
  <si>
    <t>262926</t>
  </si>
  <si>
    <t>CITY I-VTEC P/T</t>
  </si>
  <si>
    <t>22-OCT-2020</t>
  </si>
  <si>
    <t>POARWP300059000</t>
  </si>
  <si>
    <t>3371/10/2020/ITFM</t>
  </si>
  <si>
    <t>24-OCT-2020</t>
  </si>
  <si>
    <t>997APD1203010056</t>
  </si>
  <si>
    <t>CAR CAPITAL</t>
  </si>
  <si>
    <t>FARAZ NADEEM</t>
  </si>
  <si>
    <t>42201-6389279-5</t>
  </si>
  <si>
    <t>34547947</t>
  </si>
  <si>
    <t>03232973690</t>
  </si>
  <si>
    <t xml:space="preserve">HOUSE # A-24 PECHS NEAR NOORANI KAB AB KARACHI PK </t>
  </si>
  <si>
    <t>52921/00098/10/2020</t>
  </si>
  <si>
    <t>1857312</t>
  </si>
  <si>
    <t>2207343</t>
  </si>
  <si>
    <t>TOYOTA VITZ</t>
  </si>
  <si>
    <t>POUKHI300059018</t>
  </si>
  <si>
    <t>3363/10/2020/ITFM</t>
  </si>
  <si>
    <t>9976AP1182970006</t>
  </si>
  <si>
    <t>UMER FAROOQ</t>
  </si>
  <si>
    <t>81302-8391672-9</t>
  </si>
  <si>
    <t>35340399</t>
  </si>
  <si>
    <t>03348513206</t>
  </si>
  <si>
    <t>35341571</t>
  </si>
  <si>
    <t xml:space="preserve">H# 40 SECTOR C NARGIS BLOCK BAHRIA TOWN LAHORE PK </t>
  </si>
  <si>
    <t>49889/00036/10/2018</t>
  </si>
  <si>
    <t>7521288</t>
  </si>
  <si>
    <t>237303</t>
  </si>
  <si>
    <t>LEA-19-1659</t>
  </si>
  <si>
    <t>24-OCT-2018</t>
  </si>
  <si>
    <t>PODLHR300039457</t>
  </si>
  <si>
    <t>16567/10/2018</t>
  </si>
  <si>
    <t>9976AP2192980009</t>
  </si>
  <si>
    <t>MUHAMMAD ANAS YAR CHEENA</t>
  </si>
  <si>
    <t>35404-8858174-3</t>
  </si>
  <si>
    <t>03087280105</t>
  </si>
  <si>
    <t xml:space="preserve">HOUSE NO 282 E-BLOCK SUMUN BERG JOH AR TOWN LAHORE </t>
  </si>
  <si>
    <t>51244/00056/10/2019</t>
  </si>
  <si>
    <t>1NZ7207043</t>
  </si>
  <si>
    <t>NHP10-6314981</t>
  </si>
  <si>
    <t>AFU-528</t>
  </si>
  <si>
    <t>TOYOTA AQUA HYBRID</t>
  </si>
  <si>
    <t>POULHR300050111</t>
  </si>
  <si>
    <t>DIB0027918</t>
  </si>
  <si>
    <t>23-OCT-2019</t>
  </si>
  <si>
    <t>997APD1203020069</t>
  </si>
  <si>
    <t>SUZUKI SAMNABAD MOTORS</t>
  </si>
  <si>
    <t>BILAL AHMAD JAN</t>
  </si>
  <si>
    <t>35202-1765557-7</t>
  </si>
  <si>
    <t>03224500854</t>
  </si>
  <si>
    <t xml:space="preserve">41 M-BLOCK NEAR MASJID SAMSANI KHOI JOHAR TOWN NEAR ALLIED BANK LAHORE </t>
  </si>
  <si>
    <t>52921/00104/10/2020</t>
  </si>
  <si>
    <t>6R143004</t>
  </si>
  <si>
    <t>NF1AET306H1042956</t>
  </si>
  <si>
    <t>PODLHR300059089</t>
  </si>
  <si>
    <t>DIB0028938</t>
  </si>
  <si>
    <t>997APD1203000035</t>
  </si>
  <si>
    <t>JAVARIA TABASSUM</t>
  </si>
  <si>
    <t>35202-5561856-8</t>
  </si>
  <si>
    <t>03094469700</t>
  </si>
  <si>
    <t xml:space="preserve">TRUST MODEL PUBLIC BOYS HIGHER SECO NDARY SCHOOL NEAR AQ HOSPITAL MULAN A AHMAD ALI ROAD LAHORE </t>
  </si>
  <si>
    <t>52921/00100/10/2020</t>
  </si>
  <si>
    <t>H300965</t>
  </si>
  <si>
    <t>LFPAHFMVM18001237</t>
  </si>
  <si>
    <t>LED-18-908</t>
  </si>
  <si>
    <t>FAW-V2</t>
  </si>
  <si>
    <t>POULHR300059063</t>
  </si>
  <si>
    <t>DIB0028930</t>
  </si>
  <si>
    <t>SUBS</t>
  </si>
  <si>
    <t>997APD1182970002</t>
  </si>
  <si>
    <t>ZAIN UL ABIDEEN</t>
  </si>
  <si>
    <t>33100-5999889-1</t>
  </si>
  <si>
    <t>03339930725</t>
  </si>
  <si>
    <t>03339930725, 03339930725</t>
  </si>
  <si>
    <t>0419200767</t>
  </si>
  <si>
    <t xml:space="preserve">ST NO 4 MOHALLA SHAMASABAD BHAIWALA JHUMRA ROAD FSD FAISALABAD PK </t>
  </si>
  <si>
    <t>49889/00024/10/2018</t>
  </si>
  <si>
    <t>131219</t>
  </si>
  <si>
    <t>10031230</t>
  </si>
  <si>
    <t>ALD-736</t>
  </si>
  <si>
    <t>PODFSD300039363</t>
  </si>
  <si>
    <t>DIB0026081</t>
  </si>
  <si>
    <t>997APD1202970025</t>
  </si>
  <si>
    <t>S F MOTORS</t>
  </si>
  <si>
    <t>SAFIA JAHANGIR</t>
  </si>
  <si>
    <t>35200-1489852-2</t>
  </si>
  <si>
    <t>03214710419</t>
  </si>
  <si>
    <t xml:space="preserve">16-D ASKARI V STREET NO 14 NEAR KAL MA CHOWK LAHORE </t>
  </si>
  <si>
    <t>52921/00093/10/2020</t>
  </si>
  <si>
    <t>GUNALH324584</t>
  </si>
  <si>
    <t>NNAQL51AZLP505641</t>
  </si>
  <si>
    <t>PODLHR300059029</t>
  </si>
  <si>
    <t>997APD1203000042</t>
  </si>
  <si>
    <t>HONDA TOWNSHIP (PVT) LTD</t>
  </si>
  <si>
    <t>MUHAMMAD IDREES</t>
  </si>
  <si>
    <t>35202-2705216-7</t>
  </si>
  <si>
    <t>03238494646</t>
  </si>
  <si>
    <t xml:space="preserve">SNGPL 1ST FLOOR STORE DEPARTMENT GA S HOUSE 21 KASHMIR ROAD LAHORE </t>
  </si>
  <si>
    <t>DIB/T/BT/29086/LHR/1020</t>
  </si>
  <si>
    <t>17541632</t>
  </si>
  <si>
    <t>LR264757</t>
  </si>
  <si>
    <t>PODLHR300059017</t>
  </si>
  <si>
    <t>TDIDIB0028690</t>
  </si>
  <si>
    <t>997APD2203050066</t>
  </si>
  <si>
    <t>GHULAM MUSTAFA</t>
  </si>
  <si>
    <t>45501-2122855-9</t>
  </si>
  <si>
    <t>03003189498</t>
  </si>
  <si>
    <t xml:space="preserve">GOVERNMENT BOYS HIGH SCHOOL HAJI KHAN CHACHAR VILLAGE SURGO TALUKA PANO AKIL DISTRICT SUKKKUR </t>
  </si>
  <si>
    <t>01-2010-PO-MTR-PCCM-D-001933</t>
  </si>
  <si>
    <t>17541287</t>
  </si>
  <si>
    <t>264358</t>
  </si>
  <si>
    <t>PODSUK300058831</t>
  </si>
  <si>
    <t>3360/10/2020/ITFM</t>
  </si>
  <si>
    <t>997APD2203010033</t>
  </si>
  <si>
    <t>AFRIN FATIMA</t>
  </si>
  <si>
    <t>42101-6286928-2</t>
  </si>
  <si>
    <t>03008229494 03008291908</t>
  </si>
  <si>
    <t>02136881740,36378901</t>
  </si>
  <si>
    <t xml:space="preserve">F-114 BLOCK - F NORTH NAZIMABAD NEAR ZIA UDDIN HOSPITAL KARACHI </t>
  </si>
  <si>
    <t>52921/00091/10/2020</t>
  </si>
  <si>
    <t>17502538</t>
  </si>
  <si>
    <t>212876</t>
  </si>
  <si>
    <t>BLB-868</t>
  </si>
  <si>
    <t>POUKHI300059002</t>
  </si>
  <si>
    <t>3353/10/2020/ITFM</t>
  </si>
  <si>
    <t>997APD1203000033</t>
  </si>
  <si>
    <t>MOTORWAYS PRIVATE LTD</t>
  </si>
  <si>
    <t>MUHAMMAD AZAM</t>
  </si>
  <si>
    <t>36603-7106798-1</t>
  </si>
  <si>
    <t>03004949232</t>
  </si>
  <si>
    <t xml:space="preserve">R-H KNITTING PLOT NO 1 D 3/1 ST 17B SECTOR 16 B OPP LABOUR SQUARE FLATS NORTH KARACHI </t>
  </si>
  <si>
    <t>DIB/T/BT/02698/KHI/1020</t>
  </si>
  <si>
    <t>207496</t>
  </si>
  <si>
    <t>10107488</t>
  </si>
  <si>
    <t>PODKHI300059016</t>
  </si>
  <si>
    <t>3359/10/2020/ITFM</t>
  </si>
  <si>
    <t>9976AP1182980007</t>
  </si>
  <si>
    <t>HABIB ULLAH</t>
  </si>
  <si>
    <t>36103-1670141-9</t>
  </si>
  <si>
    <t>0300-7890966</t>
  </si>
  <si>
    <t>35183896</t>
  </si>
  <si>
    <t xml:space="preserve">H# 431-E2, WAPDA TOWN LAHORE </t>
  </si>
  <si>
    <t>DIB/T/BT/23034/LHR/1018</t>
  </si>
  <si>
    <t>9792115</t>
  </si>
  <si>
    <t>234086</t>
  </si>
  <si>
    <t>LEB-18A-6705</t>
  </si>
  <si>
    <t>HONDA CITY ASPIRE A/T</t>
  </si>
  <si>
    <t>25-OCT-2018</t>
  </si>
  <si>
    <t>PODLHR300039456</t>
  </si>
  <si>
    <t>TDIDIB0025994</t>
  </si>
  <si>
    <t>23-OCT-2018</t>
  </si>
  <si>
    <t>997APD1203010046</t>
  </si>
  <si>
    <t>HAMZA SAJJAD</t>
  </si>
  <si>
    <t>33102-5667019-3</t>
  </si>
  <si>
    <t>0418500444</t>
  </si>
  <si>
    <t>03236644044, 03236644044</t>
  </si>
  <si>
    <t>03236644044</t>
  </si>
  <si>
    <t xml:space="preserve">H NO P-289-B MUHALLA BATALA COLONY FAISALABAD PK </t>
  </si>
  <si>
    <t>52921/00089/10/2020</t>
  </si>
  <si>
    <t>76824</t>
  </si>
  <si>
    <t>200355</t>
  </si>
  <si>
    <t>HYUNDAI TUCSON</t>
  </si>
  <si>
    <t>PODFSD300058894</t>
  </si>
  <si>
    <t>DIB0028919</t>
  </si>
  <si>
    <t>21-OCT-2020</t>
  </si>
  <si>
    <t>997AAD1202510002</t>
  </si>
  <si>
    <t>KIA MOTORS MUREE ROAD</t>
  </si>
  <si>
    <t>FAHAD SHABBIR</t>
  </si>
  <si>
    <t>37405-2019211-3</t>
  </si>
  <si>
    <t>03455095095</t>
  </si>
  <si>
    <t xml:space="preserve">H # 34 ST # 5 SECTOR-D DHA 1 ISLAMABAD PK </t>
  </si>
  <si>
    <t>DIB/T/BT/28972/ISB/1020</t>
  </si>
  <si>
    <t>G4NALH326442</t>
  </si>
  <si>
    <t>NNAQL51AZKP303591</t>
  </si>
  <si>
    <t>07-SEP-2020</t>
  </si>
  <si>
    <t>POAISD300057127</t>
  </si>
  <si>
    <t>9976AD1210880006</t>
  </si>
  <si>
    <t>KASHIF JAMIL MUSHTAQI</t>
  </si>
  <si>
    <t>35202-7525596-3</t>
  </si>
  <si>
    <t>03248488766</t>
  </si>
  <si>
    <t xml:space="preserve">HOUSE NO 8 BLOCK C-3 PGECHS PECO RO AD TOWNSHIP LAHORE </t>
  </si>
  <si>
    <t>DIB/T/BT/33855/LHR/1021</t>
  </si>
  <si>
    <t>505790</t>
  </si>
  <si>
    <t>1009648</t>
  </si>
  <si>
    <t>KARVAAN PLUS</t>
  </si>
  <si>
    <t>29-MAR-2021</t>
  </si>
  <si>
    <t>OLALHR300066913</t>
  </si>
  <si>
    <t>DIB0032164</t>
  </si>
  <si>
    <t>9976AD1212040003</t>
  </si>
  <si>
    <t>AZHAR IQBAL</t>
  </si>
  <si>
    <t>35202-2740412-7</t>
  </si>
  <si>
    <t>03219476121</t>
  </si>
  <si>
    <t xml:space="preserve">HOUSE NO 4 RAHAT PARK SAMANABAD LAHORE </t>
  </si>
  <si>
    <t>2021-10-205-V01501OP0002444</t>
  </si>
  <si>
    <t>PK10K185931</t>
  </si>
  <si>
    <t>NF1AVK31H10085823</t>
  </si>
  <si>
    <t>23-JUL-2021</t>
  </si>
  <si>
    <t>OLALHR300070990</t>
  </si>
  <si>
    <t>DIB0032133</t>
  </si>
  <si>
    <t>997APD1202970028</t>
  </si>
  <si>
    <t>SYED MUHAMMAD IRFAN NASAR</t>
  </si>
  <si>
    <t>42101-1799459-9</t>
  </si>
  <si>
    <t>03002194584</t>
  </si>
  <si>
    <t xml:space="preserve">FLAT NO 802, 8TH FLOOR MARIAM HEIGHTS OPP NAHEED SUPER MARKET, KARACHI </t>
  </si>
  <si>
    <t>52921/00084/10/2020</t>
  </si>
  <si>
    <t>1819062</t>
  </si>
  <si>
    <t>KSP130-2203470</t>
  </si>
  <si>
    <t>POUKHI300058901</t>
  </si>
  <si>
    <t>ITMM</t>
  </si>
  <si>
    <t>3344/10/2020/ITMM</t>
  </si>
  <si>
    <t>9976AD2212080015</t>
  </si>
  <si>
    <t>AHMED JAVED</t>
  </si>
  <si>
    <t>35201-9991606-5</t>
  </si>
  <si>
    <t>03094028100</t>
  </si>
  <si>
    <t xml:space="preserve">SHOP NO 7 OPPOSITE TOYOTA AIRPORT M OTOR NEAR BOSCH SERVICE MOTOR LAHORE </t>
  </si>
  <si>
    <t>2021-10-205-V01501OP00002442</t>
  </si>
  <si>
    <t>186313</t>
  </si>
  <si>
    <t>10086310</t>
  </si>
  <si>
    <t>OLALHR300071184</t>
  </si>
  <si>
    <t>DIB0032121</t>
  </si>
  <si>
    <t>997AAD2202890002</t>
  </si>
  <si>
    <t>SYED SIBT-E- HASSAN SHAH</t>
  </si>
  <si>
    <t>35202-4699157-7</t>
  </si>
  <si>
    <t>03139996060</t>
  </si>
  <si>
    <t>0512099449</t>
  </si>
  <si>
    <t xml:space="preserve">H # 306 3RD FLOOR AL SAHIB HEIGHTS SECTOR E-11 NEAR JALAL SONS ISLAMABAD PK </t>
  </si>
  <si>
    <t>2524/02150/00091/10/2020</t>
  </si>
  <si>
    <t>6914171</t>
  </si>
  <si>
    <t>LR065981</t>
  </si>
  <si>
    <t>POAISD300058552</t>
  </si>
  <si>
    <t>3288/10/2020/ITMM</t>
  </si>
  <si>
    <t>997APD2202960017</t>
  </si>
  <si>
    <t>ARHAM PERVAIZ BUTT</t>
  </si>
  <si>
    <t>42301-6371974-1</t>
  </si>
  <si>
    <t>03122206658</t>
  </si>
  <si>
    <t xml:space="preserve">OFFICE 37 NEW CHEMICAL MARKET HAJI IBRAHIM GOTH SECTOR 7/A KORANGI INDUSTRAIL AREA KARACHI PAKISTAN </t>
  </si>
  <si>
    <t>52921/00082/10/2020</t>
  </si>
  <si>
    <t>Z12928409</t>
  </si>
  <si>
    <t>JR031777</t>
  </si>
  <si>
    <t>BMB-554</t>
  </si>
  <si>
    <t>HONDA CIVIC VTI ORIEL P/T</t>
  </si>
  <si>
    <t>POUKHI300058952</t>
  </si>
  <si>
    <t>DIB0028910</t>
  </si>
  <si>
    <t>997AAD1202880010</t>
  </si>
  <si>
    <t>HONDA CHENAB-GREEN VIEW MOTORS</t>
  </si>
  <si>
    <t>ABID ISLAM</t>
  </si>
  <si>
    <t>33100-9845584-5</t>
  </si>
  <si>
    <t>041-8784042 / 0300-8660284</t>
  </si>
  <si>
    <t>0300-8660284</t>
  </si>
  <si>
    <t>041-2625212</t>
  </si>
  <si>
    <t xml:space="preserve">H NO 331-B GULISTAN COLONY MILLAT ROAD FAISALABAD </t>
  </si>
  <si>
    <t>2524/02150/00085/10/2020</t>
  </si>
  <si>
    <t>L13Z17540861</t>
  </si>
  <si>
    <t>NFBGM1643LR263838</t>
  </si>
  <si>
    <t>CITY I-VTEC A/T</t>
  </si>
  <si>
    <t>14-OCT-2020</t>
  </si>
  <si>
    <t>POAFSD300058562</t>
  </si>
  <si>
    <t>DIB0028897</t>
  </si>
  <si>
    <t>20-OCT-2020</t>
  </si>
  <si>
    <t>997APD1202960013</t>
  </si>
  <si>
    <t>WASIM HUSSAIN</t>
  </si>
  <si>
    <t>33100-0711360-7</t>
  </si>
  <si>
    <t>03216639799</t>
  </si>
  <si>
    <t>03216639799, 03216639799</t>
  </si>
  <si>
    <t xml:space="preserve">H NO P-39 ST NO 01 MEHMOOD ABAD FAISALABAD PK </t>
  </si>
  <si>
    <t>52921/00076/10/2020</t>
  </si>
  <si>
    <t>17540297</t>
  </si>
  <si>
    <t>LR262931</t>
  </si>
  <si>
    <t>PODFSD300058897</t>
  </si>
  <si>
    <t>3325/10/2020/ITFM</t>
  </si>
  <si>
    <t>9976AD1212100030</t>
  </si>
  <si>
    <t>MUHAMMAD ASIM ULLAH KHAN</t>
  </si>
  <si>
    <t>42101-2267796-5</t>
  </si>
  <si>
    <t>03212069573</t>
  </si>
  <si>
    <t xml:space="preserve">HOUSE # R-98 IQBAL TROWN SECTOR # 1 1-B NORTH KARACHI NEAR SALEEM CENTR KARACHI PK </t>
  </si>
  <si>
    <t>2524/02692/00060/10/2021</t>
  </si>
  <si>
    <t>Q081700</t>
  </si>
  <si>
    <t>6059182</t>
  </si>
  <si>
    <t>OLAKHI300071283</t>
  </si>
  <si>
    <t>5507/10/2021</t>
  </si>
  <si>
    <t>9976AD1212390013</t>
  </si>
  <si>
    <t>33100-7291092-7</t>
  </si>
  <si>
    <t>03006657305</t>
  </si>
  <si>
    <t>03006657305, 03006657305</t>
  </si>
  <si>
    <t>03207862122</t>
  </si>
  <si>
    <t xml:space="preserve">ST NO 07 MANDHI MOHALLA NISHATABAD NEAR LIAQAT MT FAISALABAD PK </t>
  </si>
  <si>
    <t>2021-10-205-V01501OP0002450</t>
  </si>
  <si>
    <t>2A39589</t>
  </si>
  <si>
    <t>9514332</t>
  </si>
  <si>
    <t>OLAFSD300077535</t>
  </si>
  <si>
    <t>DIB0032156</t>
  </si>
  <si>
    <t>9976AD2211190001</t>
  </si>
  <si>
    <t>TOYOTA EASTERN MOTORS</t>
  </si>
  <si>
    <t>42101-9605731-5</t>
  </si>
  <si>
    <t>03002537797</t>
  </si>
  <si>
    <t xml:space="preserve">HOUSE NO A-488 BLOCK 12 GULBERG FEDERAL B AREA KARACHI </t>
  </si>
  <si>
    <t>2524/02692/00059/10/2021</t>
  </si>
  <si>
    <t>Q081822</t>
  </si>
  <si>
    <t>ZRE171R-6059603</t>
  </si>
  <si>
    <t>COROLLA ALTIS A/T</t>
  </si>
  <si>
    <t>29-APR-2021</t>
  </si>
  <si>
    <t>OLAKHI300068031</t>
  </si>
  <si>
    <t>DIB0032119</t>
  </si>
  <si>
    <t>9976AD1210900056</t>
  </si>
  <si>
    <t>MUHAMMAD SHER</t>
  </si>
  <si>
    <t>35102-8988258-1</t>
  </si>
  <si>
    <t>03077278059</t>
  </si>
  <si>
    <t xml:space="preserve">238 J-1 WAPDA TOWN NEAR ENGINEER TOWN SOCIETY SECTOR B ICE FOOD SHOP LAHORE </t>
  </si>
  <si>
    <t>56038/00039/10/2021</t>
  </si>
  <si>
    <t>Q081608</t>
  </si>
  <si>
    <t>6059126</t>
  </si>
  <si>
    <t>31-MAR-2021</t>
  </si>
  <si>
    <t>OLALHR300067381</t>
  </si>
  <si>
    <t>DIB0032168</t>
  </si>
  <si>
    <t>997APD1202950003</t>
  </si>
  <si>
    <t>HIRA RASHID</t>
  </si>
  <si>
    <t>Attok</t>
  </si>
  <si>
    <t>36402-9138378-8</t>
  </si>
  <si>
    <t>03360666554</t>
  </si>
  <si>
    <t>0579316070</t>
  </si>
  <si>
    <t xml:space="preserve">H # 106 MAJOR TAHIR ROAD ATTOCK PK </t>
  </si>
  <si>
    <t>2020/10/CLFTTPCDP00658</t>
  </si>
  <si>
    <t>14043362</t>
  </si>
  <si>
    <t>127112</t>
  </si>
  <si>
    <t>LEE-15-8363</t>
  </si>
  <si>
    <t>POUATK300058892</t>
  </si>
  <si>
    <t>DIB0028906</t>
  </si>
  <si>
    <t>9976AD1221200056</t>
  </si>
  <si>
    <t>FAIZA SHIREEN</t>
  </si>
  <si>
    <t>33102-0724600-4</t>
  </si>
  <si>
    <t>03229866040</t>
  </si>
  <si>
    <t>03229866040, 03229866040</t>
  </si>
  <si>
    <t xml:space="preserve">62-B CANAL VIEW COLONY SAMUNDRI ROA D FSD NEAR SOAP FACTOEY FAISALABAD PK </t>
  </si>
  <si>
    <t>64081/00031/10/2022</t>
  </si>
  <si>
    <t>6r252732</t>
  </si>
  <si>
    <t>1152734</t>
  </si>
  <si>
    <t>30-APR-2022</t>
  </si>
  <si>
    <t>21-Oct-2029</t>
  </si>
  <si>
    <t>OLAFSD300087009</t>
  </si>
  <si>
    <t>9056/10/2022/ITFM</t>
  </si>
  <si>
    <t>19-OCT-2022</t>
  </si>
  <si>
    <t>997AAD1202100006</t>
  </si>
  <si>
    <t>33100-2204135-7</t>
  </si>
  <si>
    <t>03217607335</t>
  </si>
  <si>
    <t>03217607335, 03217607335</t>
  </si>
  <si>
    <t xml:space="preserve">P-440 BLOCK E FACTORY AREA ST NO 10 SIR SYED TOWN FSD FAISALABAD PK </t>
  </si>
  <si>
    <t>2524/02150/00086/10/2020</t>
  </si>
  <si>
    <t>2A09767</t>
  </si>
  <si>
    <t>7005683</t>
  </si>
  <si>
    <t>YARIS 1.3 H CVT</t>
  </si>
  <si>
    <t>28-JUL-2020</t>
  </si>
  <si>
    <t>POAFSD300055956</t>
  </si>
  <si>
    <t>3319/10/2020/ITFM</t>
  </si>
  <si>
    <t>19-OCT-2020</t>
  </si>
  <si>
    <t>997AAD1202740074</t>
  </si>
  <si>
    <t>SUZUKI PIONEER TRADERS</t>
  </si>
  <si>
    <t>RASHID MEHMOOD</t>
  </si>
  <si>
    <t>Multan</t>
  </si>
  <si>
    <t>36303-0661432-3</t>
  </si>
  <si>
    <t>03331647956</t>
  </si>
  <si>
    <t xml:space="preserve">HOUSE NO F42 P/O KHAD FACTORY PAKARAB HOUSING COLONY JAHAGIRABAD TEHSIL DISIT MULTAN </t>
  </si>
  <si>
    <t>2020/10/CLFTTPCDP00657</t>
  </si>
  <si>
    <t>PK10B206267</t>
  </si>
  <si>
    <t>A1J310PK10106253</t>
  </si>
  <si>
    <t>30-SEP-2020</t>
  </si>
  <si>
    <t>POAMUX300057894</t>
  </si>
  <si>
    <t>DIB0028895</t>
  </si>
  <si>
    <t>9976AP1222920021</t>
  </si>
  <si>
    <t>MUHAMMAD WAHEED</t>
  </si>
  <si>
    <t>35201-2280248-1</t>
  </si>
  <si>
    <t>03344005357</t>
  </si>
  <si>
    <t xml:space="preserve">OFF# E-479/1 ST NO 10 GROUND FLOO R BLOCK C SIDDIQI ROAD CINEMA STO P NISHAT COLONY LAHORE </t>
  </si>
  <si>
    <t>64081/00033/10/2022</t>
  </si>
  <si>
    <t>12945238</t>
  </si>
  <si>
    <t>048651</t>
  </si>
  <si>
    <t>LED-18A-9122</t>
  </si>
  <si>
    <t>OLULHR300090378</t>
  </si>
  <si>
    <t>9067/10/2022/ITFM</t>
  </si>
  <si>
    <t>9976AP1222920024</t>
  </si>
  <si>
    <t>HAFIZ BILAL SHAFQAT</t>
  </si>
  <si>
    <t>36501-9812441-7</t>
  </si>
  <si>
    <t>03065764521</t>
  </si>
  <si>
    <t xml:space="preserve">H NO 167 B NICHS PHASE 2 LAHORE PK </t>
  </si>
  <si>
    <t>64081/00034/10/2022</t>
  </si>
  <si>
    <t>537618</t>
  </si>
  <si>
    <t>1008563</t>
  </si>
  <si>
    <t>AKH-262</t>
  </si>
  <si>
    <t>OLULHR300090380</t>
  </si>
  <si>
    <t>9066/10/2022/ITFM</t>
  </si>
  <si>
    <t>9976AP1182910004</t>
  </si>
  <si>
    <t>ZOHAIB IQBAL</t>
  </si>
  <si>
    <t>35202-1338970-7</t>
  </si>
  <si>
    <t>032040004269</t>
  </si>
  <si>
    <t>03204004269</t>
  </si>
  <si>
    <t>36308739</t>
  </si>
  <si>
    <t xml:space="preserve">MINDBRIDGE PVT LTD 32 EMPRES ROAD F EROZSONS BUILDING LAHORE </t>
  </si>
  <si>
    <t>49889/00015/10/2018</t>
  </si>
  <si>
    <t>169759</t>
  </si>
  <si>
    <t>10069706</t>
  </si>
  <si>
    <t>LEC-18A-6501</t>
  </si>
  <si>
    <t>WAGONR VXR</t>
  </si>
  <si>
    <t>18-OCT-2018</t>
  </si>
  <si>
    <t>21-OCT-2018</t>
  </si>
  <si>
    <t>PODLHR300039301</t>
  </si>
  <si>
    <t>16553/10/2018</t>
  </si>
  <si>
    <t>17-OCT-2018</t>
  </si>
  <si>
    <t>9976AP1222920028</t>
  </si>
  <si>
    <t>KHALID AHMED</t>
  </si>
  <si>
    <t>42201-0495880-5</t>
  </si>
  <si>
    <t>03333937075</t>
  </si>
  <si>
    <t>03333937075, 03333937075</t>
  </si>
  <si>
    <t xml:space="preserve">H. NO. 45 SECTOR 36-E KORANGI # 6 N EAR BEHIND MCB KORANGI 6 KARACHI PK </t>
  </si>
  <si>
    <t>64081/000032/10/2022</t>
  </si>
  <si>
    <t>335696</t>
  </si>
  <si>
    <t>7034842</t>
  </si>
  <si>
    <t>BPH-999</t>
  </si>
  <si>
    <t>TOYOTA COROLLA ALTIS</t>
  </si>
  <si>
    <t>OLUKHI300090372</t>
  </si>
  <si>
    <t>9068/10/2022/ITFM</t>
  </si>
  <si>
    <t>9976AP1192950004</t>
  </si>
  <si>
    <t>HASSAN SARFARAZ</t>
  </si>
  <si>
    <t>35200-9220490-5</t>
  </si>
  <si>
    <t>03218860506</t>
  </si>
  <si>
    <t>03368860500</t>
  </si>
  <si>
    <t xml:space="preserve">565-F BLOCK JOHAR TOWN LAHORE. </t>
  </si>
  <si>
    <t>51244/00043/10/2019</t>
  </si>
  <si>
    <t>PK10B141865</t>
  </si>
  <si>
    <t>PK10041863</t>
  </si>
  <si>
    <t>LEA-17A-3243</t>
  </si>
  <si>
    <t>22-OCT-2019</t>
  </si>
  <si>
    <t>POULHR300049971</t>
  </si>
  <si>
    <t>DIB0027911</t>
  </si>
  <si>
    <t>21-OCT-2019</t>
  </si>
  <si>
    <t>997APD1172910001</t>
  </si>
  <si>
    <t>AHMED SHAFI</t>
  </si>
  <si>
    <t>Wah Cantt</t>
  </si>
  <si>
    <t>37405-3616308-5</t>
  </si>
  <si>
    <t>03008304786</t>
  </si>
  <si>
    <t>92515472786</t>
  </si>
  <si>
    <t xml:space="preserve">HOUSE NO 316 MOH LANE NO 1 ZAKARIA ROAD WESTRIDGE II RAWALPINDI </t>
  </si>
  <si>
    <t>DIB/T/18137/LHR/1017</t>
  </si>
  <si>
    <t>3837079</t>
  </si>
  <si>
    <t>1037053</t>
  </si>
  <si>
    <t>AFK-316</t>
  </si>
  <si>
    <t>HONDA VEZEL</t>
  </si>
  <si>
    <t>18-OCT-2017</t>
  </si>
  <si>
    <t>21-OCT-2017</t>
  </si>
  <si>
    <t>POURWP300026473</t>
  </si>
  <si>
    <t>TDIDIB0021175</t>
  </si>
  <si>
    <t>17-OCT-2017</t>
  </si>
  <si>
    <t>9976AP2222930016</t>
  </si>
  <si>
    <t>MASTER MOTORS</t>
  </si>
  <si>
    <t>RANA MUHAMMAD RIZWAN KHAN</t>
  </si>
  <si>
    <t>35201-1352412-5</t>
  </si>
  <si>
    <t>0333-4093004</t>
  </si>
  <si>
    <t>042-37425744-48</t>
  </si>
  <si>
    <t xml:space="preserve">H# E-102 ST# 4 MOHALLAH GULSHAN ALI COLONY DHA LAHORE </t>
  </si>
  <si>
    <t>64081/00029/10/2022</t>
  </si>
  <si>
    <t>239919</t>
  </si>
  <si>
    <t>10139937</t>
  </si>
  <si>
    <t>20-OCT-2022</t>
  </si>
  <si>
    <t>OLDLHR300090360</t>
  </si>
  <si>
    <t>9057/10/2022/ITFM</t>
  </si>
  <si>
    <t>18-OCT-2022</t>
  </si>
  <si>
    <t>9976AP2222930018</t>
  </si>
  <si>
    <t>MUHAMMAD DANIYAL KHAN</t>
  </si>
  <si>
    <t>42201-2651828-9</t>
  </si>
  <si>
    <t>03452357197</t>
  </si>
  <si>
    <t xml:space="preserve">FLAT # 5/8 BLOCK 5 THIRD FLOOR BAGH E RIZWAN APRT BLOCK 16 GULSHAN E I KARACHI PK </t>
  </si>
  <si>
    <t>64081/00035/10/2022</t>
  </si>
  <si>
    <t>6Z120786</t>
  </si>
  <si>
    <t>H1020786</t>
  </si>
  <si>
    <t>BRN-369</t>
  </si>
  <si>
    <t>OLUKHI300090373</t>
  </si>
  <si>
    <t>9071/10/2022/ITFM</t>
  </si>
  <si>
    <t>997APD1202930005</t>
  </si>
  <si>
    <t>MUHAMMAD UMER ALAM</t>
  </si>
  <si>
    <t>42201-8146005-7</t>
  </si>
  <si>
    <t>03343118875</t>
  </si>
  <si>
    <t xml:space="preserve">A220, LONG LIVE BANGLOWS BLOCK 17 KARACHI </t>
  </si>
  <si>
    <t>52921/00067/10/2020</t>
  </si>
  <si>
    <t>71402083</t>
  </si>
  <si>
    <t>007016</t>
  </si>
  <si>
    <t>BHD-311</t>
  </si>
  <si>
    <t>HONDA CIVIC 1.5L TURBO</t>
  </si>
  <si>
    <t>POUKHI300058641</t>
  </si>
  <si>
    <t>3299/10/2020/ITFM</t>
  </si>
  <si>
    <t>16-OCT-2020</t>
  </si>
  <si>
    <t>997APD1202930003</t>
  </si>
  <si>
    <t>MUHAMMAD NAEEM SIDDIQUI</t>
  </si>
  <si>
    <t>42101-4581109-7</t>
  </si>
  <si>
    <t>03018240324</t>
  </si>
  <si>
    <t>02136910326</t>
  </si>
  <si>
    <t xml:space="preserve">HOUSE # R-1061 SECTOR # 15-A/4 BUFF ER ZONE NORTH KARACHI NEAR AL HUDA KARACHI PK </t>
  </si>
  <si>
    <t>52921/00065/10/2020</t>
  </si>
  <si>
    <t>17456790</t>
  </si>
  <si>
    <t>R199242</t>
  </si>
  <si>
    <t>BHP-379</t>
  </si>
  <si>
    <t>CITY IVTEC M/T</t>
  </si>
  <si>
    <t>POUKHI300058672</t>
  </si>
  <si>
    <t>3297/10/2020/ITFM</t>
  </si>
  <si>
    <t>9976AP1192900003</t>
  </si>
  <si>
    <t>MOHAMMAD KAMIL</t>
  </si>
  <si>
    <t>61101-3823213-3</t>
  </si>
  <si>
    <t>03005770124 2210683</t>
  </si>
  <si>
    <t>0300-5570124 0300-0510024</t>
  </si>
  <si>
    <t>2650311</t>
  </si>
  <si>
    <t xml:space="preserve">H # 189 ST # 21 F-11/2 ISLAMABAD </t>
  </si>
  <si>
    <t>51244/00035/10/2019</t>
  </si>
  <si>
    <t>1258633</t>
  </si>
  <si>
    <t>10025827</t>
  </si>
  <si>
    <t>AKY-459</t>
  </si>
  <si>
    <t>17-OCT-2019</t>
  </si>
  <si>
    <t>POUISD300049921</t>
  </si>
  <si>
    <t>DIB0027908</t>
  </si>
  <si>
    <t>997AAD2201810003</t>
  </si>
  <si>
    <t>TOYOTA GT MOTORS</t>
  </si>
  <si>
    <t>MUHAMMAD ARIF QURESHI</t>
  </si>
  <si>
    <t>82203-5026980-9</t>
  </si>
  <si>
    <t>03025558504</t>
  </si>
  <si>
    <t xml:space="preserve">WARD NO 04 MOHALLAH JALALABAD MUZAFFARABAD </t>
  </si>
  <si>
    <t>DIB/T/BT/28948/ISB/1020</t>
  </si>
  <si>
    <t>2A09191</t>
  </si>
  <si>
    <t>NSP150R-7005270</t>
  </si>
  <si>
    <t>YARIS ATIV MT 1.3</t>
  </si>
  <si>
    <t>29-JUN-2020</t>
  </si>
  <si>
    <t>POAMFD300054653</t>
  </si>
  <si>
    <t>17210/10/2020</t>
  </si>
  <si>
    <t>9976AD1192420007</t>
  </si>
  <si>
    <t>KIA MOTORS CANAL ROAD</t>
  </si>
  <si>
    <t>MUHAMMAD IFTIKHAR</t>
  </si>
  <si>
    <t>33100-1474941-3</t>
  </si>
  <si>
    <t>0300-8668826</t>
  </si>
  <si>
    <t>03008668826</t>
  </si>
  <si>
    <t>8846605</t>
  </si>
  <si>
    <t xml:space="preserve">H # P-435 BLOCK A MOHALLA GULISTAN COLONY MILLAT CHOWK FAISALABAD </t>
  </si>
  <si>
    <t>51244/00032/10/2019</t>
  </si>
  <si>
    <t>KH030510</t>
  </si>
  <si>
    <t>KP500644</t>
  </si>
  <si>
    <t>APK-054</t>
  </si>
  <si>
    <t>KIA SPORTAGE</t>
  </si>
  <si>
    <t>30-AUG-2019</t>
  </si>
  <si>
    <t>POAFSD300048667</t>
  </si>
  <si>
    <t>9976AP1192900007</t>
  </si>
  <si>
    <t>IMTIAZ MUHAMMAD SHERA</t>
  </si>
  <si>
    <t>Pattoki</t>
  </si>
  <si>
    <t>35103-6328607-9</t>
  </si>
  <si>
    <t>03016115672</t>
  </si>
  <si>
    <t>03035405771, 03016115672</t>
  </si>
  <si>
    <t>03035405771</t>
  </si>
  <si>
    <t xml:space="preserve">MAIN BAZAR MEGA ROAD PATTOKI </t>
  </si>
  <si>
    <t>01-1910-PO-MTR-PCCM-D-002704</t>
  </si>
  <si>
    <t>6R116321</t>
  </si>
  <si>
    <t>H1016225</t>
  </si>
  <si>
    <t>ALTO VXR</t>
  </si>
  <si>
    <t>PODPTK300049771</t>
  </si>
  <si>
    <t>1900/10/2019/ITFM</t>
  </si>
  <si>
    <t>16-OCT-2019</t>
  </si>
  <si>
    <t>997AAD1202880001</t>
  </si>
  <si>
    <t>MUHAMMAD HAIDER KHAN</t>
  </si>
  <si>
    <t>37405-7092583-7</t>
  </si>
  <si>
    <t>03325055209</t>
  </si>
  <si>
    <t>0518430133</t>
  </si>
  <si>
    <t xml:space="preserve">H # 600 ST # 42 PHASE II BAHRIA TOW N RAWALPINDI PK </t>
  </si>
  <si>
    <t>2524/02150/00060/10/2020</t>
  </si>
  <si>
    <t>6914181</t>
  </si>
  <si>
    <t>LR065996</t>
  </si>
  <si>
    <t>POAISD300058363</t>
  </si>
  <si>
    <t>3287/10/2020/ITFM</t>
  </si>
  <si>
    <t>997APD2202890004</t>
  </si>
  <si>
    <t>MUHAMMAD AFTAB</t>
  </si>
  <si>
    <t>35201-8922080-3</t>
  </si>
  <si>
    <t>03214705454</t>
  </si>
  <si>
    <t xml:space="preserve">296-2-C1 TOWNSHIP LAHORE PK </t>
  </si>
  <si>
    <t>52921/00057/10/2020</t>
  </si>
  <si>
    <t>R18Z16914110</t>
  </si>
  <si>
    <t>NFBFC666XLR065917</t>
  </si>
  <si>
    <t>CIVIC VTI P/T S/R</t>
  </si>
  <si>
    <t>PODLHR300058442</t>
  </si>
  <si>
    <t>3275/10/2020/ITMM</t>
  </si>
  <si>
    <t>997AAD1202260003</t>
  </si>
  <si>
    <t>FAIQA JAVEED</t>
  </si>
  <si>
    <t>33100-8886089-4</t>
  </si>
  <si>
    <t>03345666556</t>
  </si>
  <si>
    <t>03345666556, 03326658318</t>
  </si>
  <si>
    <t xml:space="preserve">H NO P-217 ST NO 06 MUSLIM TOWN NO 01 SARGODHA ROAD FAISALABAD PK </t>
  </si>
  <si>
    <t>2524/02150/00046/10/2020</t>
  </si>
  <si>
    <t>2A08837</t>
  </si>
  <si>
    <t>7005051</t>
  </si>
  <si>
    <t>YARIS CVT GLI 1.3</t>
  </si>
  <si>
    <t>13-AUG-2020</t>
  </si>
  <si>
    <t>POAFSD300056512</t>
  </si>
  <si>
    <t>DIB0028873</t>
  </si>
  <si>
    <t>9976AP2222930017</t>
  </si>
  <si>
    <t>TOYOTA SHAHRA MOTORS</t>
  </si>
  <si>
    <t>ARHAM ASLAM</t>
  </si>
  <si>
    <t>35202-9195070-7</t>
  </si>
  <si>
    <t>03217878085</t>
  </si>
  <si>
    <t>04235115962</t>
  </si>
  <si>
    <t xml:space="preserve">H NO 68-K MODEL TOWN LAHORE PK </t>
  </si>
  <si>
    <t>64081/00038/10/2022</t>
  </si>
  <si>
    <t>198854</t>
  </si>
  <si>
    <t>R-0440051</t>
  </si>
  <si>
    <t>LE-17-7510</t>
  </si>
  <si>
    <t>TOYOTA FORTUNER A/T</t>
  </si>
  <si>
    <t>OLULHR300090387</t>
  </si>
  <si>
    <t>9083/10/2022/ITFM</t>
  </si>
  <si>
    <t>9976AP1222930038</t>
  </si>
  <si>
    <t>IG MOTORS</t>
  </si>
  <si>
    <t>HAFIZ MUHAMMAD ASHFAQ ARIF</t>
  </si>
  <si>
    <t>42101-1811090-3</t>
  </si>
  <si>
    <t>03018281177</t>
  </si>
  <si>
    <t xml:space="preserve">H.NO A- 134 GROUNFLOOR ITTEHAD BANG LOWS BLOCK 11 GULSHAN-E- IQBAL ALAD KARACHI PK </t>
  </si>
  <si>
    <t>64081/00036/10/2022</t>
  </si>
  <si>
    <t>1009128</t>
  </si>
  <si>
    <t>109135</t>
  </si>
  <si>
    <t>SUZUKI SWIFT GL M/T</t>
  </si>
  <si>
    <t>OLDKHI300090311</t>
  </si>
  <si>
    <t>9074/10/2022/ITFM</t>
  </si>
  <si>
    <t>997APD1202940005</t>
  </si>
  <si>
    <t>MUHAMMAD SOHAIL ZAFAR</t>
  </si>
  <si>
    <t>34603-2159531-1</t>
  </si>
  <si>
    <t>0524260787</t>
  </si>
  <si>
    <t>03087865900</t>
  </si>
  <si>
    <t>0524265846</t>
  </si>
  <si>
    <t xml:space="preserve">LONDON STUDIO 232 D ALLAMAIQBAL ROAD NEAR IQBAL SQUARE SIALKOT CANTT </t>
  </si>
  <si>
    <t>2020/10/CLFTTPCDP00652</t>
  </si>
  <si>
    <t>6R142318</t>
  </si>
  <si>
    <t>NF1AET306H1042290</t>
  </si>
  <si>
    <t>PODSKT300058578</t>
  </si>
  <si>
    <t>3277/10/2020/ITMM</t>
  </si>
  <si>
    <t>997APD2202960020</t>
  </si>
  <si>
    <t>DANISH MEHBOOB</t>
  </si>
  <si>
    <t>41304-2315265-1</t>
  </si>
  <si>
    <t>03332720626</t>
  </si>
  <si>
    <t>111436111</t>
  </si>
  <si>
    <t xml:space="preserve">GEO PRINTING HOUSE, I.I CHUNDRIGAR ROAD KHI </t>
  </si>
  <si>
    <t>52921/00059/10/2020</t>
  </si>
  <si>
    <t>Z099312</t>
  </si>
  <si>
    <t>NZE170R-4002524</t>
  </si>
  <si>
    <t>BCX-711</t>
  </si>
  <si>
    <t>COROLLA GLI A/T</t>
  </si>
  <si>
    <t>POUKHI300058577</t>
  </si>
  <si>
    <t>3278/10/2020/ITMM</t>
  </si>
  <si>
    <t>997APD2202880003</t>
  </si>
  <si>
    <t>MUHAMMAD TASLEEM</t>
  </si>
  <si>
    <t>42201-0241157-3</t>
  </si>
  <si>
    <t>03012248986</t>
  </si>
  <si>
    <t>03012248986, 03222045007</t>
  </si>
  <si>
    <t>02199230456</t>
  </si>
  <si>
    <t xml:space="preserve">HOUSE # B-69, BLK-14 GULISTAN-E-JOH AR NEAR JOHAR POLICE STATION KARACHI PK </t>
  </si>
  <si>
    <t>52921/00050/10/2020</t>
  </si>
  <si>
    <t>Z517733</t>
  </si>
  <si>
    <t>4143868</t>
  </si>
  <si>
    <t>BNP-686</t>
  </si>
  <si>
    <t>POUKHI300058544</t>
  </si>
  <si>
    <t>3251/10/2020/ITMM</t>
  </si>
  <si>
    <t>13-OCT-2020</t>
  </si>
  <si>
    <t>997AAD1181170013</t>
  </si>
  <si>
    <t>MAHVISH BATOOL</t>
  </si>
  <si>
    <t>Jhang</t>
  </si>
  <si>
    <t>33204-0618756-8</t>
  </si>
  <si>
    <t>03316778643</t>
  </si>
  <si>
    <t xml:space="preserve">ILTAF HUSSAIN SHAH MOH RIAZ ABAD NEAR COCA COLA SUGAR MILLS ROAD SATELLITE TOWN JHANG </t>
  </si>
  <si>
    <t>01-1810-PO-MTR-PCCM-D-002575</t>
  </si>
  <si>
    <t>173124</t>
  </si>
  <si>
    <t>10073133</t>
  </si>
  <si>
    <t>LEB-19-2514</t>
  </si>
  <si>
    <t>27-APR-2018</t>
  </si>
  <si>
    <t>POAJHG300033437</t>
  </si>
  <si>
    <t>TDIDIB0025928</t>
  </si>
  <si>
    <t>12-OCT-2018</t>
  </si>
  <si>
    <t>9976AD2182390002</t>
  </si>
  <si>
    <t>TOYOTA SHAHRA-E-FAISAL MOTORS</t>
  </si>
  <si>
    <t>AFTAB HUSSAIN</t>
  </si>
  <si>
    <t>42201-4472792-3</t>
  </si>
  <si>
    <t>0333-2782642</t>
  </si>
  <si>
    <t>03332782642</t>
  </si>
  <si>
    <t>34800590</t>
  </si>
  <si>
    <t xml:space="preserve">3RD FLOOR, SHAES CENTRE, SB-25 BLOCK NO 13-C, GULSHAN-E-IQBAL KARACHI. </t>
  </si>
  <si>
    <t>DIB/T/BT/22961/KHI/1018</t>
  </si>
  <si>
    <t>Z538731</t>
  </si>
  <si>
    <t>4164412</t>
  </si>
  <si>
    <t>BNQ-617</t>
  </si>
  <si>
    <t>COROLLA XLI</t>
  </si>
  <si>
    <t>27-AUG-2018</t>
  </si>
  <si>
    <t>POAKHI300037426</t>
  </si>
  <si>
    <t>16523/10/2018</t>
  </si>
  <si>
    <t>997AAD1202860016</t>
  </si>
  <si>
    <t>HAMMAD MALIK</t>
  </si>
  <si>
    <t>37405-0569766-9</t>
  </si>
  <si>
    <t>03455299144</t>
  </si>
  <si>
    <t>0514865856</t>
  </si>
  <si>
    <t xml:space="preserve">H # 102 ST # 04 BLOCK-D MEDIA TOWN ISLAMABAD PK </t>
  </si>
  <si>
    <t>2524/02150/00039/10/2020</t>
  </si>
  <si>
    <t>17540901</t>
  </si>
  <si>
    <t>263845</t>
  </si>
  <si>
    <t>12-OCT-2020</t>
  </si>
  <si>
    <t>POAISD300058362</t>
  </si>
  <si>
    <t>3241/10/2020</t>
  </si>
  <si>
    <t>10-OCT-2020</t>
  </si>
  <si>
    <t>9976AP2223010039</t>
  </si>
  <si>
    <t>DANIEL SUNIEL DAVID</t>
  </si>
  <si>
    <t>35202-2955336-7</t>
  </si>
  <si>
    <t>03234836282</t>
  </si>
  <si>
    <t xml:space="preserve">HOUSE NO 513-E / II, STREET 6-A ZAMAN COLONY EXT CAVALARY GROUND LAHORE </t>
  </si>
  <si>
    <t>64081/00039/10/2022</t>
  </si>
  <si>
    <t>12925601</t>
  </si>
  <si>
    <t>028979</t>
  </si>
  <si>
    <t>LEC-17A-272</t>
  </si>
  <si>
    <t>HONDA CIVIC VTI ORIEL PT</t>
  </si>
  <si>
    <t>28-OCT-2022</t>
  </si>
  <si>
    <t>03-NOV-2022</t>
  </si>
  <si>
    <t>OLULHR300090389</t>
  </si>
  <si>
    <t>9091/10/2022/ITFM</t>
  </si>
  <si>
    <t>9976AD1172200005</t>
  </si>
  <si>
    <t>NAZIM HUSSAIN</t>
  </si>
  <si>
    <t>35200-1572873-9</t>
  </si>
  <si>
    <t>03334256992</t>
  </si>
  <si>
    <t>033342556992</t>
  </si>
  <si>
    <t>36370992-3</t>
  </si>
  <si>
    <t xml:space="preserve">H# 36 ST# 2 A ISLAM PARK NEAR REHMA N PUBLIC SCHOOL HARBANSEPURA LAHORE PK </t>
  </si>
  <si>
    <t>DIB/T/18011/LHR/1017</t>
  </si>
  <si>
    <t>17502058</t>
  </si>
  <si>
    <t>212174</t>
  </si>
  <si>
    <t>LEB-17A-2792</t>
  </si>
  <si>
    <t>08-AUG-2017</t>
  </si>
  <si>
    <t>POALHR300024585</t>
  </si>
  <si>
    <t>TDIDIB0021154</t>
  </si>
  <si>
    <t>13-OCT-2017</t>
  </si>
  <si>
    <t>9976AP1232930008</t>
  </si>
  <si>
    <t>SAHAR RASHEED</t>
  </si>
  <si>
    <t>42101-5476906-6</t>
  </si>
  <si>
    <t>03490252332</t>
  </si>
  <si>
    <t xml:space="preserve">HOUSE # 62/5 PECHS BLOCK 6 PECHS KARACHI PK </t>
  </si>
  <si>
    <t>76078/00005/10/2023</t>
  </si>
  <si>
    <t>18-OCT-2024</t>
  </si>
  <si>
    <t>6R183369</t>
  </si>
  <si>
    <t>1083328</t>
  </si>
  <si>
    <t>BUP-097</t>
  </si>
  <si>
    <t>OLUKHI300097510</t>
  </si>
  <si>
    <t>DIB0035385</t>
  </si>
  <si>
    <t>20-OCT-2023</t>
  </si>
  <si>
    <t>9976AD1172120032</t>
  </si>
  <si>
    <t>SHEHLA GOHER</t>
  </si>
  <si>
    <t>33202-7189538-6</t>
  </si>
  <si>
    <t>03338953548</t>
  </si>
  <si>
    <t>37583649</t>
  </si>
  <si>
    <t xml:space="preserve">H# 359 G4 BLOCK JOHAR TOWN LAHORE PK </t>
  </si>
  <si>
    <t>DIB/T/18037/LHR/1017</t>
  </si>
  <si>
    <t>12923043</t>
  </si>
  <si>
    <t>HR026300</t>
  </si>
  <si>
    <t>LEB-17A-1020</t>
  </si>
  <si>
    <t>CIVIC IVTEC ORIEL P/T NAV &amp; LEATHER SEATS</t>
  </si>
  <si>
    <t>31-JUL-2017</t>
  </si>
  <si>
    <t>POALHR300024397</t>
  </si>
  <si>
    <t>TDIDIB0021163</t>
  </si>
  <si>
    <t>16-OCT-2017</t>
  </si>
  <si>
    <t>9976AP2192870001</t>
  </si>
  <si>
    <t>SAJID ALI</t>
  </si>
  <si>
    <t>35201-1490710-9</t>
  </si>
  <si>
    <t>03219484442</t>
  </si>
  <si>
    <t xml:space="preserve">HALOKI DAK KHANA KHAS LAHORE CANTT NEAR BISMILLAH GENERAL STORE LAHORE </t>
  </si>
  <si>
    <t>51244/00026/10/2019</t>
  </si>
  <si>
    <t>L13Z17502902</t>
  </si>
  <si>
    <t>NFBGM1540HR213309</t>
  </si>
  <si>
    <t>LEB-18-3082</t>
  </si>
  <si>
    <t>14-OCT-2019</t>
  </si>
  <si>
    <t>POULHR300049801</t>
  </si>
  <si>
    <t>1885/10/2019/ITFM</t>
  </si>
  <si>
    <t>997AAD1201980011</t>
  </si>
  <si>
    <t>REHMAN YASIN</t>
  </si>
  <si>
    <t>Burewala</t>
  </si>
  <si>
    <t>36601-1329583-9</t>
  </si>
  <si>
    <t>03006999476</t>
  </si>
  <si>
    <t>0673352320</t>
  </si>
  <si>
    <t xml:space="preserve">C/O REHMAN YASIN NEW REHMAN ELECTRONICS ARIF BAZAR BUREWALA 03006999476 </t>
  </si>
  <si>
    <t>DIB/T/28926/LHR/1020</t>
  </si>
  <si>
    <t>G4NALH323386</t>
  </si>
  <si>
    <t>NNAQL51AZKP505158</t>
  </si>
  <si>
    <t>16-JUL-2020</t>
  </si>
  <si>
    <t>POABRW300055219</t>
  </si>
  <si>
    <t>997AAD1202390011</t>
  </si>
  <si>
    <t>HONDA PORT QASIM</t>
  </si>
  <si>
    <t>HAFIZ GHAYAS GHAZALI</t>
  </si>
  <si>
    <t>42101-2012682-5</t>
  </si>
  <si>
    <t>03040123467</t>
  </si>
  <si>
    <t>02134322332</t>
  </si>
  <si>
    <t xml:space="preserve">HOUSE # B-110 BLOCK 14 GULISTAN-E-J OHAR NEAR CONTINENTAL BACKERY KARACHI </t>
  </si>
  <si>
    <t>DIB/T/BT/28928/KHI/1020</t>
  </si>
  <si>
    <t>R18Z16913858</t>
  </si>
  <si>
    <t>NFBFC6661LR065658</t>
  </si>
  <si>
    <t>26-AUG-2020</t>
  </si>
  <si>
    <t>POAKHI300056777</t>
  </si>
  <si>
    <t>TDIDIB0028675</t>
  </si>
  <si>
    <t>02-NOV-2020</t>
  </si>
  <si>
    <t>997APD2202860011</t>
  </si>
  <si>
    <t>ZUBAIR MUNSAF</t>
  </si>
  <si>
    <t>37406-1636087-7</t>
  </si>
  <si>
    <t>03005292757</t>
  </si>
  <si>
    <t>2220966</t>
  </si>
  <si>
    <t xml:space="preserve">H # 1 MOHALLA MAKKI MASJID NEAR SHELL PUMP TAXILA </t>
  </si>
  <si>
    <t>52921/00042/10/2020</t>
  </si>
  <si>
    <t>1820314008</t>
  </si>
  <si>
    <t>115595</t>
  </si>
  <si>
    <t>PRINCE GLORY 580 SUV</t>
  </si>
  <si>
    <t>11-OCT-2020</t>
  </si>
  <si>
    <t>POAISD300058414</t>
  </si>
  <si>
    <t>3233/10/2020/ITFM</t>
  </si>
  <si>
    <t>09-OCT-2020</t>
  </si>
  <si>
    <t>9976AD1211970006</t>
  </si>
  <si>
    <t>SHAHROOZ SALEEM</t>
  </si>
  <si>
    <t>33100-7857135-9</t>
  </si>
  <si>
    <t>03355800038</t>
  </si>
  <si>
    <t>03355800038, 03355800038</t>
  </si>
  <si>
    <t>0412412938</t>
  </si>
  <si>
    <t xml:space="preserve">H NO F-77 GATE NO 02 TNT COLONY SAT YANA ROAD FAISALABAD PK </t>
  </si>
  <si>
    <t>2021/10/CLFTTPCDP01120</t>
  </si>
  <si>
    <t>6R186326</t>
  </si>
  <si>
    <t>NF1AET306H1086337</t>
  </si>
  <si>
    <t>OLAFSD300070755</t>
  </si>
  <si>
    <t>DIB0032060</t>
  </si>
  <si>
    <t>9976AD2211720003</t>
  </si>
  <si>
    <t>MUHAMMAD ASLAM</t>
  </si>
  <si>
    <t>42101-1570828-9</t>
  </si>
  <si>
    <t>03002278595</t>
  </si>
  <si>
    <t xml:space="preserve">HOUSE C- 179 BLOCK 6 FB AREA AYESHA MANZIL BEHIND IMAM BARGAH KARACHI PK </t>
  </si>
  <si>
    <t>2524/02692/00069/10/2021</t>
  </si>
  <si>
    <t>JL466Q9M69U504520</t>
  </si>
  <si>
    <t>NKMMAB3D1M1008870</t>
  </si>
  <si>
    <t>OLAKHI300069643</t>
  </si>
  <si>
    <t>DIB0032066</t>
  </si>
  <si>
    <t>9976AP1212950008</t>
  </si>
  <si>
    <t>SHAKEEL AHMED-ASAAN ACCOUNT</t>
  </si>
  <si>
    <t>42201-1613497-9</t>
  </si>
  <si>
    <t>03003503828</t>
  </si>
  <si>
    <t xml:space="preserve">FLAT NO C-32 HOOR PALACE APPARTMENTS NEAR METRO BLOCK-11 GULSHAN-E-IQBAL KARACHI </t>
  </si>
  <si>
    <t>DIB/T/BT/33967/KHI/1021</t>
  </si>
  <si>
    <t>L13Z1-7423872</t>
  </si>
  <si>
    <t>NFBGM1548FR161179</t>
  </si>
  <si>
    <t>BCZ-801</t>
  </si>
  <si>
    <t>OLUKHI300075773</t>
  </si>
  <si>
    <t>TDIDIB0029722</t>
  </si>
  <si>
    <t>9976AP1213030011</t>
  </si>
  <si>
    <t>MUHAMMAD AWAIS MAJEED</t>
  </si>
  <si>
    <t>35202-4477255-1</t>
  </si>
  <si>
    <t>03454755993</t>
  </si>
  <si>
    <t xml:space="preserve">H.NO.105-D PAKARAB HOUSING SOCITY FIROZPUR ROAD LAHORE 0345-4755993 LAHORE </t>
  </si>
  <si>
    <t>2524/02692/00067/10/2021</t>
  </si>
  <si>
    <t>185862</t>
  </si>
  <si>
    <t>1085819</t>
  </si>
  <si>
    <t>SUZUKI ALTO VXL EURO II</t>
  </si>
  <si>
    <t>30-OCT-2021</t>
  </si>
  <si>
    <t>OLDLHR300075381</t>
  </si>
  <si>
    <t>DIB0032167</t>
  </si>
  <si>
    <t>9976AP2212940008</t>
  </si>
  <si>
    <t>FARHAN LIAQAT</t>
  </si>
  <si>
    <t>35201-6170861-5</t>
  </si>
  <si>
    <t>03226825976</t>
  </si>
  <si>
    <t xml:space="preserve">HOUSE NO 2 STREET NO 4 MILL WALI GA LI NEAR EURO STORE CHAUDHARY COLONY LAHORE PK </t>
  </si>
  <si>
    <t>2524/02692/00066/10/2021</t>
  </si>
  <si>
    <t>038405</t>
  </si>
  <si>
    <t>701910</t>
  </si>
  <si>
    <t>LEB-20-6864</t>
  </si>
  <si>
    <t>KIA PICANTO</t>
  </si>
  <si>
    <t>OLULHR300075682</t>
  </si>
  <si>
    <t>DIB0032175</t>
  </si>
  <si>
    <t>9976AP1212980006</t>
  </si>
  <si>
    <t>BADAR SIDDIQUE</t>
  </si>
  <si>
    <t>34101-1354088-5</t>
  </si>
  <si>
    <t>03155835000</t>
  </si>
  <si>
    <t xml:space="preserve">NEAR THANA SADAR GT ROAD ST NO 5 MO H PRAO CAMP NO 4 GUJRANWALA PK </t>
  </si>
  <si>
    <t>01-2110-PO-MTR-PCCM-D-001442</t>
  </si>
  <si>
    <t>17445585</t>
  </si>
  <si>
    <t>R186614</t>
  </si>
  <si>
    <t>LED-16-2272</t>
  </si>
  <si>
    <t>HONDA CITY I-VTEC</t>
  </si>
  <si>
    <t>OLUGWL300075583</t>
  </si>
  <si>
    <t>DIB0032183</t>
  </si>
  <si>
    <t>9976AD1212250020</t>
  </si>
  <si>
    <t>TOYOTA GARDEN MOTORS</t>
  </si>
  <si>
    <t>AZEEM UL SHAN</t>
  </si>
  <si>
    <t>33105-3658491-1</t>
  </si>
  <si>
    <t>03084544453</t>
  </si>
  <si>
    <t>04235300165</t>
  </si>
  <si>
    <t xml:space="preserve">24-J,III M.A JOHAR TOWN PHASE II LAHORE </t>
  </si>
  <si>
    <t>56038/00041/10/2021</t>
  </si>
  <si>
    <t>2A38539</t>
  </si>
  <si>
    <t>9514350</t>
  </si>
  <si>
    <t>OLALHR300071963</t>
  </si>
  <si>
    <t>DIB0032182</t>
  </si>
  <si>
    <t>997AAD1202400016</t>
  </si>
  <si>
    <t>HAFIZ ALI DAWOOD</t>
  </si>
  <si>
    <t>33100-1562371-7</t>
  </si>
  <si>
    <t>03219664705</t>
  </si>
  <si>
    <t xml:space="preserve">HOUSE 20 C CHANDNI STREET NO 1 PEOPLES COLONY 1 FAISALABAD </t>
  </si>
  <si>
    <t>52921/00034/10/2020</t>
  </si>
  <si>
    <t>319169</t>
  </si>
  <si>
    <t>3032289</t>
  </si>
  <si>
    <t>KIA SPORTAGE FWD</t>
  </si>
  <si>
    <t>27-AUG-2020</t>
  </si>
  <si>
    <t>POAFSD300056848</t>
  </si>
  <si>
    <t>997AAD1202440036</t>
  </si>
  <si>
    <t>KIA MOTORS CHINAR</t>
  </si>
  <si>
    <t>MUHAMMAD NAEEM HAIDER</t>
  </si>
  <si>
    <t>33100-2834008-9</t>
  </si>
  <si>
    <t>03007682260</t>
  </si>
  <si>
    <t xml:space="preserve">HOUSE # P-779, STREET # 02, HAJI BUILDING WARISPUR FAISALABAD </t>
  </si>
  <si>
    <t>52921/00032/10/2020</t>
  </si>
  <si>
    <t>G3LALP044582</t>
  </si>
  <si>
    <t>NNATA52AZKP703204</t>
  </si>
  <si>
    <t>PICANTO 1.0L A/T</t>
  </si>
  <si>
    <t>31-AUG-2020</t>
  </si>
  <si>
    <t>POAFSD300056908</t>
  </si>
  <si>
    <t>DIB0028859</t>
  </si>
  <si>
    <t>9976AP1192830002</t>
  </si>
  <si>
    <t>MUHAMMAD ALI KHALID</t>
  </si>
  <si>
    <t>35202-1029173-7</t>
  </si>
  <si>
    <t>03204567663</t>
  </si>
  <si>
    <t>36559780 1</t>
  </si>
  <si>
    <t xml:space="preserve">ALI INDUSTRY MOMIN PURA ROAD OPP YAQOOB GARDER MILL DAROGHA WALA LAHORE </t>
  </si>
  <si>
    <t>51244/00014/10/2019</t>
  </si>
  <si>
    <t>R18Z12931266</t>
  </si>
  <si>
    <t>NFBFC6660JR034690</t>
  </si>
  <si>
    <t>LEF-18-5</t>
  </si>
  <si>
    <t>POULHR300049701</t>
  </si>
  <si>
    <t>1873/10/2019/ITFM</t>
  </si>
  <si>
    <t>9976AP1222970052</t>
  </si>
  <si>
    <t>SYED ZAIN MEHDI</t>
  </si>
  <si>
    <t>42201-5290201-5</t>
  </si>
  <si>
    <t>03342200634</t>
  </si>
  <si>
    <t xml:space="preserve">HOUSE # B-19 BLOCK 4-A AZEEM GOTH G ULSHAN E IQBAL KARACHI PK </t>
  </si>
  <si>
    <t>64081/00045/10/2022</t>
  </si>
  <si>
    <t>327682</t>
  </si>
  <si>
    <t>7026793</t>
  </si>
  <si>
    <t>BLT-686</t>
  </si>
  <si>
    <t>TOYOTA COROLLA ALTIS GRANDE CVT</t>
  </si>
  <si>
    <t>24-OCT-2022</t>
  </si>
  <si>
    <t>OLUKHI300090406</t>
  </si>
  <si>
    <t>9100/10/2022/ITFM</t>
  </si>
  <si>
    <t>9976AD1221400027</t>
  </si>
  <si>
    <t>DIL AWAIZ ILYAS</t>
  </si>
  <si>
    <t>35202-2317915-3</t>
  </si>
  <si>
    <t>03224262490</t>
  </si>
  <si>
    <t xml:space="preserve">DATA ELECTRIC 1-B SHAHALAM MARKET LAHORE . </t>
  </si>
  <si>
    <t>64081/00044/10/2022</t>
  </si>
  <si>
    <t>6R253177</t>
  </si>
  <si>
    <t>1153180</t>
  </si>
  <si>
    <t>20-MAY-2022</t>
  </si>
  <si>
    <t>OLALHR300087410</t>
  </si>
  <si>
    <t>9094/10/2022/ITFM</t>
  </si>
  <si>
    <t>997AAD2202690007</t>
  </si>
  <si>
    <t>ISUZU RAZMAK MOTORS</t>
  </si>
  <si>
    <t>TARIQ YAR KHAN</t>
  </si>
  <si>
    <t>35202-2510415-5</t>
  </si>
  <si>
    <t>0303-7902220</t>
  </si>
  <si>
    <t>03037902220</t>
  </si>
  <si>
    <t xml:space="preserve">FLAT NO 1604 THE RESIDENCE CLIFTON BLOCK 8 KHI </t>
  </si>
  <si>
    <t>15799/00037/11/2020</t>
  </si>
  <si>
    <t>UR0602</t>
  </si>
  <si>
    <t>MPATFS85JKG005337</t>
  </si>
  <si>
    <t>ISUZU D-MAX V-CROSS 4X4 DC A/T</t>
  </si>
  <si>
    <t>POAKHI300057653</t>
  </si>
  <si>
    <t>DIB0028861</t>
  </si>
  <si>
    <t>08-OCT-2020</t>
  </si>
  <si>
    <t>9976AD2220740010</t>
  </si>
  <si>
    <t>ASGHAR AURANGZEB DURRANI</t>
  </si>
  <si>
    <t>37405-9964000-5</t>
  </si>
  <si>
    <t>5788403</t>
  </si>
  <si>
    <t>0515788150</t>
  </si>
  <si>
    <t xml:space="preserve">H # 5 SERVICE ROAD 1 SECTOR D DHA PHASE I ISLAMABAD PK </t>
  </si>
  <si>
    <t>64081/00041/10/2022</t>
  </si>
  <si>
    <t>1009044</t>
  </si>
  <si>
    <t>00109040</t>
  </si>
  <si>
    <t>15-MAR-2022</t>
  </si>
  <si>
    <t>OLAISD300085613</t>
  </si>
  <si>
    <t>9098/10/2022</t>
  </si>
  <si>
    <t>997APD1202860026</t>
  </si>
  <si>
    <t>SHAHZAD FAROOQ</t>
  </si>
  <si>
    <t>35202-7996002-9</t>
  </si>
  <si>
    <t>03014180807</t>
  </si>
  <si>
    <t xml:space="preserve">PLOT NO 40 MUZAMIL TOWN 19-KM MULTA N ROAD NEAR OPPOSITE POLICE TRAININ G CENTER LAHORE </t>
  </si>
  <si>
    <t>52921/00041/10/2020</t>
  </si>
  <si>
    <t>2TRA337984</t>
  </si>
  <si>
    <t>TGN156R0442130</t>
  </si>
  <si>
    <t>LEB-17A-70</t>
  </si>
  <si>
    <t>FORTUNER A/T</t>
  </si>
  <si>
    <t>POULHR300058405</t>
  </si>
  <si>
    <t>3234/10/2020/ITMM</t>
  </si>
  <si>
    <t>997AAD2201700002</t>
  </si>
  <si>
    <t>ZOHAIB NAWAZ</t>
  </si>
  <si>
    <t>61101-4100478-1</t>
  </si>
  <si>
    <t>03329888939</t>
  </si>
  <si>
    <t>0518440700</t>
  </si>
  <si>
    <t xml:space="preserve">H # 6 ST # D-5 TARAMRI CHOWK IRFANA BAD ISLAMABAD PK </t>
  </si>
  <si>
    <t>2524/02150/00031/10/2020</t>
  </si>
  <si>
    <t>2A08604</t>
  </si>
  <si>
    <t>NSP150R-7004906</t>
  </si>
  <si>
    <t>TOYOTA YARIS ATIV MT 1.3</t>
  </si>
  <si>
    <t>18-JUN-2020</t>
  </si>
  <si>
    <t>POAISD300054391</t>
  </si>
  <si>
    <t>3225/10/2020/ITFM</t>
  </si>
  <si>
    <t>997AAD1201570001</t>
  </si>
  <si>
    <t>FAROOQ AHMAD</t>
  </si>
  <si>
    <t>35202-2920719-5</t>
  </si>
  <si>
    <t>03024603224, 0333-8408766</t>
  </si>
  <si>
    <t>04237671336</t>
  </si>
  <si>
    <t xml:space="preserve">14-BISMILLAH BLOCK AZAM CLOTH MARKE T LAHORE </t>
  </si>
  <si>
    <t>2524/02150/00025/10/2020</t>
  </si>
  <si>
    <t>2A07610</t>
  </si>
  <si>
    <t>7004310</t>
  </si>
  <si>
    <t>TOYOTA YARIS ATV CVT 1.3</t>
  </si>
  <si>
    <t>05-JUN-2020</t>
  </si>
  <si>
    <t>POALHR300054151</t>
  </si>
  <si>
    <t>3219/10/2020/ITFM</t>
  </si>
  <si>
    <t>07-OCT-2020</t>
  </si>
  <si>
    <t>997AAD2202440007</t>
  </si>
  <si>
    <t>SYED AMIN AHMED</t>
  </si>
  <si>
    <t>42301-5108400-3</t>
  </si>
  <si>
    <t>03148484269</t>
  </si>
  <si>
    <t>35641721</t>
  </si>
  <si>
    <t xml:space="preserve">HOUSE # 830 1st FLOOR SECTOR # 31/G ABDUL KHALIQ ALLAH WALA TOWN KORAN KARACHI PK </t>
  </si>
  <si>
    <t>DIB/T/BT/28916/KHI/1020</t>
  </si>
  <si>
    <t>206040</t>
  </si>
  <si>
    <t>10106047</t>
  </si>
  <si>
    <t>SUZUKI WAGON VXL</t>
  </si>
  <si>
    <t>PODKHI300056838</t>
  </si>
  <si>
    <t>3185/10/2020/ITFM</t>
  </si>
  <si>
    <t>05-OCT-2020</t>
  </si>
  <si>
    <t>997AAD1201740005</t>
  </si>
  <si>
    <t>36303-8532743-7</t>
  </si>
  <si>
    <t>03457200314</t>
  </si>
  <si>
    <t xml:space="preserve">1-A HAFEEZ GHEE AND GENERAL MILLS N EAR BAHAWALPUR ROAD BY PASS CHOWK MULTAN PK </t>
  </si>
  <si>
    <t>2524/02150/00030/10/2020</t>
  </si>
  <si>
    <t>PK10K162706</t>
  </si>
  <si>
    <t>NF1AVK31H10062749</t>
  </si>
  <si>
    <t>POAMUX300054354</t>
  </si>
  <si>
    <t>17209/10/2020</t>
  </si>
  <si>
    <t>997AAD2202110002</t>
  </si>
  <si>
    <t>33103-9617622-3</t>
  </si>
  <si>
    <t>03049085866</t>
  </si>
  <si>
    <t>03049085866, 03049085866</t>
  </si>
  <si>
    <t xml:space="preserve">P-493 ST NO 05 CHAK NO 66 JB JHANG ROAD DHANDRA FSD FAISALABAD PK </t>
  </si>
  <si>
    <t>2524/02150/00011/10/2020</t>
  </si>
  <si>
    <t>206663</t>
  </si>
  <si>
    <t>10106666</t>
  </si>
  <si>
    <t>29-JUL-2020</t>
  </si>
  <si>
    <t>POAFSD300056026</t>
  </si>
  <si>
    <t>3193/10/220/ITFM</t>
  </si>
  <si>
    <t>9976AP1212980004</t>
  </si>
  <si>
    <t>SAMIA TABUSSAM</t>
  </si>
  <si>
    <t>33102-7079987-6</t>
  </si>
  <si>
    <t>03326785340</t>
  </si>
  <si>
    <t xml:space="preserve">HOUSE NO.663, K-BLOCK, WAPDA CITY, FAISALABAD. CELL NO: 0332-6785340 </t>
  </si>
  <si>
    <t>2021-10-205-V01501OP0002475</t>
  </si>
  <si>
    <t>114536</t>
  </si>
  <si>
    <t>10014520</t>
  </si>
  <si>
    <t>LEC-16-6965</t>
  </si>
  <si>
    <t>OLUFSD300075892</t>
  </si>
  <si>
    <t>DIB0032206</t>
  </si>
  <si>
    <t>997AAD1202440021</t>
  </si>
  <si>
    <t>SHER AFZAL</t>
  </si>
  <si>
    <t>Haripur</t>
  </si>
  <si>
    <t>13302-9396456-1</t>
  </si>
  <si>
    <t>03359052041</t>
  </si>
  <si>
    <t xml:space="preserve">SHER AFZAL S/O AMEER AFSAR,NEAR RAILWAY LINE P/O HARIPUR PANDOK TEHSIL AND DISTRICT HARIPUR </t>
  </si>
  <si>
    <t>0000000591/1020/109-0</t>
  </si>
  <si>
    <t>319246</t>
  </si>
  <si>
    <t>303420</t>
  </si>
  <si>
    <t>POAHRP300056857</t>
  </si>
  <si>
    <t>9976AD1212120111</t>
  </si>
  <si>
    <t>FAHAD HAMEED</t>
  </si>
  <si>
    <t>35201-3868366-7</t>
  </si>
  <si>
    <t>03224448486</t>
  </si>
  <si>
    <t xml:space="preserve">67 YASIR PARK KACHA JAIL ROAD KOT L AKHPAT LAHORE </t>
  </si>
  <si>
    <t>2524/02692/00075/10/2021</t>
  </si>
  <si>
    <t>186910</t>
  </si>
  <si>
    <t>10086906</t>
  </si>
  <si>
    <t>OLALHR300071447</t>
  </si>
  <si>
    <t>DIB0032207</t>
  </si>
  <si>
    <t>9976AP1212990008</t>
  </si>
  <si>
    <t>UMER SULTAN</t>
  </si>
  <si>
    <t>37405-8538628-5</t>
  </si>
  <si>
    <t>03361113300</t>
  </si>
  <si>
    <t>0512726752</t>
  </si>
  <si>
    <t xml:space="preserve">H # E-952 ST # 7 NOORANI STREET OPP NORRANI MASJID MOHALLAH MUGHALABAD RAWALPINDI PK </t>
  </si>
  <si>
    <t>56038/00046/10/2021</t>
  </si>
  <si>
    <t>7420942</t>
  </si>
  <si>
    <t>157521</t>
  </si>
  <si>
    <t>CV-336</t>
  </si>
  <si>
    <t>26-OCT-2021</t>
  </si>
  <si>
    <t>OLURWP300075925</t>
  </si>
  <si>
    <t>DIB0032242</t>
  </si>
  <si>
    <t>9976AD1212450045</t>
  </si>
  <si>
    <t>TOYOTA HIGHWAY MOTORS</t>
  </si>
  <si>
    <t>ASAD SHAMIM</t>
  </si>
  <si>
    <t>42101-4224099-7</t>
  </si>
  <si>
    <t>03332270902</t>
  </si>
  <si>
    <t>03332270902, 36310073</t>
  </si>
  <si>
    <t xml:space="preserve">R-622 BLOCK 14 FB AREA NEAR AL MUST AFA JAMIA MASJID KARACHI PK </t>
  </si>
  <si>
    <t>56038/00047/10/2021</t>
  </si>
  <si>
    <t>38751</t>
  </si>
  <si>
    <t>7024292</t>
  </si>
  <si>
    <t>YARIS ATIV CVT 1.3</t>
  </si>
  <si>
    <t>02-SEP-2021</t>
  </si>
  <si>
    <t>OLAKHI300073006</t>
  </si>
  <si>
    <t>DIB0032169</t>
  </si>
  <si>
    <t>9976AP1212950009</t>
  </si>
  <si>
    <t>ALTAMASH AURANGZEB</t>
  </si>
  <si>
    <t>42201-1592083-7</t>
  </si>
  <si>
    <t>03332739444</t>
  </si>
  <si>
    <t xml:space="preserve">HOUSE NO H-5 SUNNY ARCADE BLOCK-7 GULSHAN-E-IQBAL NEAR MASKAN CHORANGI KARACHI </t>
  </si>
  <si>
    <t>DIB/T/BT/34060/KHI/1021</t>
  </si>
  <si>
    <t>17453568</t>
  </si>
  <si>
    <t>195785</t>
  </si>
  <si>
    <t>BHA-481</t>
  </si>
  <si>
    <t>HONDA CITY I-V TEC-M//T</t>
  </si>
  <si>
    <t>OLUKHI300075863</t>
  </si>
  <si>
    <t>TDIDIB0029725</t>
  </si>
  <si>
    <t>9976AP1212990001</t>
  </si>
  <si>
    <t>MUHAMMAD WAQAS KHAN</t>
  </si>
  <si>
    <t>38401-9146512-7</t>
  </si>
  <si>
    <t>03234058870</t>
  </si>
  <si>
    <t xml:space="preserve">HOUSE 473-C PAK ARAB HOUSING SCHEME MAIN FEROZPUR ROAD LAHORE 0323-4058870 </t>
  </si>
  <si>
    <t>56038/00050/10/2021</t>
  </si>
  <si>
    <t>L13Z17434635</t>
  </si>
  <si>
    <t>NFBGM154XFR173690</t>
  </si>
  <si>
    <t>LEH-15-2202</t>
  </si>
  <si>
    <t>OLULHR300075812</t>
  </si>
  <si>
    <t>DIB0032212</t>
  </si>
  <si>
    <t>997AAD1202690013</t>
  </si>
  <si>
    <t>SHAHID AZEEM</t>
  </si>
  <si>
    <t>33303-2173710-3</t>
  </si>
  <si>
    <t>03007258844</t>
  </si>
  <si>
    <t>03007258844, 03007258844</t>
  </si>
  <si>
    <t xml:space="preserve">H NO P-4 ST NO 1 MAIN SHALIMAR ROAD MOHALLA CHOUDHARY PARK FAISALABAD PK </t>
  </si>
  <si>
    <t>52921/00069/10/2020</t>
  </si>
  <si>
    <t>L13Z17540244</t>
  </si>
  <si>
    <t>NFBGM164XLR262945</t>
  </si>
  <si>
    <t>CITY IVTEC A/T</t>
  </si>
  <si>
    <t>POAFSD300057572</t>
  </si>
  <si>
    <t>3192/10/2020/ITFM</t>
  </si>
  <si>
    <t>06-OCT-2020</t>
  </si>
  <si>
    <t>9976AD2212530016</t>
  </si>
  <si>
    <t>TOYOTA JINNAH MOTORS</t>
  </si>
  <si>
    <t>MUHAMMAD SAEED</t>
  </si>
  <si>
    <t>35202-9477438-5</t>
  </si>
  <si>
    <t>7212234</t>
  </si>
  <si>
    <t xml:space="preserve">H # 17/A PASSCO HOUSING SOCIETY CANAL BANK ROAD LAHORE </t>
  </si>
  <si>
    <t>56038/00060/10/2021</t>
  </si>
  <si>
    <t>2A38674</t>
  </si>
  <si>
    <t>NSP150R-7024225</t>
  </si>
  <si>
    <t>10-SEP-2021</t>
  </si>
  <si>
    <t>OLALHR300073305</t>
  </si>
  <si>
    <t>DIB0032248</t>
  </si>
  <si>
    <t>9976AD1212110050</t>
  </si>
  <si>
    <t>HAMZA BIN NAEEM</t>
  </si>
  <si>
    <t>41302-4958164-1</t>
  </si>
  <si>
    <t>03042065073</t>
  </si>
  <si>
    <t>03042065073, 03042065073</t>
  </si>
  <si>
    <t xml:space="preserve">B-123 DIAMOND RESIDENCY DEFENCE VIE W PHASE 3 NEAR IQRA UNIVERSITY KARACHI PK </t>
  </si>
  <si>
    <t>56038/00045/10/2021</t>
  </si>
  <si>
    <t>JL473QFM3CAD518395</t>
  </si>
  <si>
    <t>NKMA2ASE5M1003541</t>
  </si>
  <si>
    <t>CHANGAN ALSVIN 1.5L LUMERE</t>
  </si>
  <si>
    <t>OLAKHI300071371</t>
  </si>
  <si>
    <t>5525/10/2021</t>
  </si>
  <si>
    <t>997AAD2202740029</t>
  </si>
  <si>
    <t>MUHAMMAD SHAKEEL KHAN</t>
  </si>
  <si>
    <t>33104-7771395-5</t>
  </si>
  <si>
    <t>0418731885 / 0300-6657176</t>
  </si>
  <si>
    <t>0300-6657176 - 0301-8657176</t>
  </si>
  <si>
    <t>041-2647176</t>
  </si>
  <si>
    <t xml:space="preserve">HOUSE NO P-408, STREET NO.7, JARANWALA ROAD, NAIMAT COLONY NO.1, NEAR JEO SUPER STORE FAISALABAD </t>
  </si>
  <si>
    <t>2524/02150/00003/10/2020</t>
  </si>
  <si>
    <t>17540915</t>
  </si>
  <si>
    <t>LR263854</t>
  </si>
  <si>
    <t>POAFSD300057683</t>
  </si>
  <si>
    <t>DIB0028845</t>
  </si>
  <si>
    <t>9976AD1211660011</t>
  </si>
  <si>
    <t>SYED MOJIZ MEHDI JAFRI</t>
  </si>
  <si>
    <t>42101-3823346-7</t>
  </si>
  <si>
    <t>03332366249</t>
  </si>
  <si>
    <t>02134551602</t>
  </si>
  <si>
    <t xml:space="preserve">OFFICE NO 513 5 TH FLOOR RSM SQUARE SHAHRAH-E- FAISAL BALOCH COLONY KARACHI </t>
  </si>
  <si>
    <t>2021-10-205-V01501DP0002474</t>
  </si>
  <si>
    <t>G4NAMH318449</t>
  </si>
  <si>
    <t>NNAQL51AZKP513492</t>
  </si>
  <si>
    <t>OLAKHI300069435</t>
  </si>
  <si>
    <t>997APD2202860010</t>
  </si>
  <si>
    <t>42301-6881431-5</t>
  </si>
  <si>
    <t>03232850043</t>
  </si>
  <si>
    <t xml:space="preserve">HUSSAIN WALI TEA SHAWNI SHOP-5 STREET-4 ALFALAH ROAD BIHAR COLONY NEAR NOOR UL ISLAM MASJID LYARI KARACHI 0323-2850043 </t>
  </si>
  <si>
    <t>52921/00027/10/2020</t>
  </si>
  <si>
    <t>K6A-2072193</t>
  </si>
  <si>
    <t>DA17V-171904</t>
  </si>
  <si>
    <t>EVERY</t>
  </si>
  <si>
    <t>POUKHI300058201</t>
  </si>
  <si>
    <t>3201/10/2020/ITMM</t>
  </si>
  <si>
    <t>9976AP1222970045</t>
  </si>
  <si>
    <t>KAMRAN</t>
  </si>
  <si>
    <t>35202-5347825-1</t>
  </si>
  <si>
    <t>03111008828</t>
  </si>
  <si>
    <t xml:space="preserve">H NO 9 ST NO 125 SIRINAGAR PIR GHAZ I ROAD ICHRA NEAR SHAHID OPTICS LAHORE PK </t>
  </si>
  <si>
    <t>64081/00047/10/2022</t>
  </si>
  <si>
    <t>12908991</t>
  </si>
  <si>
    <t>011997</t>
  </si>
  <si>
    <t>LEB-17-9307</t>
  </si>
  <si>
    <t>HONDA CIVIC VTI ORIEL P/T UG</t>
  </si>
  <si>
    <t>OLULHR300090415</t>
  </si>
  <si>
    <t>9111/10/2022/ITFM</t>
  </si>
  <si>
    <t>997APD2202830006</t>
  </si>
  <si>
    <t>AYESHA NAVEED</t>
  </si>
  <si>
    <t>42501-0215087-4</t>
  </si>
  <si>
    <t>03453075816</t>
  </si>
  <si>
    <t xml:space="preserve">HOUSE#H85 MUSARRAT COLONY MALIR 15 OPP HORIZONE SCHOOL KARACHI MOB 03453075816 </t>
  </si>
  <si>
    <t>52921/00003/10/2020</t>
  </si>
  <si>
    <t>3G83-350856</t>
  </si>
  <si>
    <t>U71V-0656694</t>
  </si>
  <si>
    <t>CY-0453</t>
  </si>
  <si>
    <t>NISSAN CLIPPER</t>
  </si>
  <si>
    <t>POUKHI300058371</t>
  </si>
  <si>
    <t>3167/09/2020</t>
  </si>
  <si>
    <t>9976AD1191370001</t>
  </si>
  <si>
    <t>NOOR AHMED</t>
  </si>
  <si>
    <t>12101-6038222-5</t>
  </si>
  <si>
    <t>03339966413</t>
  </si>
  <si>
    <t>0512826114</t>
  </si>
  <si>
    <t xml:space="preserve">H # 1743 J ST # 60 A PHASE 3 BAHRIA TOWN ISLAMABAD PK </t>
  </si>
  <si>
    <t>51244/00003/10/2019</t>
  </si>
  <si>
    <t>79797169</t>
  </si>
  <si>
    <t>KR-255873</t>
  </si>
  <si>
    <t>APH-887</t>
  </si>
  <si>
    <t>CITY ASPIRE A/T</t>
  </si>
  <si>
    <t>17-MAY-2019</t>
  </si>
  <si>
    <t>POAISD300046131</t>
  </si>
  <si>
    <t>1849/10/2019</t>
  </si>
  <si>
    <t>02-OCT-2019</t>
  </si>
  <si>
    <t>997AAD1172850005</t>
  </si>
  <si>
    <t>MASOOD HUSSAIN</t>
  </si>
  <si>
    <t>37405-3525808-9</t>
  </si>
  <si>
    <t>03015112517</t>
  </si>
  <si>
    <t>03005109085</t>
  </si>
  <si>
    <t>0515550186</t>
  </si>
  <si>
    <t xml:space="preserve">MUSHARIB ELECTRIC STORE CHAUDHARY MARKET, JINNAH ROAD, CITY SADDAR, RAWALPINDI. </t>
  </si>
  <si>
    <t>01-1709-PO-MTR-PCCM-D-002698</t>
  </si>
  <si>
    <t>3504053</t>
  </si>
  <si>
    <t>HR004060</t>
  </si>
  <si>
    <t>BRV I-VTEC</t>
  </si>
  <si>
    <t>12-OCT-2017</t>
  </si>
  <si>
    <t>11-OCT-2017</t>
  </si>
  <si>
    <t>POAISD300020427</t>
  </si>
  <si>
    <t>DIB0022487</t>
  </si>
  <si>
    <t>03-OCT-2017</t>
  </si>
  <si>
    <t>9976AD2212720022</t>
  </si>
  <si>
    <t>RAVESH KUMAR</t>
  </si>
  <si>
    <t>41303-6693970-5</t>
  </si>
  <si>
    <t>03032532454</t>
  </si>
  <si>
    <t xml:space="preserve">HOUSE NO 15 RAJPAR STREET CITIZEN C OLONY QASIMABAD BANK AL HABIOB HYDERABAD PK </t>
  </si>
  <si>
    <t>01-2110-PO-MTR-PCCM-D-001489</t>
  </si>
  <si>
    <t>2A39836</t>
  </si>
  <si>
    <t>7024854</t>
  </si>
  <si>
    <t>TOYOTA YARIS GLI MT</t>
  </si>
  <si>
    <t>11-Nov-2024</t>
  </si>
  <si>
    <t>OLAKHI300074031</t>
  </si>
  <si>
    <t>DIB0032302</t>
  </si>
  <si>
    <t>9976AD1212210010</t>
  </si>
  <si>
    <t>DANISH JAN</t>
  </si>
  <si>
    <t>37405-1168159-7</t>
  </si>
  <si>
    <t>03005221312</t>
  </si>
  <si>
    <t>0512342134</t>
  </si>
  <si>
    <t xml:space="preserve">H # 863 ST # 43-D TOWN PHASE 4-A GH OURI TOWN ISLAMABAD PK </t>
  </si>
  <si>
    <t>PL-1121-1101010102-V14-D-00512</t>
  </si>
  <si>
    <t>190337</t>
  </si>
  <si>
    <t>1090327</t>
  </si>
  <si>
    <t>09-AUG-2021</t>
  </si>
  <si>
    <t>11-Nov-2028</t>
  </si>
  <si>
    <t>OLAISB300071723</t>
  </si>
  <si>
    <t>DIB0032365</t>
  </si>
  <si>
    <t>02-NOV-2021</t>
  </si>
  <si>
    <t>9976AP2233040006</t>
  </si>
  <si>
    <t>AUTO MOTIVE</t>
  </si>
  <si>
    <t>MUHAMMAD USMAN</t>
  </si>
  <si>
    <t>33102-9976830-1</t>
  </si>
  <si>
    <t>03207551078</t>
  </si>
  <si>
    <t xml:space="preserve">HOUSE NO P-057 STREET NO2/3,ILYAS PARK ABC ROAD NEAR USMAN GENERAL STORE, FSD 03207551078 </t>
  </si>
  <si>
    <t>76078/00018/10/2023</t>
  </si>
  <si>
    <t>30-OCT-2024</t>
  </si>
  <si>
    <t>Q091653</t>
  </si>
  <si>
    <t>6069127</t>
  </si>
  <si>
    <t>AKD-621</t>
  </si>
  <si>
    <t>03-NOV-2023</t>
  </si>
  <si>
    <t>OLUFSD300097686</t>
  </si>
  <si>
    <t>10584/10/2023/ITFM</t>
  </si>
  <si>
    <t>31-OCT-2023</t>
  </si>
  <si>
    <t>9976AP2223040025</t>
  </si>
  <si>
    <t>ZAIGHUM ALI</t>
  </si>
  <si>
    <t>35202-0433973-9</t>
  </si>
  <si>
    <t>03214461772</t>
  </si>
  <si>
    <t xml:space="preserve">HOUSE 72 LARECHS COLONY G T ROAD SHAHDRA LAHORE </t>
  </si>
  <si>
    <t>64081/00089/10/2022</t>
  </si>
  <si>
    <t>144292</t>
  </si>
  <si>
    <t>10044238</t>
  </si>
  <si>
    <t>LE-18-8673</t>
  </si>
  <si>
    <t>31-OCT-2022</t>
  </si>
  <si>
    <t>OLULHR300090696</t>
  </si>
  <si>
    <t>9275/10/2022/ITFM</t>
  </si>
  <si>
    <t>9976AD1221430036</t>
  </si>
  <si>
    <t>CHANGAN CITY SALES LTD</t>
  </si>
  <si>
    <t>ASFA REHAN</t>
  </si>
  <si>
    <t>35201-1544405-8</t>
  </si>
  <si>
    <t>03214241116</t>
  </si>
  <si>
    <t xml:space="preserve">HOUSE NO 230 J-BLOCK STREET NO 10 P HASE 5 DHA LAHORE PK </t>
  </si>
  <si>
    <t>64081/00086/10/2022</t>
  </si>
  <si>
    <t>065276</t>
  </si>
  <si>
    <t>1001685</t>
  </si>
  <si>
    <t>CHANGAN OSHAN X7 FUTURE SENSE</t>
  </si>
  <si>
    <t>23-MAY-2022</t>
  </si>
  <si>
    <t>OLALHR300087440</t>
  </si>
  <si>
    <t>9256/10/2022/ITFM</t>
  </si>
  <si>
    <t>9976AD1211810017</t>
  </si>
  <si>
    <t>ABDUL GHANI</t>
  </si>
  <si>
    <t>54400-8266043-1</t>
  </si>
  <si>
    <t>03171111117</t>
  </si>
  <si>
    <t xml:space="preserve">ART SCHOOL ROAD SHOP NO 25 QUETTA </t>
  </si>
  <si>
    <t>DIB/T/BT/34023/KHI/1021</t>
  </si>
  <si>
    <t>R18Z16927067</t>
  </si>
  <si>
    <t>NFBFC6669MR079647</t>
  </si>
  <si>
    <t>OLAQUT300070066</t>
  </si>
  <si>
    <t>5523/10/2021</t>
  </si>
  <si>
    <t>9976AP2212980006</t>
  </si>
  <si>
    <t>MUHAMMAD IRSHAD</t>
  </si>
  <si>
    <t>33302-1400750-3</t>
  </si>
  <si>
    <t>03328407208</t>
  </si>
  <si>
    <t>03328407208, 03328407208</t>
  </si>
  <si>
    <t xml:space="preserve">P-11 ST NO 1 SABINA TOWN SHEIKHUPUR A FSD NEAR HOSPITAL FAISALABAD PK </t>
  </si>
  <si>
    <t>56038/00052/10/2021</t>
  </si>
  <si>
    <t>ZA25852</t>
  </si>
  <si>
    <t>7015336</t>
  </si>
  <si>
    <t>TOYOTA YARIS GLI</t>
  </si>
  <si>
    <t>OLDFSD300075883</t>
  </si>
  <si>
    <t>DIB0032217</t>
  </si>
  <si>
    <t>9976AP1223040035</t>
  </si>
  <si>
    <t>35201-0182840-9</t>
  </si>
  <si>
    <t>03214888266</t>
  </si>
  <si>
    <t xml:space="preserve">H NO 225 ST NO 1 MIAN AMEER UD DIN PARK TAJPURA SCHEME LAHORE PK </t>
  </si>
  <si>
    <t>64081/00093/10/2022</t>
  </si>
  <si>
    <t>2173880</t>
  </si>
  <si>
    <t>21J2241</t>
  </si>
  <si>
    <t>AGS-629</t>
  </si>
  <si>
    <t>PRINCE GLORY 580 PRO</t>
  </si>
  <si>
    <t>OLULHR300090701</t>
  </si>
  <si>
    <t>DIB0034811</t>
  </si>
  <si>
    <t>9976AP1223040036</t>
  </si>
  <si>
    <t>AURANGZAIB AHMED SIDDIQUI</t>
  </si>
  <si>
    <t>42201-8273556-5</t>
  </si>
  <si>
    <t>03133037734</t>
  </si>
  <si>
    <t xml:space="preserve">GROUND FLOOR B-14 BLOCK 2 GULSHAN E IQBAL KARACHI PK </t>
  </si>
  <si>
    <t>64081/00083/10/2022</t>
  </si>
  <si>
    <t>216925368</t>
  </si>
  <si>
    <t>077828</t>
  </si>
  <si>
    <t>BUE-640</t>
  </si>
  <si>
    <t>OLUKHI300090583</t>
  </si>
  <si>
    <t>9248/10/2022/ITFM</t>
  </si>
  <si>
    <t>31-OCT-202</t>
  </si>
  <si>
    <t>9976AP1223040021</t>
  </si>
  <si>
    <t>KHALID IBRAHIM</t>
  </si>
  <si>
    <t>42201-4848835-7</t>
  </si>
  <si>
    <t>03007056788</t>
  </si>
  <si>
    <t>03007056788, 03007056788</t>
  </si>
  <si>
    <t xml:space="preserve">HOUSE # B-312 BLOCK 2 GULISTAN-E-JO HAR NEAR OPP RANGERS HEAD QUARTERS KARACHI PK </t>
  </si>
  <si>
    <t>64081/00080/10/2022</t>
  </si>
  <si>
    <t>Z488712</t>
  </si>
  <si>
    <t>NZE170R4114895</t>
  </si>
  <si>
    <t>BJE-407</t>
  </si>
  <si>
    <t>TOYOTA COROLLA GLI MT</t>
  </si>
  <si>
    <t>OLUKHI300090554</t>
  </si>
  <si>
    <t>9232/10/2022/ITFM</t>
  </si>
  <si>
    <t>9976AD2211810007</t>
  </si>
  <si>
    <t>RUQIA BIBI</t>
  </si>
  <si>
    <t>31202-2010546-4</t>
  </si>
  <si>
    <t>03006376021</t>
  </si>
  <si>
    <t xml:space="preserve">HOUSE NO 23 STREET NO 5 BLOCK D OFF ICER COLONY MODEL TOWN A BAHAWALPUR PK </t>
  </si>
  <si>
    <t>01-2110-PO-MTR-PCCM-D-001448</t>
  </si>
  <si>
    <t>6R186139</t>
  </si>
  <si>
    <t>1086156</t>
  </si>
  <si>
    <t>OLABHP300069805</t>
  </si>
  <si>
    <t>5542/10/2021</t>
  </si>
  <si>
    <t>9976AD2212090012</t>
  </si>
  <si>
    <t>ZIA ULLAH</t>
  </si>
  <si>
    <t>31104-3909369-9</t>
  </si>
  <si>
    <t>03347075174</t>
  </si>
  <si>
    <t>03347075174, 03347075174</t>
  </si>
  <si>
    <t>0418816340</t>
  </si>
  <si>
    <t xml:space="preserve">H NO 509 TARIQ ROAD MUHAMMAD PURA FAISALABAD PK </t>
  </si>
  <si>
    <t>2021/10/CLFTTPCDP01141</t>
  </si>
  <si>
    <t>6R187238</t>
  </si>
  <si>
    <t>1087269</t>
  </si>
  <si>
    <t>OLAFSD300071226</t>
  </si>
  <si>
    <t>5536/10/2021</t>
  </si>
  <si>
    <t>9976AD2211940004</t>
  </si>
  <si>
    <t>MUHAMMAD ZAMAN</t>
  </si>
  <si>
    <t>33100-1844196-9</t>
  </si>
  <si>
    <t>03136538878</t>
  </si>
  <si>
    <t>03136538878, 03136538878</t>
  </si>
  <si>
    <t xml:space="preserve">P- 98/5 B BLOCK ST NO 01 AL FAYYAZ COLONY FAISALABAD PK </t>
  </si>
  <si>
    <t>01-2110-PO-MTR-PCCM-D-001441</t>
  </si>
  <si>
    <t>187786</t>
  </si>
  <si>
    <t>1087725</t>
  </si>
  <si>
    <t>OLAFSD300070574</t>
  </si>
  <si>
    <t>5537/10/2021</t>
  </si>
  <si>
    <t>9976AP2223040019</t>
  </si>
  <si>
    <t>MARYAM ARSHAD</t>
  </si>
  <si>
    <t>42501-8629652-2</t>
  </si>
  <si>
    <t>03241023567</t>
  </si>
  <si>
    <t>021111021021</t>
  </si>
  <si>
    <t xml:space="preserve">HOUSE NO. 5-1/2 3RD FLOOR SURVEY NO . 79 GOLDEN TOWN NEAR GRACE VALLEY KARACHI PK </t>
  </si>
  <si>
    <t>64081/00084/10/2022</t>
  </si>
  <si>
    <t>6R153815</t>
  </si>
  <si>
    <t>1053803</t>
  </si>
  <si>
    <t>BSZ-010</t>
  </si>
  <si>
    <t>OLUKHI300090614</t>
  </si>
  <si>
    <t>9254/10/2022/ITFM</t>
  </si>
  <si>
    <t>9976AD1212110056</t>
  </si>
  <si>
    <t>ABID FAROOQ</t>
  </si>
  <si>
    <t>33100-0986403-3</t>
  </si>
  <si>
    <t>03018665897</t>
  </si>
  <si>
    <t>03018665897, 03018665897</t>
  </si>
  <si>
    <t>0414360400</t>
  </si>
  <si>
    <t xml:space="preserve">P-72/12 ST NO 01 MUGHAL PURA NO 03 NEAR BUTT KARYANA STORE FAISALABAD PK </t>
  </si>
  <si>
    <t>2021/10/CLFTTPCDP01142</t>
  </si>
  <si>
    <t>PK10B187136</t>
  </si>
  <si>
    <t>NF1AVK31H10087128</t>
  </si>
  <si>
    <t>OLAFSD300071187</t>
  </si>
  <si>
    <t>DIB0032191</t>
  </si>
  <si>
    <t>9976AP1223040020</t>
  </si>
  <si>
    <t>CENTRAL MOTORS</t>
  </si>
  <si>
    <t>RAJA IKRAM ALI</t>
  </si>
  <si>
    <t>37303-3337483-9</t>
  </si>
  <si>
    <t>00971556367257</t>
  </si>
  <si>
    <t xml:space="preserve">PO BOX 5500 DUBAI UNITED ARAB EMIRATES </t>
  </si>
  <si>
    <t>64081/00058/10/2022</t>
  </si>
  <si>
    <t>240235</t>
  </si>
  <si>
    <t>10140180</t>
  </si>
  <si>
    <t>OLDRWP300090626</t>
  </si>
  <si>
    <t>9252/10/2022/ITFM</t>
  </si>
  <si>
    <t>9976AD1210850021</t>
  </si>
  <si>
    <t>TOYOTA CHENAB MOTORS (VENDOR)</t>
  </si>
  <si>
    <t>MUHAMMAD SARWAR</t>
  </si>
  <si>
    <t>33202-2239719-7</t>
  </si>
  <si>
    <t>03468666692</t>
  </si>
  <si>
    <t>03468666692, 03001359192</t>
  </si>
  <si>
    <t xml:space="preserve">KOT SAI SINGH JHANG JHANG PK </t>
  </si>
  <si>
    <t>56038/00038/10/2021</t>
  </si>
  <si>
    <t>Q081373</t>
  </si>
  <si>
    <t>6058866</t>
  </si>
  <si>
    <t>TOYOTA ALTIS A/T</t>
  </si>
  <si>
    <t>26-MAR-2021</t>
  </si>
  <si>
    <t>OLAJHG300067021</t>
  </si>
  <si>
    <t>5530/10/2021/ITFM</t>
  </si>
  <si>
    <t>9976AP2223040017</t>
  </si>
  <si>
    <t>FARAZ HUSSAIN HASHMI</t>
  </si>
  <si>
    <t>35201-2645290-9</t>
  </si>
  <si>
    <t>03474562132</t>
  </si>
  <si>
    <t xml:space="preserve">7TH FLOOR ASHIANA SHOPPING CENTER 7 8-D/1 MAIN BOULEVARD GULBERG III LAHORE </t>
  </si>
  <si>
    <t>64081/00082/10/2022</t>
  </si>
  <si>
    <t>162511</t>
  </si>
  <si>
    <t>10062506</t>
  </si>
  <si>
    <t>AAK-640</t>
  </si>
  <si>
    <t>SUZUKI CULTUS VXL EURO-II</t>
  </si>
  <si>
    <t>OLULHR300090556</t>
  </si>
  <si>
    <t>9976AP1223040009</t>
  </si>
  <si>
    <t>MUNNEBA SYED</t>
  </si>
  <si>
    <t>42101-3403885-6</t>
  </si>
  <si>
    <t>03323604247</t>
  </si>
  <si>
    <t>03323604247, 03323604247</t>
  </si>
  <si>
    <t xml:space="preserve">HOUSE # A-26 SEC 11-A NORTH KARACHI NEAR IBRAHIM QADRIA MASJID KARACHI PK </t>
  </si>
  <si>
    <t>64081/00081/10/2022</t>
  </si>
  <si>
    <t>6R121235</t>
  </si>
  <si>
    <t>1021194</t>
  </si>
  <si>
    <t>BRB-874</t>
  </si>
  <si>
    <t>OLUKHI300090549</t>
  </si>
  <si>
    <t>9234/10/2022/ITFM</t>
  </si>
  <si>
    <t>9976AP1223040028</t>
  </si>
  <si>
    <t>KHALIL MOTORS</t>
  </si>
  <si>
    <t>DURR E SAMEEN</t>
  </si>
  <si>
    <t>42201-0502588-6</t>
  </si>
  <si>
    <t>03002756340</t>
  </si>
  <si>
    <t xml:space="preserve">HOUSE # 1577 BLOCK 15 FB AREA MUHAL LA DASTAGIR KARACHI KARACHI PK </t>
  </si>
  <si>
    <t>64081/00079/10/2022</t>
  </si>
  <si>
    <t>239261</t>
  </si>
  <si>
    <t>10139265</t>
  </si>
  <si>
    <t>OLDKHI300090551</t>
  </si>
  <si>
    <t>9229/10/2022/ITFM</t>
  </si>
  <si>
    <t>9976AP2223040024</t>
  </si>
  <si>
    <t>SIKANDER</t>
  </si>
  <si>
    <t>42301-2305224-3</t>
  </si>
  <si>
    <t>32634716</t>
  </si>
  <si>
    <t xml:space="preserve">307 LAWYERS CHAMBER OPP LIGHT HOUSE CENTRE M.A JINNAH ROAD KARACHI </t>
  </si>
  <si>
    <t>64081/00088/10/2022</t>
  </si>
  <si>
    <t>119985</t>
  </si>
  <si>
    <t>1020136</t>
  </si>
  <si>
    <t>BRF-213</t>
  </si>
  <si>
    <t>OLUKHI300090683</t>
  </si>
  <si>
    <t>9270/10/2022/ITFM</t>
  </si>
  <si>
    <t>9976AP2213030010</t>
  </si>
  <si>
    <t>NOUMAN TAHIR-ASAAN ACCOUNT</t>
  </si>
  <si>
    <t>82203-3426178-1</t>
  </si>
  <si>
    <t>03469539373</t>
  </si>
  <si>
    <t xml:space="preserve">KHAN AUTOS NAYA ADDA MUZAFFARABAD </t>
  </si>
  <si>
    <t>TD/T002/0000001123/1021/109/-0</t>
  </si>
  <si>
    <t>623694</t>
  </si>
  <si>
    <t>01162204</t>
  </si>
  <si>
    <t>RJA-279</t>
  </si>
  <si>
    <t>SUZUKI MEHRAN VXR EURO II</t>
  </si>
  <si>
    <t>OLUMFD300077568</t>
  </si>
  <si>
    <t>DIB0032330</t>
  </si>
  <si>
    <t>9976AD1232560001</t>
  </si>
  <si>
    <t>FAISAL IQBAL</t>
  </si>
  <si>
    <t>38403-5792468-1</t>
  </si>
  <si>
    <t>03235174345</t>
  </si>
  <si>
    <t>0512803333</t>
  </si>
  <si>
    <t xml:space="preserve">ZAREEN TRADERS OFFICE NO. 1-B, JUNAID PLAZA, 66-W, JINNAH AVENUE BLUE AREA, ISB </t>
  </si>
  <si>
    <t>76078/0007/10/2023</t>
  </si>
  <si>
    <t>22-OCT-2024</t>
  </si>
  <si>
    <t>286431</t>
  </si>
  <si>
    <t>1186428</t>
  </si>
  <si>
    <t>OLAISD300096784</t>
  </si>
  <si>
    <t>DIB0035392</t>
  </si>
  <si>
    <t>23-OCT-2023</t>
  </si>
  <si>
    <t>9976AD1221200052</t>
  </si>
  <si>
    <t>TAYYAB ILYAS</t>
  </si>
  <si>
    <t>33100-3114631-9</t>
  </si>
  <si>
    <t>03216669297</t>
  </si>
  <si>
    <t>03216669297, 03216669297</t>
  </si>
  <si>
    <t xml:space="preserve">P-270 GULBERG B FSD FAISALABAD PK </t>
  </si>
  <si>
    <t>64081/00051/10/2022</t>
  </si>
  <si>
    <t>253535</t>
  </si>
  <si>
    <t>1153586</t>
  </si>
  <si>
    <t>OLAFSD300087004</t>
  </si>
  <si>
    <t>9127/10/2022/ITFM</t>
  </si>
  <si>
    <t>9976AP1222990070</t>
  </si>
  <si>
    <t>MUHAMMAD WALI</t>
  </si>
  <si>
    <t>42101-3503322-3</t>
  </si>
  <si>
    <t>03328057940</t>
  </si>
  <si>
    <t xml:space="preserve">HOUSE # 15 STREET NO 4 MUHALLA MALHAR COLONY SCHEME 33 KARACHI MOB # 0332-8057940 </t>
  </si>
  <si>
    <t>64081/00052/10/2022</t>
  </si>
  <si>
    <t>16926383</t>
  </si>
  <si>
    <t>78974</t>
  </si>
  <si>
    <t>HONDA CIVIC IVTEC P/T</t>
  </si>
  <si>
    <t>26-OCT-2022</t>
  </si>
  <si>
    <t>OLUKHI300090451</t>
  </si>
  <si>
    <t>9142/10/2022/ITFM</t>
  </si>
  <si>
    <t>9976AP2223040005</t>
  </si>
  <si>
    <t>ASAD ULLAH</t>
  </si>
  <si>
    <t>42201-3211282-7</t>
  </si>
  <si>
    <t>03111044831</t>
  </si>
  <si>
    <t xml:space="preserve">HOUSE NO C 1 38 BLOCK II OWN HOMES F B AREA KARACHI </t>
  </si>
  <si>
    <t>64081/00075/10/2022</t>
  </si>
  <si>
    <t>628180</t>
  </si>
  <si>
    <t>535049</t>
  </si>
  <si>
    <t>BGU-625</t>
  </si>
  <si>
    <t>OLUKHI300090571</t>
  </si>
  <si>
    <t>9218/10/2022/ITFM</t>
  </si>
  <si>
    <t>29-OCT-2022</t>
  </si>
  <si>
    <t>9976AP1223040004</t>
  </si>
  <si>
    <t>MUHAMMAD ZAMIN NOORANI</t>
  </si>
  <si>
    <t>42201-7276306-9</t>
  </si>
  <si>
    <t>03222269146</t>
  </si>
  <si>
    <t xml:space="preserve">SHOP NO. 107 1ST FLOOR STAR CITY MALL SADAR KARACHI 03222269146 </t>
  </si>
  <si>
    <t>64081/00076/10/2022</t>
  </si>
  <si>
    <t>18214046112</t>
  </si>
  <si>
    <t>129874</t>
  </si>
  <si>
    <t>BFH-997</t>
  </si>
  <si>
    <t>HONDA CIVIC VTI</t>
  </si>
  <si>
    <t>OLUKHI300090565</t>
  </si>
  <si>
    <t>9219/10/2022/ITFM</t>
  </si>
  <si>
    <t>9976AP1223000079</t>
  </si>
  <si>
    <t>FARHAN AHMED KAKA</t>
  </si>
  <si>
    <t>42101-2633782-5</t>
  </si>
  <si>
    <t>03352309905</t>
  </si>
  <si>
    <t>02132565080</t>
  </si>
  <si>
    <t xml:space="preserve">PLOT # F-310 SITE OPP.SIDDIQUE SONS PROCCESSING DEPARTMENT KARACHI </t>
  </si>
  <si>
    <t>64081/00053/10/2022</t>
  </si>
  <si>
    <t>6R239661</t>
  </si>
  <si>
    <t>H1139665</t>
  </si>
  <si>
    <t>BXP-534</t>
  </si>
  <si>
    <t>OLUKHI300090443</t>
  </si>
  <si>
    <t>9136/10/2022/ITFM</t>
  </si>
  <si>
    <t>9976AP2222980028</t>
  </si>
  <si>
    <t>NASIR ILYAS</t>
  </si>
  <si>
    <t>42301-5818397-1</t>
  </si>
  <si>
    <t>35820497</t>
  </si>
  <si>
    <t>03008201818</t>
  </si>
  <si>
    <t>32425145</t>
  </si>
  <si>
    <t xml:space="preserve">HOUSE # D - 42, BLOCK - 5, CLIFTON KARACHI KARACHI </t>
  </si>
  <si>
    <t>64081/00050/10/2022</t>
  </si>
  <si>
    <t>0435986</t>
  </si>
  <si>
    <t>1090478</t>
  </si>
  <si>
    <t>BJ-3030</t>
  </si>
  <si>
    <t>25-OCT-2022</t>
  </si>
  <si>
    <t>OLUKHI300090444</t>
  </si>
  <si>
    <t>9129/10/2022/ITFM</t>
  </si>
  <si>
    <t>9976AP1222980055</t>
  </si>
  <si>
    <t>SAJJAD AHMAD</t>
  </si>
  <si>
    <t>35202-2889576-5</t>
  </si>
  <si>
    <t>03004275059</t>
  </si>
  <si>
    <t xml:space="preserve">FLAT NO 5 2ND FLOOR SALEEM ARCADE 5 82 Q BLOCK MODEL TOWN EXT LAHORE </t>
  </si>
  <si>
    <t>64081/00049/10/2022</t>
  </si>
  <si>
    <t>Q093489</t>
  </si>
  <si>
    <t>6070991</t>
  </si>
  <si>
    <t>AKD-821</t>
  </si>
  <si>
    <t>OLULHR300090428</t>
  </si>
  <si>
    <t>9124/10/2022/ITFM</t>
  </si>
  <si>
    <t>9976AD2211060004</t>
  </si>
  <si>
    <t>TOYOTA UNIVERSITY MOTORS</t>
  </si>
  <si>
    <t>SYED MUSAWIR RAZA</t>
  </si>
  <si>
    <t>42401-1273191-3</t>
  </si>
  <si>
    <t>03110835506</t>
  </si>
  <si>
    <t xml:space="preserve">HOUSE NO 12/8 VILLAYATABAD NO 1 MANGHO PIR ROAD KARACHI NEAR IBRAHIM ALI BHAI SCHOOL KARACHI </t>
  </si>
  <si>
    <t>2524/02711/00003/10/2021</t>
  </si>
  <si>
    <t>1GD5074498</t>
  </si>
  <si>
    <t>GUN126R-5549146</t>
  </si>
  <si>
    <t>HILUX REVO V DC A/T 4X4</t>
  </si>
  <si>
    <t>16-APR-2021</t>
  </si>
  <si>
    <t>OLAKHI300067816</t>
  </si>
  <si>
    <t>TDIDIB0029759</t>
  </si>
  <si>
    <t>9976AP1213030037</t>
  </si>
  <si>
    <t>FAHAD FAYYAZ MALIK</t>
  </si>
  <si>
    <t>35201-7309349-1</t>
  </si>
  <si>
    <t>03114895693</t>
  </si>
  <si>
    <t>03000823823</t>
  </si>
  <si>
    <t xml:space="preserve">HOUSE NO 93 IMPERIAL GARDEN STREET NO 2 PARAGON CITY BARKI ROAD LAHORE PK </t>
  </si>
  <si>
    <t>DIB/T/34259/LHR/1021</t>
  </si>
  <si>
    <t>1000669</t>
  </si>
  <si>
    <t>2553</t>
  </si>
  <si>
    <t>OLDLHR300077837</t>
  </si>
  <si>
    <t>TDIDIB0029782</t>
  </si>
  <si>
    <t>9976AD1212720042</t>
  </si>
  <si>
    <t>ADEEL AHMED KHAYYAM</t>
  </si>
  <si>
    <t>41304-6784487-1</t>
  </si>
  <si>
    <t>03213002765</t>
  </si>
  <si>
    <t xml:space="preserve">PLOT NO, B-5 SITE AREA HYDERABAD PK </t>
  </si>
  <si>
    <t>DIB/T/34254/KHI/1021</t>
  </si>
  <si>
    <t>2A39121</t>
  </si>
  <si>
    <t>NSP151R-9514590</t>
  </si>
  <si>
    <t>OLAKHI300074279</t>
  </si>
  <si>
    <t>TDIDIB0029757</t>
  </si>
  <si>
    <t>9976AP1213030036</t>
  </si>
  <si>
    <t>ZAIN MAHMOOD</t>
  </si>
  <si>
    <t>35201-0977855-9</t>
  </si>
  <si>
    <t>36664693</t>
  </si>
  <si>
    <t>0321-4001075</t>
  </si>
  <si>
    <t>03224257777 EX 41309</t>
  </si>
  <si>
    <t xml:space="preserve">H# 84 EDEN COTTAGES IQBAL PARK PH-2 WALTON DEFENCE ROAD LAHORE </t>
  </si>
  <si>
    <t>DIB/T/34252/LHR/1021</t>
  </si>
  <si>
    <t>12925295</t>
  </si>
  <si>
    <t>R028662</t>
  </si>
  <si>
    <t>LEC-17A-550</t>
  </si>
  <si>
    <t>OLULHR300077767</t>
  </si>
  <si>
    <t>TDIDIB0029777</t>
  </si>
  <si>
    <t>9976AP2213030024</t>
  </si>
  <si>
    <t>RAJESH KUMAR</t>
  </si>
  <si>
    <t>42501-5079442-1</t>
  </si>
  <si>
    <t>03212309565</t>
  </si>
  <si>
    <t xml:space="preserve">FLAT # A-1704, BLOCK-A, PLOT # 28, PARCI CITI, COMMISSARIATE LINE, GARDEN ROAD KARACHI. 03212309565 </t>
  </si>
  <si>
    <t>2524/02692/00135/11/2021</t>
  </si>
  <si>
    <t>Q036370</t>
  </si>
  <si>
    <t>ZRE171R-6013843</t>
  </si>
  <si>
    <t>BHX-105</t>
  </si>
  <si>
    <t>OLUKHI300077873</t>
  </si>
  <si>
    <t>DIB0032358</t>
  </si>
  <si>
    <t>9976AP2213030007</t>
  </si>
  <si>
    <t>MUHAMMAD FAHEEM ANJUM</t>
  </si>
  <si>
    <t>33100-8837013-3</t>
  </si>
  <si>
    <t>03136669216</t>
  </si>
  <si>
    <t>03136669216, 03136669216</t>
  </si>
  <si>
    <t>0419200544</t>
  </si>
  <si>
    <t xml:space="preserve">P-107 ST NO 04 KAHKEHSAN COLONY NO 2 JARANWALA ROAD FSD FAISALABAD PK </t>
  </si>
  <si>
    <t>56038/00082/10/2021</t>
  </si>
  <si>
    <t>K127539</t>
  </si>
  <si>
    <t>H10027524</t>
  </si>
  <si>
    <t>LEA-18A-5379</t>
  </si>
  <si>
    <t>SUZUKI CULTUS</t>
  </si>
  <si>
    <t>OLUFSD300077822</t>
  </si>
  <si>
    <t>DIB0032331</t>
  </si>
  <si>
    <t>9976AP1213030041</t>
  </si>
  <si>
    <t>ABDUL SATTAR CHAUDHRY</t>
  </si>
  <si>
    <t>36302-0336447-7</t>
  </si>
  <si>
    <t>03214255591</t>
  </si>
  <si>
    <t xml:space="preserve">T.R WORKSHOP SHALIMAR TOWN SULTAN MEHMOOD ROAD LAHORE </t>
  </si>
  <si>
    <t>2524/02692/00114/10/2021</t>
  </si>
  <si>
    <t>166689</t>
  </si>
  <si>
    <t>10066693</t>
  </si>
  <si>
    <t>LEB-18A-9660</t>
  </si>
  <si>
    <t>OLULHR300077692</t>
  </si>
  <si>
    <t>DIB0032324</t>
  </si>
  <si>
    <t>9976AP1213030059</t>
  </si>
  <si>
    <t>SYED MOHSIN RAZA ZAIDI</t>
  </si>
  <si>
    <t>42101-1743568-9</t>
  </si>
  <si>
    <t>03002899881</t>
  </si>
  <si>
    <t>03002899881, 03002899881</t>
  </si>
  <si>
    <t>02135155441</t>
  </si>
  <si>
    <t xml:space="preserve">Z2C PAKISTAN PVT LTD 406 THE FORUM BLOCK 9 CLIFTON NEAR VINCY MALL KARACHI </t>
  </si>
  <si>
    <t>DIB/T/34266/KHI/1021</t>
  </si>
  <si>
    <t>186077</t>
  </si>
  <si>
    <t>1086072</t>
  </si>
  <si>
    <t>OLDKHI300077882</t>
  </si>
  <si>
    <t>TDIDIB0029786</t>
  </si>
  <si>
    <t>9976AD2212110003</t>
  </si>
  <si>
    <t>SYED SHAH HUSSAIN TIRMIZI</t>
  </si>
  <si>
    <t>42501-8377431-7</t>
  </si>
  <si>
    <t>03003366909</t>
  </si>
  <si>
    <t>03003366909, 03003366909</t>
  </si>
  <si>
    <t>02134717778</t>
  </si>
  <si>
    <t xml:space="preserve">SHOP # 1 PLOT # A-669 GULSHAN-E-HAD EED PHASE 1 BIN QASIM NEAR DOW LAB KARACHI </t>
  </si>
  <si>
    <t>2524/02692/00119/10/2021</t>
  </si>
  <si>
    <t>188256</t>
  </si>
  <si>
    <t>1088241</t>
  </si>
  <si>
    <t>OLAKHI300071107</t>
  </si>
  <si>
    <t>5539/10/2021</t>
  </si>
  <si>
    <t>9976AP1213030060</t>
  </si>
  <si>
    <t>MUHAMMAD ABDAL SHAYAN</t>
  </si>
  <si>
    <t>42201-2919141-1</t>
  </si>
  <si>
    <t>03132490217</t>
  </si>
  <si>
    <t xml:space="preserve">PLOT # 4-B FLAT # 74-D 4TH FLOOR BU ILDING MAIN KHAY-E-JAMI NEAR HASEEN KARACHI PK </t>
  </si>
  <si>
    <t>DIB/T/34265/KHI/1021</t>
  </si>
  <si>
    <t>600226</t>
  </si>
  <si>
    <t>507094</t>
  </si>
  <si>
    <t>BCK-352</t>
  </si>
  <si>
    <t>OLUKHI300077884</t>
  </si>
  <si>
    <t>TDIDIB0029785</t>
  </si>
  <si>
    <t>9976AP1232970015</t>
  </si>
  <si>
    <t>YAKTA ATIQ KHAN</t>
  </si>
  <si>
    <t>42101-5727746-8</t>
  </si>
  <si>
    <t>03361201686</t>
  </si>
  <si>
    <t xml:space="preserve">HOUSE R- 495 BLOCK 16 FB AREA SINCE AND COMMERCE COLLEGE KARACHI PK </t>
  </si>
  <si>
    <t>76078/00009/10/2023</t>
  </si>
  <si>
    <t>23-OCT-2024</t>
  </si>
  <si>
    <t>149449</t>
  </si>
  <si>
    <t>10049372</t>
  </si>
  <si>
    <t>BQL-895</t>
  </si>
  <si>
    <t>27-OCT-2023</t>
  </si>
  <si>
    <t>OLUKHI300097558</t>
  </si>
  <si>
    <t>10545/10/2023</t>
  </si>
  <si>
    <t>24-OCT-2023</t>
  </si>
  <si>
    <t>9976AP1223050005</t>
  </si>
  <si>
    <t>NIAZ MUHAMMAD</t>
  </si>
  <si>
    <t>42301-1072417-5</t>
  </si>
  <si>
    <t>03212486755</t>
  </si>
  <si>
    <t xml:space="preserve">HOUSE # D-707 BLOCK-D BHITTAI COLON Y KORANGI CROSSING SHAMIM MASJID NE KARACHI PK </t>
  </si>
  <si>
    <t>64081/00074/10/2022</t>
  </si>
  <si>
    <t>253747</t>
  </si>
  <si>
    <t>1153689</t>
  </si>
  <si>
    <t>SUZUKI ALTO VXR AGS</t>
  </si>
  <si>
    <t>01-NOV-2022</t>
  </si>
  <si>
    <t>OLDKHI300090558</t>
  </si>
  <si>
    <t>9217/10/2022</t>
  </si>
  <si>
    <t>9976AP1223040027</t>
  </si>
  <si>
    <t>NAVEED KISHAN</t>
  </si>
  <si>
    <t>42301-2429227-7</t>
  </si>
  <si>
    <t>03343469921</t>
  </si>
  <si>
    <t>02134321129</t>
  </si>
  <si>
    <t xml:space="preserve">BAREEZ SHOP NO L G 6 7 8 DOLMEN MALL 01 TARIQ ROAD KARACHI </t>
  </si>
  <si>
    <t>64081/00078/10/2022</t>
  </si>
  <si>
    <t>6R197472</t>
  </si>
  <si>
    <t>1097509</t>
  </si>
  <si>
    <t>BVL-078</t>
  </si>
  <si>
    <t>SUZUKI ALTO VX EURO-II</t>
  </si>
  <si>
    <t>OLUKHI300090574</t>
  </si>
  <si>
    <t>9227/10/2022/ITFM</t>
  </si>
  <si>
    <t>9976AD2212120036</t>
  </si>
  <si>
    <t>RASHIDA NAEEM</t>
  </si>
  <si>
    <t>32403-9525597-2</t>
  </si>
  <si>
    <t>03016048607</t>
  </si>
  <si>
    <t>03016048607, 03016048607</t>
  </si>
  <si>
    <t>0419201529</t>
  </si>
  <si>
    <t xml:space="preserve">CHAK NO 103 RB PHALAHI WALA KHURRIA NWAL JARANWALA ROAD NEAR INTERLOOP FAISALABAD PK </t>
  </si>
  <si>
    <t>2021/10/CLFTTPCOP01143</t>
  </si>
  <si>
    <t>187961</t>
  </si>
  <si>
    <t>1087943</t>
  </si>
  <si>
    <t>SUZUKI ALTO VX</t>
  </si>
  <si>
    <t>OLAFSD300071425</t>
  </si>
  <si>
    <t>DIB0032190</t>
  </si>
  <si>
    <t>9976AP1212990010</t>
  </si>
  <si>
    <t>MAHAD RAFIQUE</t>
  </si>
  <si>
    <t>33102-0160815-1</t>
  </si>
  <si>
    <t>03208074000</t>
  </si>
  <si>
    <t xml:space="preserve">SHOP NO 7 GROUND FLOOR AWAMI CENTRE MAKI MARKET KARKHANA BAZAR FSD 03208074000 </t>
  </si>
  <si>
    <t>56038/00057/10/2021</t>
  </si>
  <si>
    <t>6R166305</t>
  </si>
  <si>
    <t>1066309</t>
  </si>
  <si>
    <t>ATV-183</t>
  </si>
  <si>
    <t>OLUFSD300076214</t>
  </si>
  <si>
    <t>DIB0032231</t>
  </si>
  <si>
    <t>9976AP1213010011</t>
  </si>
  <si>
    <t>MUHAMMAD FARHAN JAFFAR</t>
  </si>
  <si>
    <t>35201-0101896-9</t>
  </si>
  <si>
    <t>03174367640</t>
  </si>
  <si>
    <t xml:space="preserve">OFFICE NO 1213 ROHI NALA KAMAHA ROA D IBRAHIM MARKET LAHORE </t>
  </si>
  <si>
    <t>2524/02692/00087/10/2021</t>
  </si>
  <si>
    <t>222136</t>
  </si>
  <si>
    <t>10122110</t>
  </si>
  <si>
    <t>28-OCT-2021</t>
  </si>
  <si>
    <t>OLDLHR300076162</t>
  </si>
  <si>
    <t>DIB0032235</t>
  </si>
  <si>
    <t>9976AD1211180004</t>
  </si>
  <si>
    <t>MUHAMMAD NISAR</t>
  </si>
  <si>
    <t>34603-4671277-3</t>
  </si>
  <si>
    <t>03338713122</t>
  </si>
  <si>
    <t xml:space="preserve">KHADIM ALI ROAD MOHALLAH KOTLI BEHR AM SCHOOL WALI GALI SIALKOT </t>
  </si>
  <si>
    <t>PL-1021-1101010102-V14-D-00497</t>
  </si>
  <si>
    <t>Q082162</t>
  </si>
  <si>
    <t>ZRE171R-6059644</t>
  </si>
  <si>
    <t>OLASKT300068127</t>
  </si>
  <si>
    <t>DIB0032241</t>
  </si>
  <si>
    <t>9976AD1212080031</t>
  </si>
  <si>
    <t>33100-5447164-9</t>
  </si>
  <si>
    <t>0418785864</t>
  </si>
  <si>
    <t>0321-9667242</t>
  </si>
  <si>
    <t>041-8860720</t>
  </si>
  <si>
    <t xml:space="preserve">165 BLOCK-A GULISTAN COLONY NO 2 NEAR MASJID GULZAR-E-MADINA FAISALABAD </t>
  </si>
  <si>
    <t>DIB/T/BT/33971/LHR/1021</t>
  </si>
  <si>
    <t>187283</t>
  </si>
  <si>
    <t>10087272</t>
  </si>
  <si>
    <t>SUZUKI CULTUS VXL A/T</t>
  </si>
  <si>
    <t>OLAFSDAT101059</t>
  </si>
  <si>
    <t>DIB0032188</t>
  </si>
  <si>
    <t>9976AP1223020103</t>
  </si>
  <si>
    <t>MUHAMMAD ALI RAZA</t>
  </si>
  <si>
    <t>42101-3834057-5</t>
  </si>
  <si>
    <t>03170228185</t>
  </si>
  <si>
    <t>03170228185, 03170228185</t>
  </si>
  <si>
    <t xml:space="preserve">HOUSE # C-41 ISHAQABAD LIAQUATABAD F.B. AREA NEAR FAROOQ-E-AZAM MASJID KARACHI PK </t>
  </si>
  <si>
    <t>64081/00073/10/2022</t>
  </si>
  <si>
    <t>246115</t>
  </si>
  <si>
    <t>1146009</t>
  </si>
  <si>
    <t>BXM-452</t>
  </si>
  <si>
    <t>SUZUKI ALTO AGS EURO-II</t>
  </si>
  <si>
    <t>OLUKHI300090566</t>
  </si>
  <si>
    <t>9215/10/2022/ITFM</t>
  </si>
  <si>
    <t>9976AD1212460001</t>
  </si>
  <si>
    <t>USAMA SHAHZAD</t>
  </si>
  <si>
    <t>33102-6272201-5</t>
  </si>
  <si>
    <t>03107700667</t>
  </si>
  <si>
    <t>03107700667, 03107700667</t>
  </si>
  <si>
    <t xml:space="preserve">P-41 SALAMAT BLOCK AMIN TOWN FSD NE AR TANKI PARK FAISALABAD PK </t>
  </si>
  <si>
    <t>2021-10-205-V01501OP00002460</t>
  </si>
  <si>
    <t>2A38763</t>
  </si>
  <si>
    <t>9514406</t>
  </si>
  <si>
    <t>OLAFSD300073064</t>
  </si>
  <si>
    <t>DIB0032177</t>
  </si>
  <si>
    <t>9976AD1212430073</t>
  </si>
  <si>
    <t>ZULFIQAR ALI SHAH</t>
  </si>
  <si>
    <t>41303-1519629-3</t>
  </si>
  <si>
    <t>03103219448</t>
  </si>
  <si>
    <t xml:space="preserve">HOUSE # B-13 DASTAGIR COLONY NEAR S AIMA PLAZA HALA NAKA NEAR SHELL PUM HYDERABAD PK </t>
  </si>
  <si>
    <t>PL-1021-1101010102-V14-D-00496</t>
  </si>
  <si>
    <t>2A38838</t>
  </si>
  <si>
    <t>NSP150R-7024316</t>
  </si>
  <si>
    <t>OLAHYD300072741</t>
  </si>
  <si>
    <t>DIB0032165</t>
  </si>
  <si>
    <t>9976AP2213030006</t>
  </si>
  <si>
    <t>SUZUKI ISLAMABAD MOTORS</t>
  </si>
  <si>
    <t>MUHAMMAD SHAFIQUE</t>
  </si>
  <si>
    <t>31303-3543972-9</t>
  </si>
  <si>
    <t>03318872413</t>
  </si>
  <si>
    <t xml:space="preserve">H # 719 ST # 64 A, PHASE 01, PAKIST AN TOWN ISLAMABAD PK </t>
  </si>
  <si>
    <t>56038/00080/10/2021</t>
  </si>
  <si>
    <t>1016816</t>
  </si>
  <si>
    <t>01133314</t>
  </si>
  <si>
    <t>OLDISD300077657</t>
  </si>
  <si>
    <t>DIB0032315</t>
  </si>
  <si>
    <t>9976AD1212430048</t>
  </si>
  <si>
    <t>ABDUL SHAKOOR</t>
  </si>
  <si>
    <t>OKARA</t>
  </si>
  <si>
    <t>35302-8240360-9</t>
  </si>
  <si>
    <t>03434121212</t>
  </si>
  <si>
    <t>03434121212, 03059707838</t>
  </si>
  <si>
    <t>03059707838</t>
  </si>
  <si>
    <t xml:space="preserve">HOUSE NO 169 STREET NO 2 MOH DAR UL EHSAN TOWN OKARA PK </t>
  </si>
  <si>
    <t>01-2110-PO-MTR-PCCM-D-001460</t>
  </si>
  <si>
    <t>2A38479</t>
  </si>
  <si>
    <t>R-7024112</t>
  </si>
  <si>
    <t>TOYOTA YARIS ATIV MT</t>
  </si>
  <si>
    <t>OLAOKR300072554</t>
  </si>
  <si>
    <t>5551/10/2021</t>
  </si>
  <si>
    <t>9976AP1223040015</t>
  </si>
  <si>
    <t>MOHAMMAD ASIM BROHI</t>
  </si>
  <si>
    <t>42501-2117615-5</t>
  </si>
  <si>
    <t>03168054189</t>
  </si>
  <si>
    <t xml:space="preserve">HOUSE # R51 GULSHAN E QASIM NEAR SU MEIRA BANGLOWS SAFOORA KHI KARACHI PK </t>
  </si>
  <si>
    <t>64081/00077/10/2022</t>
  </si>
  <si>
    <t>6R148097</t>
  </si>
  <si>
    <t>1048065</t>
  </si>
  <si>
    <t>BSZ-193</t>
  </si>
  <si>
    <t>OLUKHI300090577</t>
  </si>
  <si>
    <t>9231/10/2022/ITFM</t>
  </si>
  <si>
    <t>9976AP1223000083</t>
  </si>
  <si>
    <t>ARSALAN JAVED</t>
  </si>
  <si>
    <t>42101-3974221-1</t>
  </si>
  <si>
    <t>03312499132</t>
  </si>
  <si>
    <t>03312499132, 03312499132</t>
  </si>
  <si>
    <t xml:space="preserve">HOUSE # B-111 QUETTA TOWN CO-OPERAT IVE HOUSING SOCIETY GULZAR-E-HIJRI KARACHI PK </t>
  </si>
  <si>
    <t>Q039948</t>
  </si>
  <si>
    <t>6017438</t>
  </si>
  <si>
    <t>BKN-981</t>
  </si>
  <si>
    <t>OLUKHI300090465</t>
  </si>
  <si>
    <t>9174/10/2022/ITFM</t>
  </si>
  <si>
    <t>9976AP1223000084</t>
  </si>
  <si>
    <t>FALAK ZAIB</t>
  </si>
  <si>
    <t>42201-1276011-1</t>
  </si>
  <si>
    <t>03109947144</t>
  </si>
  <si>
    <t>03109947144, 03109947144</t>
  </si>
  <si>
    <t xml:space="preserve">HOUSE # 26/16 FIRST FLOOR CANTT BAZ AR DRIGH ROAD NEAR CANTT PUBLIC DEG KARACHI PK </t>
  </si>
  <si>
    <t>64081/00054/10/2022</t>
  </si>
  <si>
    <t>18212919241</t>
  </si>
  <si>
    <t>R022632</t>
  </si>
  <si>
    <t>BKD-538</t>
  </si>
  <si>
    <t>HOLNDA CIVIC 1.8 ORIEL</t>
  </si>
  <si>
    <t>OLUKHI300090447</t>
  </si>
  <si>
    <t>9147/10/2022/ITFM</t>
  </si>
  <si>
    <t>9976AD1211980022</t>
  </si>
  <si>
    <t>SHAMMAL QURESHI</t>
  </si>
  <si>
    <t>42301-9847919-9</t>
  </si>
  <si>
    <t>03218243113</t>
  </si>
  <si>
    <t>02135888243</t>
  </si>
  <si>
    <t xml:space="preserve">QURESHI GROUP PLAZA NO 331 Z BLOCK PHASE 3 C DHA LAHORE </t>
  </si>
  <si>
    <t>2021/10/CLFTTPCDP01173</t>
  </si>
  <si>
    <t>1GD5062240</t>
  </si>
  <si>
    <t>5548268</t>
  </si>
  <si>
    <t>OLALHR300070656</t>
  </si>
  <si>
    <t>5565/10/2021</t>
  </si>
  <si>
    <t>9976AD1212590046</t>
  </si>
  <si>
    <t>MUHAMMAD ALI FAZLI</t>
  </si>
  <si>
    <t>42201-0338348-9</t>
  </si>
  <si>
    <t>03332232266</t>
  </si>
  <si>
    <t xml:space="preserve">HOUSE NO A- 24/2IN BETWEEN B1 and B2 STREET KHAYABAN-E- GHAZI PHASE 5 D KARACHI PK </t>
  </si>
  <si>
    <t>2524/02692/00109/10/2021</t>
  </si>
  <si>
    <t>G4NAMH311970</t>
  </si>
  <si>
    <t>NNAQL51AZKP513631</t>
  </si>
  <si>
    <t>16-SEP-2021</t>
  </si>
  <si>
    <t>OLAKHI30007603</t>
  </si>
  <si>
    <t>9976AD1212730047</t>
  </si>
  <si>
    <t>IBRAHIM MOTORS</t>
  </si>
  <si>
    <t>MUHAMMAD NAVEED ASLAM</t>
  </si>
  <si>
    <t>35202-8723989-5</t>
  </si>
  <si>
    <t>03214845172</t>
  </si>
  <si>
    <t>35771376</t>
  </si>
  <si>
    <t xml:space="preserve">H# 193 A VENUS HOUSING SOCIETY SCHE ME LAHORE PK </t>
  </si>
  <si>
    <t>DIB/T/34244/LHR/1021</t>
  </si>
  <si>
    <t>910999</t>
  </si>
  <si>
    <t>301920</t>
  </si>
  <si>
    <t>HYUNDAI ELANTRA</t>
  </si>
  <si>
    <t>OLALHR300074337</t>
  </si>
  <si>
    <t>TDIDIB0029770</t>
  </si>
  <si>
    <t>9976AD2210910036</t>
  </si>
  <si>
    <t>TABASSAM HANIF</t>
  </si>
  <si>
    <t>35202-2696730-3</t>
  </si>
  <si>
    <t>03238844820</t>
  </si>
  <si>
    <t xml:space="preserve">H# 53 D SUKH CHAIN GARDEN CANAL ROA D LAHORE PK </t>
  </si>
  <si>
    <t>2524/02692/00112/10/2021</t>
  </si>
  <si>
    <t>Q353021</t>
  </si>
  <si>
    <t>ZRE172R-7052188</t>
  </si>
  <si>
    <t>TOYOTA CORROLA GANDE CVT</t>
  </si>
  <si>
    <t>01-APR-2021</t>
  </si>
  <si>
    <t>OLALHR300067364</t>
  </si>
  <si>
    <t>DIB0032319</t>
  </si>
  <si>
    <t>9976AD1220800014</t>
  </si>
  <si>
    <t>DESMOND PEREIRA</t>
  </si>
  <si>
    <t>42301-9688235-1</t>
  </si>
  <si>
    <t>03222329800</t>
  </si>
  <si>
    <t xml:space="preserve">FLAT # 203 2ND FLOOR SAFETY HOMES D R DAWOON POTA ROAD CANTT STATION KARACHI PK </t>
  </si>
  <si>
    <t>64081/00056/10/2022</t>
  </si>
  <si>
    <t>250742</t>
  </si>
  <si>
    <t>1150745</t>
  </si>
  <si>
    <t>21-MAR-2022</t>
  </si>
  <si>
    <t>03-Nov-2029</t>
  </si>
  <si>
    <t>OLAKHI300085790</t>
  </si>
  <si>
    <t>DIB0034801</t>
  </si>
  <si>
    <t>9976AD1211800021</t>
  </si>
  <si>
    <t>MUHAMMAD SHAHNAWAZ SARDAR</t>
  </si>
  <si>
    <t>35201-4887884-5</t>
  </si>
  <si>
    <t>03334266422</t>
  </si>
  <si>
    <t xml:space="preserve">54-278 PAF OFFICERS COLONY ZARRAR S HAHEED ROAD LAHORE </t>
  </si>
  <si>
    <t>2021-10-205-V01501OP0002863</t>
  </si>
  <si>
    <t>Q081944</t>
  </si>
  <si>
    <t>ZRE171R-6059438</t>
  </si>
  <si>
    <t>COROLLA ALTIS M/T</t>
  </si>
  <si>
    <t>OLALHR300069966</t>
  </si>
  <si>
    <t>DIB0032318</t>
  </si>
  <si>
    <t>9976AP1213030034</t>
  </si>
  <si>
    <t>WASEEM SALEEM</t>
  </si>
  <si>
    <t>34101-9636108-9</t>
  </si>
  <si>
    <t>03217443791</t>
  </si>
  <si>
    <t xml:space="preserve">H NO 156 C 1 WAPDA TOWN GUJRANWALA PK </t>
  </si>
  <si>
    <t>01-2110-PO-MTR-PCCM-D-001476</t>
  </si>
  <si>
    <t>12933573</t>
  </si>
  <si>
    <t>036891</t>
  </si>
  <si>
    <t>AJK-487</t>
  </si>
  <si>
    <t>HONDA CIVIC IV TEC O/T</t>
  </si>
  <si>
    <t>OLUGWL300077569</t>
  </si>
  <si>
    <t>DIB0032311</t>
  </si>
  <si>
    <t>9976AD1212430045</t>
  </si>
  <si>
    <t>NADIA JAVED</t>
  </si>
  <si>
    <t>42101-0584099-2</t>
  </si>
  <si>
    <t>03012464489</t>
  </si>
  <si>
    <t xml:space="preserve">ACADEMIA CIVITAS C-57 SHAHRAH E IRAN OLD CLIFTON KARACHI </t>
  </si>
  <si>
    <t>2524/02692/00107/10/2021</t>
  </si>
  <si>
    <t>2A39235</t>
  </si>
  <si>
    <t>7024502</t>
  </si>
  <si>
    <t>OLAKHI300072772</t>
  </si>
  <si>
    <t>DIB0032267</t>
  </si>
  <si>
    <t>9976AP1232980002</t>
  </si>
  <si>
    <t>SALAMAT ALI</t>
  </si>
  <si>
    <t>33102-8128335-5</t>
  </si>
  <si>
    <t>03072816206</t>
  </si>
  <si>
    <t xml:space="preserve">H NO P-1154 STREET NO 7 MUHALLA SHADAB COLONY NEAR SHADAB PULLEY FAISALABAD PK </t>
  </si>
  <si>
    <t>76078/00010/10/2023</t>
  </si>
  <si>
    <t>24-OCT-2024</t>
  </si>
  <si>
    <t>6R188214</t>
  </si>
  <si>
    <t>306111088196</t>
  </si>
  <si>
    <t>AHX-225</t>
  </si>
  <si>
    <t>OLUFSD300097570</t>
  </si>
  <si>
    <t>10548/10/2023/ITFM</t>
  </si>
  <si>
    <t>25-OCT-2023</t>
  </si>
  <si>
    <t>9976AP1213030027</t>
  </si>
  <si>
    <t>SUZUKI RAVI MOTORS</t>
  </si>
  <si>
    <t>RANA MUMTAZ ALI</t>
  </si>
  <si>
    <t>MURIDK</t>
  </si>
  <si>
    <t>35401-1848440-1</t>
  </si>
  <si>
    <t>03004406167</t>
  </si>
  <si>
    <t xml:space="preserve">PO KHAS CHORA RAJPOOTAN TEH.MURIDKE DISTT. SHEIKHUPURA MURIDKE </t>
  </si>
  <si>
    <t>01-2110-PO-MTR-PCCM-D-001477</t>
  </si>
  <si>
    <t>222589</t>
  </si>
  <si>
    <t>10122565</t>
  </si>
  <si>
    <t>OLDMDK300077573</t>
  </si>
  <si>
    <t>DIB0032312</t>
  </si>
  <si>
    <t>9976AP2232990003</t>
  </si>
  <si>
    <t>MUHAMMAD HAMZA AMJAD</t>
  </si>
  <si>
    <t>33100-6422958-5</t>
  </si>
  <si>
    <t>03095665426</t>
  </si>
  <si>
    <t xml:space="preserve">P-12 NAZIMABAD VILLAS REHMANIA ROAD FSD </t>
  </si>
  <si>
    <t>76078/00011/10/2023</t>
  </si>
  <si>
    <t>232240</t>
  </si>
  <si>
    <t>10132180</t>
  </si>
  <si>
    <t>AKC-595</t>
  </si>
  <si>
    <t>SUZUKI WAGONR VXR</t>
  </si>
  <si>
    <t>OLUFSD300097581</t>
  </si>
  <si>
    <t>10551/10/2023/ITFM</t>
  </si>
  <si>
    <t>9976AD1212000001</t>
  </si>
  <si>
    <t>NARESH KUMAR</t>
  </si>
  <si>
    <t>44302-3337938-7</t>
  </si>
  <si>
    <t>03333650136</t>
  </si>
  <si>
    <t xml:space="preserve">NTECH SHOP NO 56 GROUND FLOOR TAYYAB COMPLEX SADDAR CANT HYDERABAD </t>
  </si>
  <si>
    <t>DIB/T/34237/HYD/1021</t>
  </si>
  <si>
    <t>189957</t>
  </si>
  <si>
    <t>1089988</t>
  </si>
  <si>
    <t>OLAHYD300070460</t>
  </si>
  <si>
    <t>TDIDIB0029737</t>
  </si>
  <si>
    <t>9976AP1213030002</t>
  </si>
  <si>
    <t>ABBAS ALI</t>
  </si>
  <si>
    <t>33104-2195294-1</t>
  </si>
  <si>
    <t>03457790671</t>
  </si>
  <si>
    <t>03457790671, 03457790671</t>
  </si>
  <si>
    <t xml:space="preserve">QUAID E AZAM PARK ST NO 01 NEAR MAS JID ALI FATIMA FAISALABAD PK </t>
  </si>
  <si>
    <t>56038/00061/10/2021</t>
  </si>
  <si>
    <t>222689</t>
  </si>
  <si>
    <t>10122660</t>
  </si>
  <si>
    <t>OLDFSD300075802</t>
  </si>
  <si>
    <t>DIB0032249</t>
  </si>
  <si>
    <t>9976AP2223010042</t>
  </si>
  <si>
    <t>MUHAMMAD ALEEM</t>
  </si>
  <si>
    <t>42201-8811562-5</t>
  </si>
  <si>
    <t>03112226790</t>
  </si>
  <si>
    <t xml:space="preserve">L-2/24 RETA PLOT SHAH FAISAL COLONY NO 2 BANK AL HABIB KARACHI PK </t>
  </si>
  <si>
    <t>64081/00068/10/2022</t>
  </si>
  <si>
    <t>Q071389</t>
  </si>
  <si>
    <t>6048876</t>
  </si>
  <si>
    <t>BSY-840</t>
  </si>
  <si>
    <t>OLUKHI300090527</t>
  </si>
  <si>
    <t>9197/10/2022/ITFM</t>
  </si>
  <si>
    <t>9976AD2221440024</t>
  </si>
  <si>
    <t>FAISAL NADEEM</t>
  </si>
  <si>
    <t>35201-2706231-3</t>
  </si>
  <si>
    <t>03218485281</t>
  </si>
  <si>
    <t xml:space="preserve">H NO 286 BLOCK C PHASE 9 DHA LAHORE PK </t>
  </si>
  <si>
    <t>64081/00070/10/2022</t>
  </si>
  <si>
    <t>253631</t>
  </si>
  <si>
    <t>1153680</t>
  </si>
  <si>
    <t>24-MAY-2022</t>
  </si>
  <si>
    <t>OLALHR300087481</t>
  </si>
  <si>
    <t>9210/10/2022/ITFM</t>
  </si>
  <si>
    <t>9976AP1213000007</t>
  </si>
  <si>
    <t>PAK MOTORS</t>
  </si>
  <si>
    <t>ZUBAIR HUSSAIN</t>
  </si>
  <si>
    <t>Tando alla Yar</t>
  </si>
  <si>
    <t>41307-6972376-3</t>
  </si>
  <si>
    <t>03333349066</t>
  </si>
  <si>
    <t xml:space="preserve">HOUSE N0 413 WC MUHALLA KALI KA MANDAR MOJ DARYA ROAD TANDOALLAHYAR </t>
  </si>
  <si>
    <t>PL-1021-1101010102-V14-D-00500</t>
  </si>
  <si>
    <t>1013685</t>
  </si>
  <si>
    <t>1132809</t>
  </si>
  <si>
    <t>OLDTNA300075932</t>
  </si>
  <si>
    <t>9976AD1210210040</t>
  </si>
  <si>
    <t>MG LYALLPUR MOTORS</t>
  </si>
  <si>
    <t>MUHAMMAD USMAN AHMED</t>
  </si>
  <si>
    <t>35202-8958862-1</t>
  </si>
  <si>
    <t>04235755798</t>
  </si>
  <si>
    <t>03214205994</t>
  </si>
  <si>
    <t xml:space="preserve">HOUSE NO 564 BLOCK L PHASE 6 DHA LAHORE </t>
  </si>
  <si>
    <t>DIB/T/34233/LHR/1021</t>
  </si>
  <si>
    <t>15E45MGM721003</t>
  </si>
  <si>
    <t>LSJA24097MN128905</t>
  </si>
  <si>
    <t>21-JAN-2021</t>
  </si>
  <si>
    <t>OLALHR300065165</t>
  </si>
  <si>
    <t>TDIDIB0029755</t>
  </si>
  <si>
    <t>9976AP1213010014</t>
  </si>
  <si>
    <t>MUHAMMAD MAZHAR KIYANI</t>
  </si>
  <si>
    <t>37402-0978908-1</t>
  </si>
  <si>
    <t>03009502214</t>
  </si>
  <si>
    <t>0514491851</t>
  </si>
  <si>
    <t xml:space="preserve">H # 10 IQBAL STREET CALTEX ROAD NEW LALAZAR NEAR ASKARI 14 GATE 1 RAWALPINDI PK </t>
  </si>
  <si>
    <t>56038/00067/10/2021</t>
  </si>
  <si>
    <t>1015839</t>
  </si>
  <si>
    <t>1132383</t>
  </si>
  <si>
    <t>SUZUKI BOLAN VX</t>
  </si>
  <si>
    <t>OLDRWP300076557</t>
  </si>
  <si>
    <t>DIB0032262</t>
  </si>
  <si>
    <t>9976AP2213020001</t>
  </si>
  <si>
    <t>33103-7187282-5</t>
  </si>
  <si>
    <t>03030668486</t>
  </si>
  <si>
    <t>03030668486, 03030668486</t>
  </si>
  <si>
    <t xml:space="preserve">P-278 CHAK NO 067 JB SADHAR FAISALA BAD NEAR JHANALDAR SWEET FAISALABAD PK </t>
  </si>
  <si>
    <t>56038/00074/10/2021</t>
  </si>
  <si>
    <t>6R189729</t>
  </si>
  <si>
    <t>1089746</t>
  </si>
  <si>
    <t>OLDFSD300076672</t>
  </si>
  <si>
    <t>DIB0032280</t>
  </si>
  <si>
    <t>9976AD1210900095</t>
  </si>
  <si>
    <t>USMAN ALI ARSHAD</t>
  </si>
  <si>
    <t>35202-2852641-1</t>
  </si>
  <si>
    <t>03334222434</t>
  </si>
  <si>
    <t>03334222434, 03334222434</t>
  </si>
  <si>
    <t>0412663861</t>
  </si>
  <si>
    <t xml:space="preserve">H NO P-06-B ST NO 06 224-RB RAJA GH ULAM RASOOL NAGAR FAISALABAD PK </t>
  </si>
  <si>
    <t>DIB/T/BT/33852/LHR/1021</t>
  </si>
  <si>
    <t>Q081403</t>
  </si>
  <si>
    <t>6058898</t>
  </si>
  <si>
    <t>OLAFSD300067453</t>
  </si>
  <si>
    <t>TDIDIB0029712</t>
  </si>
  <si>
    <t>9976AD1212430058</t>
  </si>
  <si>
    <t>35403-0574842-9</t>
  </si>
  <si>
    <t>03066056891</t>
  </si>
  <si>
    <t>03066056891, 03066056891</t>
  </si>
  <si>
    <t xml:space="preserve">H NO P-12-F-2 ST NO 04 FAREED COLON Y NO 02 MADAN PURA FAISALABAD PK </t>
  </si>
  <si>
    <t>DIB/T/BT/34223/LHR/1021</t>
  </si>
  <si>
    <t>2439197</t>
  </si>
  <si>
    <t>NSP150R-7024391</t>
  </si>
  <si>
    <t>OLAFSD300072725</t>
  </si>
  <si>
    <t>DIB0032271</t>
  </si>
  <si>
    <t>9976AD1212810015</t>
  </si>
  <si>
    <t>HYUNDAI CENTRAL MOTORS</t>
  </si>
  <si>
    <t>SHAHID NAVEED</t>
  </si>
  <si>
    <t>35202-8538578-3</t>
  </si>
  <si>
    <t>03004441136</t>
  </si>
  <si>
    <t xml:space="preserve">DEFFENCE ROAD NEAR KAHNA KACHA FLYO VER NEAR MASJID AL NOOR LAHORE </t>
  </si>
  <si>
    <t>56038/00042/10/2021</t>
  </si>
  <si>
    <t>G4NAMU910087</t>
  </si>
  <si>
    <t>PMH841FMMN301897</t>
  </si>
  <si>
    <t>ELENTRA</t>
  </si>
  <si>
    <t>OLALHR300074237</t>
  </si>
  <si>
    <t>DIB0032268</t>
  </si>
  <si>
    <t>9976AP1213030001</t>
  </si>
  <si>
    <t>NASEER KHAN</t>
  </si>
  <si>
    <t>37405-4442758-9</t>
  </si>
  <si>
    <t>0321-5000212</t>
  </si>
  <si>
    <t xml:space="preserve">ATTAR ESTATE PLOT NO 01 PLAZA NO 01 MINI COMMERCIAL EXPRESS WAY BHARIA TOWN PH-7 NEAR DHA BHAWALPUR OFFICE RWP </t>
  </si>
  <si>
    <t>56038/00072//10/2021</t>
  </si>
  <si>
    <t>7427644</t>
  </si>
  <si>
    <t>165484</t>
  </si>
  <si>
    <t>ED-273</t>
  </si>
  <si>
    <t>HONDA CITY I-V TEC- M/T</t>
  </si>
  <si>
    <t>OLURWP300077032</t>
  </si>
  <si>
    <t>DIB0032286</t>
  </si>
  <si>
    <t>9976AD2210750003</t>
  </si>
  <si>
    <t>KIA MOTORS SOCIETY</t>
  </si>
  <si>
    <t>AIJAZ AHMAD</t>
  </si>
  <si>
    <t>42401-3181184-7</t>
  </si>
  <si>
    <t>03002373009</t>
  </si>
  <si>
    <t xml:space="preserve">A-426 G-2 BLOCK D NORTH NAZIMABAD KARACHI </t>
  </si>
  <si>
    <t>DIB/T/BT/34213/KHI/1021</t>
  </si>
  <si>
    <t>G3LAMP107820</t>
  </si>
  <si>
    <t>NNATA52AZKP707721</t>
  </si>
  <si>
    <t>16-MAR-2021</t>
  </si>
  <si>
    <t>OLAKHI300066685</t>
  </si>
  <si>
    <t>TDIDIB0029723</t>
  </si>
  <si>
    <t>9976AD2212090011</t>
  </si>
  <si>
    <t>IMRAN ARSHAD</t>
  </si>
  <si>
    <t>33102-2069140-9</t>
  </si>
  <si>
    <t>03457701260</t>
  </si>
  <si>
    <t>03457701260, 03457701260</t>
  </si>
  <si>
    <t xml:space="preserve">H NO P-1038 04 CHAK ROAD CK 203 RB MANAWALA FAISALABAD PK </t>
  </si>
  <si>
    <t>DIB/T/BT/34079/LHR/1021</t>
  </si>
  <si>
    <t>187267</t>
  </si>
  <si>
    <t>10087221</t>
  </si>
  <si>
    <t>CULTUS VXL AGS EUROP-II</t>
  </si>
  <si>
    <t>OLAFSD300071228</t>
  </si>
  <si>
    <t>5541/10/2021</t>
  </si>
  <si>
    <t>9976AD2212350001</t>
  </si>
  <si>
    <t>MUHAMMAD AHMED USAMA</t>
  </si>
  <si>
    <t>42301-9419156-7</t>
  </si>
  <si>
    <t>03476866504</t>
  </si>
  <si>
    <t xml:space="preserve">AUJ ENTERPRISES NORTH CORNER RESIDENCY SHOP NO 10 4K CHOWRANGI NORTH KARACHI </t>
  </si>
  <si>
    <t>56038/00064/10/2021</t>
  </si>
  <si>
    <t>2A39041</t>
  </si>
  <si>
    <t>9514557</t>
  </si>
  <si>
    <t>23-AUG-2021</t>
  </si>
  <si>
    <t>OLAKHI300072213</t>
  </si>
  <si>
    <t>DIB0032236</t>
  </si>
  <si>
    <t>9976AP1213030013</t>
  </si>
  <si>
    <t>DANIYAL SAEED</t>
  </si>
  <si>
    <t>42101-4255109-7</t>
  </si>
  <si>
    <t>03009251994</t>
  </si>
  <si>
    <t xml:space="preserve">HOUSE NO R-70,KHYABAN-E-RIZWAN PHASE 7 DHA NEAR CBC CHURANGI KARACHI </t>
  </si>
  <si>
    <t>2524/02692/00104/10/2021</t>
  </si>
  <si>
    <t>104899</t>
  </si>
  <si>
    <t>1004894</t>
  </si>
  <si>
    <t>BRZ-885</t>
  </si>
  <si>
    <t>OLUKHI300077262</t>
  </si>
  <si>
    <t>DIB0032295</t>
  </si>
  <si>
    <t>9976AD1212100019</t>
  </si>
  <si>
    <t>FURQAN RAFIQ MIRZA</t>
  </si>
  <si>
    <t>36302-6841761-7</t>
  </si>
  <si>
    <t>03008639288</t>
  </si>
  <si>
    <t xml:space="preserve">AL-JANNAT HOMES, HOUSE NO 47, SULTANABAD GULGASHT, MULTAN-0301-8639288 MULTAN </t>
  </si>
  <si>
    <t>01-2110-PO-MTR-PCCM-D-001470</t>
  </si>
  <si>
    <t>6R189316</t>
  </si>
  <si>
    <t>1089359</t>
  </si>
  <si>
    <t>OLAMUX300070947</t>
  </si>
  <si>
    <t>5561/10/2021</t>
  </si>
  <si>
    <t>9976AP1213010001</t>
  </si>
  <si>
    <t>MUHAMMAD ABDUL REHMAN</t>
  </si>
  <si>
    <t>35202-2699019-5</t>
  </si>
  <si>
    <t>03236952410</t>
  </si>
  <si>
    <t xml:space="preserve">SHOP NO 30 1ST FLOOR AVENUE MALL KA RIM BLOCK ALLAMA IQBAL TOWN NEAR SH OW BOX LAHORE </t>
  </si>
  <si>
    <t>56038/00066/10/2021</t>
  </si>
  <si>
    <t>Z490061</t>
  </si>
  <si>
    <t>R-4116924</t>
  </si>
  <si>
    <t>LEC-18A-7186</t>
  </si>
  <si>
    <t>OLULHR300076602</t>
  </si>
  <si>
    <t>DIB0032259</t>
  </si>
  <si>
    <t>9976AD1212700054</t>
  </si>
  <si>
    <t>MOHAMMAD AMIR RAUF</t>
  </si>
  <si>
    <t>33100-0983648-7</t>
  </si>
  <si>
    <t>8753380</t>
  </si>
  <si>
    <t>0300-9652012</t>
  </si>
  <si>
    <t>8758566</t>
  </si>
  <si>
    <t xml:space="preserve">H NO P-121 FAISAL GARDEN CANAL ROAD 0 FAISALABAD </t>
  </si>
  <si>
    <t>56038/00065/10/2021</t>
  </si>
  <si>
    <t>2A39254</t>
  </si>
  <si>
    <t>7024566</t>
  </si>
  <si>
    <t>OLAFSD300074111</t>
  </si>
  <si>
    <t>DIB0032260</t>
  </si>
  <si>
    <t>9976AD1212120114</t>
  </si>
  <si>
    <t>SHAHID SUFYAN</t>
  </si>
  <si>
    <t>42301-8565623-7</t>
  </si>
  <si>
    <t>03214130595</t>
  </si>
  <si>
    <t xml:space="preserve">OLD ANARKALI JAIN MANDIR CHOWK LAHORE </t>
  </si>
  <si>
    <t>2021-10-205-V01501OP0002619</t>
  </si>
  <si>
    <t>6R189460</t>
  </si>
  <si>
    <t>NF1AET306H1089458</t>
  </si>
  <si>
    <t>SUZUKI ALTO VX EURO II</t>
  </si>
  <si>
    <t>OLalhr300071467</t>
  </si>
  <si>
    <t>5564/10/2021</t>
  </si>
  <si>
    <t>9976AP2213020004</t>
  </si>
  <si>
    <t>NEW DEEN MOTORS</t>
  </si>
  <si>
    <t>MUSTAFA ABID PARACHA</t>
  </si>
  <si>
    <t>17201-7447756-1</t>
  </si>
  <si>
    <t>03042000054</t>
  </si>
  <si>
    <t xml:space="preserve">H # 16 ST # 49 SECTOR G-13/2 ISLAMABAD PK </t>
  </si>
  <si>
    <t>56038/00069/10/2021</t>
  </si>
  <si>
    <t>767409</t>
  </si>
  <si>
    <t>300663</t>
  </si>
  <si>
    <t>OLDISD300077002</t>
  </si>
  <si>
    <t>DIB0032278</t>
  </si>
  <si>
    <t>9976AD1210740006</t>
  </si>
  <si>
    <t>MOHAMMAD AKRAM</t>
  </si>
  <si>
    <t>33100-4305085-3</t>
  </si>
  <si>
    <t>0412434674</t>
  </si>
  <si>
    <t>03008478498, 03008478498</t>
  </si>
  <si>
    <t>03008478498</t>
  </si>
  <si>
    <t xml:space="preserve">P-73 MAIN BAZAR KAREEM TOWN FSD FAISALABAD PK </t>
  </si>
  <si>
    <t>DIB/T/BT/33972/LHR/1021</t>
  </si>
  <si>
    <t>A894011</t>
  </si>
  <si>
    <t>0444260</t>
  </si>
  <si>
    <t>15-MAR-2021</t>
  </si>
  <si>
    <t>OLAFSD300066709</t>
  </si>
  <si>
    <t>5540/10/2021/ITFM</t>
  </si>
  <si>
    <t>9976AP1223000082</t>
  </si>
  <si>
    <t>MUHAMMAD BILAL RAFIQ</t>
  </si>
  <si>
    <t>42101-9781422-9</t>
  </si>
  <si>
    <t>03120510351</t>
  </si>
  <si>
    <t xml:space="preserve">HOUSE NO A/112 SECTOR T-4 GULSHAN-E-MAYMAR NEAR FOOTBAL GROUND KARACHI </t>
  </si>
  <si>
    <t>64081/00061/10/2022</t>
  </si>
  <si>
    <t>13048138</t>
  </si>
  <si>
    <t>10048138</t>
  </si>
  <si>
    <t>BRF-793</t>
  </si>
  <si>
    <t>SUZUKI SWIFT A/T NAVIGATION</t>
  </si>
  <si>
    <t>OLUKHI300090446</t>
  </si>
  <si>
    <t>9173/10/2022/ITFM</t>
  </si>
  <si>
    <t>9976AD1212150148</t>
  </si>
  <si>
    <t>SOFIA KHAN</t>
  </si>
  <si>
    <t>37405-3345945-6</t>
  </si>
  <si>
    <t>03356666852</t>
  </si>
  <si>
    <t>0519258691</t>
  </si>
  <si>
    <t xml:space="preserve">H # 316 BILAL HABSHI ROAD BAHRIA TO WN PHASE 8 NEAR UMER MASJID RAWALPINDI PK </t>
  </si>
  <si>
    <t>2021/10/CLFTTPCDP01172</t>
  </si>
  <si>
    <t>189948</t>
  </si>
  <si>
    <t>1089936</t>
  </si>
  <si>
    <t>03-AUG-2021</t>
  </si>
  <si>
    <t>OLARWP300069395</t>
  </si>
  <si>
    <t>DIB0032285</t>
  </si>
  <si>
    <t>9976AD1212120127</t>
  </si>
  <si>
    <t>RASHID BHUTTA</t>
  </si>
  <si>
    <t>36302-7495177-3</t>
  </si>
  <si>
    <t>03027402626</t>
  </si>
  <si>
    <t xml:space="preserve">H NO 471-3, STREET NO 2, MOHALLAH WALAYTABAD NO 2, MULTAN </t>
  </si>
  <si>
    <t>01-2110-PO-MTR-PCCM-D-001471</t>
  </si>
  <si>
    <t>189691</t>
  </si>
  <si>
    <t>1089686</t>
  </si>
  <si>
    <t>OLAMUX300071437</t>
  </si>
  <si>
    <t>5562/10/2021</t>
  </si>
  <si>
    <t>9976AP1233030022</t>
  </si>
  <si>
    <t>SAMEENA WASEEM</t>
  </si>
  <si>
    <t>33100-5665732-4</t>
  </si>
  <si>
    <t>03012807042</t>
  </si>
  <si>
    <t xml:space="preserve">HOUSE # P-40 STREET # 03 MEHAR BLOCK 2 MILLAT ROAD FSD 03012807042 </t>
  </si>
  <si>
    <t>76078/00014/10/2023</t>
  </si>
  <si>
    <t>26-OCT-2024</t>
  </si>
  <si>
    <t>6R228514</t>
  </si>
  <si>
    <t>H1128519</t>
  </si>
  <si>
    <t>AMD-638</t>
  </si>
  <si>
    <t>OLUFSD300097610</t>
  </si>
  <si>
    <t>10561/10/2023/ITFM</t>
  </si>
  <si>
    <t>9976AP1233030018</t>
  </si>
  <si>
    <t>MUHAMMAD AHMAD</t>
  </si>
  <si>
    <t>33102-3076949-3</t>
  </si>
  <si>
    <t>03217706469</t>
  </si>
  <si>
    <t>03217706469, 03217706469</t>
  </si>
  <si>
    <t>0418721012</t>
  </si>
  <si>
    <t xml:space="preserve">8/3 ST NO 15 GURUNANAK PURA FAISALABAD PK </t>
  </si>
  <si>
    <t>76078/00015/10/2023</t>
  </si>
  <si>
    <t>51001170</t>
  </si>
  <si>
    <t>R001588</t>
  </si>
  <si>
    <t>AFK-091</t>
  </si>
  <si>
    <t>OLUFSD300097612</t>
  </si>
  <si>
    <t>10559/10/2023/ITFM</t>
  </si>
  <si>
    <t>9976AD2211200006</t>
  </si>
  <si>
    <t>AMAN ABDULLAH</t>
  </si>
  <si>
    <t>42101-4199861-5</t>
  </si>
  <si>
    <t>03218238358</t>
  </si>
  <si>
    <t>03072568627</t>
  </si>
  <si>
    <t xml:space="preserve">PLOT # 30/2 GROUND FLOOR ZULFIQAR S TREET # 19 PH-08 DHA NEAR MOIN KHAN KARACHI PK </t>
  </si>
  <si>
    <t>56038/00063/10/2021</t>
  </si>
  <si>
    <t>1GD5078163</t>
  </si>
  <si>
    <t>1096809</t>
  </si>
  <si>
    <t>30-APR-2021</t>
  </si>
  <si>
    <t>OLAKHI300068344</t>
  </si>
  <si>
    <t>108588/10/2021</t>
  </si>
  <si>
    <t>9976AP1223010089</t>
  </si>
  <si>
    <t>MUHAMMAD SHARJEEL NAEEM</t>
  </si>
  <si>
    <t>35202-4690635-1</t>
  </si>
  <si>
    <t>03264146551</t>
  </si>
  <si>
    <t xml:space="preserve">H NO 1 ST NO 14 SHAH KAMAL STREET S HAHDARA TOWN LAHORE PK </t>
  </si>
  <si>
    <t>64081/00060/10/2022</t>
  </si>
  <si>
    <t>504681</t>
  </si>
  <si>
    <t>1001306</t>
  </si>
  <si>
    <t>AKR-374</t>
  </si>
  <si>
    <t>OLULHR300090475</t>
  </si>
  <si>
    <t>9181/10/2022/ITFM</t>
  </si>
  <si>
    <t>9976AD2232540003</t>
  </si>
  <si>
    <t>MIRZA YASIR BAIG</t>
  </si>
  <si>
    <t>42201-7296029-7</t>
  </si>
  <si>
    <t>03009075458</t>
  </si>
  <si>
    <t>02134330021</t>
  </si>
  <si>
    <t xml:space="preserve">HORIZON CARRIERS 26/1,2 EOBI HOUSE (EX AWAMI MARKAZ) SHAHRA-E-FAISAL KHI </t>
  </si>
  <si>
    <t>76078/00016/10/2023</t>
  </si>
  <si>
    <t>286326</t>
  </si>
  <si>
    <t>1186317</t>
  </si>
  <si>
    <t>2935000</t>
  </si>
  <si>
    <t>OLAKHI300096763</t>
  </si>
  <si>
    <t>DIB0035403</t>
  </si>
  <si>
    <t>9976AD1211440008</t>
  </si>
  <si>
    <t>TOYOTA CITY MOTORS</t>
  </si>
  <si>
    <t>SAJID MUSHTAQ</t>
  </si>
  <si>
    <t>36302-8824747-9</t>
  </si>
  <si>
    <t>03008653265</t>
  </si>
  <si>
    <t xml:space="preserve">KHAWAR SHAHZAD PRINTING PRESS ,OP KAMRAN SUPERSTORE NEAR SULTAN GHEE MILLS VEHARI ROAD MULTAN 0300-8653265 </t>
  </si>
  <si>
    <t>DIB/T/BT/34222/LHR/1021</t>
  </si>
  <si>
    <t>Q082116</t>
  </si>
  <si>
    <t>ZRE171R-6059579</t>
  </si>
  <si>
    <t>24-MAY-2021</t>
  </si>
  <si>
    <t>OLAMUX300068864</t>
  </si>
  <si>
    <t>5555/10/2021/ITFM</t>
  </si>
  <si>
    <t>9976AD1232610001</t>
  </si>
  <si>
    <t>KHALID KHAN</t>
  </si>
  <si>
    <t>54400-9130397-5</t>
  </si>
  <si>
    <t>03128137074</t>
  </si>
  <si>
    <t xml:space="preserve">H NO.31/4, SHEET NO.24, MODEL COLONY KHI 03128137074 </t>
  </si>
  <si>
    <t>76078/00013/10/2023</t>
  </si>
  <si>
    <t>25-OCT-2024</t>
  </si>
  <si>
    <t>6R285716</t>
  </si>
  <si>
    <t>1186581</t>
  </si>
  <si>
    <t>OLAKHI300097103</t>
  </si>
  <si>
    <t>DIB0035397</t>
  </si>
  <si>
    <t>26-OCT-2023</t>
  </si>
  <si>
    <t>9976AD2232700001</t>
  </si>
  <si>
    <t>IZZA NAVEED</t>
  </si>
  <si>
    <t>35202-2130899-2</t>
  </si>
  <si>
    <t>03324497017</t>
  </si>
  <si>
    <t xml:space="preserve">AYESHA SIDDIQUA APARTMENT NO 9 WAHD AT ROAD MUSLIM TOWN LAHORE PK </t>
  </si>
  <si>
    <t>76078/00012/10/2023</t>
  </si>
  <si>
    <t>286438</t>
  </si>
  <si>
    <t>1186389</t>
  </si>
  <si>
    <t>OLALHR300097265</t>
  </si>
  <si>
    <t>DIB0035404</t>
  </si>
  <si>
    <t>9976AP1223040014</t>
  </si>
  <si>
    <t>SUZUKI BAHAWALPUR MOTORS</t>
  </si>
  <si>
    <t>SYED HAMMAD RAZA BUKHARI</t>
  </si>
  <si>
    <t>31202-8621217-1</t>
  </si>
  <si>
    <t>00966501275416</t>
  </si>
  <si>
    <t xml:space="preserve">H 9463 ATUD DISTRICT KHAMIS MUSHAIT ASIR 62431 SAUDI ARABIA </t>
  </si>
  <si>
    <t>64081/00067/10/2022</t>
  </si>
  <si>
    <t>241603</t>
  </si>
  <si>
    <t>10141607</t>
  </si>
  <si>
    <t>SUZUKI WAGONR R VXL AGS</t>
  </si>
  <si>
    <t>OLDBHP300090474</t>
  </si>
  <si>
    <t>9192/10/2022/ITFM</t>
  </si>
  <si>
    <t>9976AP2223010045</t>
  </si>
  <si>
    <t>KULSOOM AZAM</t>
  </si>
  <si>
    <t>42301-9671326-0</t>
  </si>
  <si>
    <t>03012794224</t>
  </si>
  <si>
    <t xml:space="preserve">SARDAR HOUSE 3-B EAST STREET DEFENCE PHASE 1 ADJACENT TO DHA REGISTRAR OFFICE KARACHI </t>
  </si>
  <si>
    <t>64081/00066/10/2022</t>
  </si>
  <si>
    <t>6R250104</t>
  </si>
  <si>
    <t>1150117</t>
  </si>
  <si>
    <t>BXS-060</t>
  </si>
  <si>
    <t>OLUKHI300090529</t>
  </si>
  <si>
    <t>9189/10/2022/ITFM</t>
  </si>
  <si>
    <t>9976AP1223010094</t>
  </si>
  <si>
    <t>MUHAMMAD ZEESHAN</t>
  </si>
  <si>
    <t>42201-0386667-7</t>
  </si>
  <si>
    <t>03028424250</t>
  </si>
  <si>
    <t xml:space="preserve">901 SAIMA BURJ AL BARAKA KHALEEQ UZ ZAMAN ROAD CLIFTON BLOCK 8 JUNAIDI KARACHI PK </t>
  </si>
  <si>
    <t>64081/00065/10/2022</t>
  </si>
  <si>
    <t>7912009</t>
  </si>
  <si>
    <t>R001982</t>
  </si>
  <si>
    <t>BXN-754</t>
  </si>
  <si>
    <t>OLUKHI300090526</t>
  </si>
  <si>
    <t>9200/10/2022/ITFM</t>
  </si>
  <si>
    <t>9976AD1212250014</t>
  </si>
  <si>
    <t>MUHAMMAD IFRAZ</t>
  </si>
  <si>
    <t>61101-4442285-1</t>
  </si>
  <si>
    <t>03345547473</t>
  </si>
  <si>
    <t>0518744811</t>
  </si>
  <si>
    <t xml:space="preserve">FLAT # 6 PLOT #86KASHIF ARCADE PHAS E 2 PAKISTAN TOWN NEAR AL-NOOR CHEM ISLAMABAD PK </t>
  </si>
  <si>
    <t>DIB/T/34226/ISB/1021</t>
  </si>
  <si>
    <t>187449</t>
  </si>
  <si>
    <t>10087442</t>
  </si>
  <si>
    <t>OLAISD300071918</t>
  </si>
  <si>
    <t>TDIDIB0029748</t>
  </si>
  <si>
    <t>9976AD1212080039</t>
  </si>
  <si>
    <t>MUHAMMAD SALMAN AZIZ</t>
  </si>
  <si>
    <t>35201-1911262-5</t>
  </si>
  <si>
    <t>03219415969</t>
  </si>
  <si>
    <t xml:space="preserve">34 1ST BASEMENT PHASE II SOHAIL TOW ER NEW ANARKALI NEAR BANK AL HABIB LAHORE </t>
  </si>
  <si>
    <t>2021-10-205-V01501OP002543</t>
  </si>
  <si>
    <t>187375</t>
  </si>
  <si>
    <t>10087363</t>
  </si>
  <si>
    <t>OLALHR300071146</t>
  </si>
  <si>
    <t>DIB0032287</t>
  </si>
  <si>
    <t>9976AD2212120054</t>
  </si>
  <si>
    <t>HAMZA RAFIQUE</t>
  </si>
  <si>
    <t>34101-2470139-1</t>
  </si>
  <si>
    <t>2353839</t>
  </si>
  <si>
    <t>0336-5000348</t>
  </si>
  <si>
    <t>2096014 EXT 1513</t>
  </si>
  <si>
    <t xml:space="preserve">H NO 258 STREET NO 70 G-10/3 ISLAMABAD </t>
  </si>
  <si>
    <t>01-2110-PO-MTR-PCCM-D-001467</t>
  </si>
  <si>
    <t>189834</t>
  </si>
  <si>
    <t>1089811</t>
  </si>
  <si>
    <t>OLAISD300071507</t>
  </si>
  <si>
    <t>5557/10/2021</t>
  </si>
  <si>
    <t>9976AD1212500004</t>
  </si>
  <si>
    <t>MUHAMMAD TAHA</t>
  </si>
  <si>
    <t>35201-4221244-3</t>
  </si>
  <si>
    <t>03231075323</t>
  </si>
  <si>
    <t xml:space="preserve">HOUSE NO 127 STREET NO 4 MADINA COL ONY DARAS ROAD SHALAMAR LINK ROAD M UGHALPURA LAHORE </t>
  </si>
  <si>
    <t>UWT/D/T002/0000001115/1021/109-0</t>
  </si>
  <si>
    <t>2A38797</t>
  </si>
  <si>
    <t>NSP150R-7024279</t>
  </si>
  <si>
    <t>07-SEP-2021</t>
  </si>
  <si>
    <t>OLALHR300073171</t>
  </si>
  <si>
    <t>DIB0032247</t>
  </si>
  <si>
    <t>9976AD2211980014</t>
  </si>
  <si>
    <t>MUHAMMAD SIDDIQUI</t>
  </si>
  <si>
    <t>32403-0234679-1</t>
  </si>
  <si>
    <t>03017583654</t>
  </si>
  <si>
    <t xml:space="preserve">MATIARI SUGAR MILLS COLONY OFFICER HOSTEL ROOM # 7 MATIARI PK </t>
  </si>
  <si>
    <t>DIB/T/BT/34219/HYD/1021</t>
  </si>
  <si>
    <t>188688</t>
  </si>
  <si>
    <t>1088733</t>
  </si>
  <si>
    <t>OLAHYD300070723</t>
  </si>
  <si>
    <t>5547/10/2021</t>
  </si>
  <si>
    <t>23-OCT-2021</t>
  </si>
  <si>
    <t>9976AD1211800012</t>
  </si>
  <si>
    <t>HAKIM ALI MAHAR</t>
  </si>
  <si>
    <t>45504-4855967-3</t>
  </si>
  <si>
    <t>03002517480</t>
  </si>
  <si>
    <t xml:space="preserve">NEAR GHOURI MASJID STREET NO 04 PARO ADAM SHAH COLONEY MILITARY ROAD SUKKUR 0300-2517480 </t>
  </si>
  <si>
    <t>DIB/T/34227/HYD/1021</t>
  </si>
  <si>
    <t>188283</t>
  </si>
  <si>
    <t>108/8386</t>
  </si>
  <si>
    <t>OLASUK300069848</t>
  </si>
  <si>
    <t>TDIDIB0029730</t>
  </si>
  <si>
    <t>997APD2203020054</t>
  </si>
  <si>
    <t>Closed</t>
  </si>
  <si>
    <t>SHERAZ AHMED</t>
  </si>
  <si>
    <t>42000-5003107-5</t>
  </si>
  <si>
    <t>0345-8309626</t>
  </si>
  <si>
    <t xml:space="preserve">FLAT#A-35 2ND FLOOR EVACUE SOCIETY GULSHAN E IQBAL BLOCK A-10 RASHID MINHAS ROAD KARACHI </t>
  </si>
  <si>
    <t>52921/00122/10/2020</t>
  </si>
  <si>
    <t>9302212</t>
  </si>
  <si>
    <t>401691</t>
  </si>
  <si>
    <t>CY-5356</t>
  </si>
  <si>
    <t>POUKHI300059221</t>
  </si>
  <si>
    <t>DIB0028958</t>
  </si>
  <si>
    <t>997APD2202960016</t>
  </si>
  <si>
    <t>JAWWAD AHMAD</t>
  </si>
  <si>
    <t>35202-2471233-9</t>
  </si>
  <si>
    <t>03008436394</t>
  </si>
  <si>
    <t>35987000</t>
  </si>
  <si>
    <t xml:space="preserve">61 C MAIN BOULEVARD GULBERG III LAHORE </t>
  </si>
  <si>
    <t>52921/00092/10/2020</t>
  </si>
  <si>
    <t>Q033457</t>
  </si>
  <si>
    <t>ZRE171R-6010925</t>
  </si>
  <si>
    <t>LE-16-A-5534</t>
  </si>
  <si>
    <t>POULHR300059022</t>
  </si>
  <si>
    <t>3351/10/2020/ITFM</t>
  </si>
  <si>
    <t>9976AD1221650011</t>
  </si>
  <si>
    <t>RASHID MASOOD</t>
  </si>
  <si>
    <t>42401-0115108-3</t>
  </si>
  <si>
    <t>32890039</t>
  </si>
  <si>
    <t>03332279932, 03083772828</t>
  </si>
  <si>
    <t>03332279932</t>
  </si>
  <si>
    <t xml:space="preserve">H # 7 SECTOR 4-A SAEEDABAD NEAR FAROOQ-E-AZAM MASJID NEAR BONITA BEAUTI PARLOR KARACHI PAKISTAN </t>
  </si>
  <si>
    <t>64081/00062/10/2022</t>
  </si>
  <si>
    <t>242115</t>
  </si>
  <si>
    <t>10142115</t>
  </si>
  <si>
    <t>SUZUKI WAGNOR VXL AGS</t>
  </si>
  <si>
    <t>14-JUN-2022</t>
  </si>
  <si>
    <t>27-NOV-2022</t>
  </si>
  <si>
    <t>27-Nov-2024</t>
  </si>
  <si>
    <t>OLAKHI300088028</t>
  </si>
  <si>
    <t>9163/10/2022/ITFM</t>
  </si>
  <si>
    <t>9976AD1211230086</t>
  </si>
  <si>
    <t>RANA RIZWAN AHMAD</t>
  </si>
  <si>
    <t>35201-5124611-3</t>
  </si>
  <si>
    <t>03226941025</t>
  </si>
  <si>
    <t>04237663204</t>
  </si>
  <si>
    <t xml:space="preserve">SHOP NO 07-A MADINA MARKET SHAH ALA M MARKET LAHORE </t>
  </si>
  <si>
    <t>2021/10/CLFTTPCDP01150</t>
  </si>
  <si>
    <t>1GS5063015</t>
  </si>
  <si>
    <t>8723</t>
  </si>
  <si>
    <t>HLIUX REVO V DC A/T 4X4</t>
  </si>
  <si>
    <t>03-MAY-2021</t>
  </si>
  <si>
    <t>OLALHR300068645</t>
  </si>
  <si>
    <t>DIB0032243</t>
  </si>
  <si>
    <t>997APD1182600002</t>
  </si>
  <si>
    <t>AZEEM AMJAD</t>
  </si>
  <si>
    <t>34101-7096736-5</t>
  </si>
  <si>
    <t>03074441107</t>
  </si>
  <si>
    <t>030744411107</t>
  </si>
  <si>
    <t xml:space="preserve">ST# 10 MOH NATIONAL TOWN SIALKOT RO AD MUGHAL CHOWK GUJRANWALA PK </t>
  </si>
  <si>
    <t>2018/09/CLFTTPCDP01654</t>
  </si>
  <si>
    <t>09-SEP-2019</t>
  </si>
  <si>
    <t>743765</t>
  </si>
  <si>
    <t>1282892</t>
  </si>
  <si>
    <t>LEB-18A-8775</t>
  </si>
  <si>
    <t>17-SEP-2018</t>
  </si>
  <si>
    <t>POAGWL300037973</t>
  </si>
  <si>
    <t>DIB0025772</t>
  </si>
  <si>
    <t>14-SEP-2018</t>
  </si>
  <si>
    <t>997APD1203050129</t>
  </si>
  <si>
    <t>ZAHID MEHMOOD</t>
  </si>
  <si>
    <t>34101-1899214-7</t>
  </si>
  <si>
    <t>03008615820</t>
  </si>
  <si>
    <t xml:space="preserve">GALA ASLAM NIMKO WALA MAIN ROAD NEW ABADI NOWSHEHRA GUJRANWALA </t>
  </si>
  <si>
    <t>01-2010-PO-MTR-PCCM-D-001965</t>
  </si>
  <si>
    <t>207790</t>
  </si>
  <si>
    <t>10107788</t>
  </si>
  <si>
    <t>PODGWL300059797</t>
  </si>
  <si>
    <t>3424/10/2020/ITFM</t>
  </si>
  <si>
    <t>997AAD1202120036</t>
  </si>
  <si>
    <t>KIA MOTORS TOWNSHIP</t>
  </si>
  <si>
    <t>ANJUM PERVAIZ</t>
  </si>
  <si>
    <t>34603-2339147-3</t>
  </si>
  <si>
    <t>03217446366</t>
  </si>
  <si>
    <t xml:space="preserve">OFF NO 301-3RD FLOOR THE ENTERPRISE BUILDING MULTAN ROAD LAHORE </t>
  </si>
  <si>
    <t>52921/00131/10/2020</t>
  </si>
  <si>
    <t>G4NALH326945</t>
  </si>
  <si>
    <t>NNAQL51AZKP506071</t>
  </si>
  <si>
    <t>SPORATGE AWD</t>
  </si>
  <si>
    <t>POALHR300056177</t>
  </si>
  <si>
    <t>997APD1203010050</t>
  </si>
  <si>
    <t>ABDUL WAJID KHILJI</t>
  </si>
  <si>
    <t>35202-2338858-1</t>
  </si>
  <si>
    <t>03099113711</t>
  </si>
  <si>
    <t xml:space="preserve">39 ITIFAQ PAINT MANSOORA MULTAN ROA D LAHORE </t>
  </si>
  <si>
    <t>52921/00108/10/2020</t>
  </si>
  <si>
    <t>1KR1503445</t>
  </si>
  <si>
    <t>KGC300197325</t>
  </si>
  <si>
    <t>LE-17A-9574</t>
  </si>
  <si>
    <t>POULHR300059096</t>
  </si>
  <si>
    <t>DIB0028939</t>
  </si>
  <si>
    <t>997AAD1202530013</t>
  </si>
  <si>
    <t>MUHAMMAD HAMEED</t>
  </si>
  <si>
    <t>35202-2526081-3</t>
  </si>
  <si>
    <t>35187750</t>
  </si>
  <si>
    <t>03219478056</t>
  </si>
  <si>
    <t>37632400 37632500</t>
  </si>
  <si>
    <t xml:space="preserve">HOUSE NO 167-D-1 NESPAK HOUSING SOCIETY COLLEGE ROAD LAHORE </t>
  </si>
  <si>
    <t>52921/00095/10/2020</t>
  </si>
  <si>
    <t>G4NALH326560</t>
  </si>
  <si>
    <t>NNAQL51AZKP303669</t>
  </si>
  <si>
    <t>09-SEP-2020</t>
  </si>
  <si>
    <t>POALHR300057163</t>
  </si>
  <si>
    <t>997AAD1202090001</t>
  </si>
  <si>
    <t>FARAH SOHAIL</t>
  </si>
  <si>
    <t>35302-9084187-6</t>
  </si>
  <si>
    <t>0442511713</t>
  </si>
  <si>
    <t>03216957713</t>
  </si>
  <si>
    <t xml:space="preserve">HOUSE NO B II 4S 52 STREET NO 4 MOHALLAH C BLOCK OKARA </t>
  </si>
  <si>
    <t>DIB/T/BT/29050/LHR/1020</t>
  </si>
  <si>
    <t>Q345470</t>
  </si>
  <si>
    <t>7044638</t>
  </si>
  <si>
    <t>27-JUL-2020</t>
  </si>
  <si>
    <t>POAOKR300055801</t>
  </si>
  <si>
    <t>3347/10/2020/ITFM</t>
  </si>
  <si>
    <t>997APD2202950008</t>
  </si>
  <si>
    <t>MUHAMMAD SAJJAD</t>
  </si>
  <si>
    <t>42401-1994186-7</t>
  </si>
  <si>
    <t>03132675799</t>
  </si>
  <si>
    <t>02135121220</t>
  </si>
  <si>
    <t xml:space="preserve">PLOT # 5/2 SEC 15 KORANGI INDUSTRIA L AREA KARACHI </t>
  </si>
  <si>
    <t>52921/00074/10/2020</t>
  </si>
  <si>
    <t>U500860</t>
  </si>
  <si>
    <t>L1002697</t>
  </si>
  <si>
    <t>KARAVAAN PLUS</t>
  </si>
  <si>
    <t>PODKHI300058782</t>
  </si>
  <si>
    <t>3305/10/2020/ITFM</t>
  </si>
  <si>
    <t>997APD1202940001</t>
  </si>
  <si>
    <t>MUHAMMAD ASHRAF</t>
  </si>
  <si>
    <t>44101-7685210-5</t>
  </si>
  <si>
    <t>03023263208</t>
  </si>
  <si>
    <t>03023263208, 03322693563</t>
  </si>
  <si>
    <t>0222789229</t>
  </si>
  <si>
    <t xml:space="preserve">HOUSE # 44/2 ABDULLAH HAVEN NASEEM NAGAR QASIMABAD NEAR ABDULLAH SPORT HYDERABAD PK </t>
  </si>
  <si>
    <t>01-2010-PO-MTR-PCCM-D-001912</t>
  </si>
  <si>
    <t>Z504038</t>
  </si>
  <si>
    <t>4130481</t>
  </si>
  <si>
    <t>BMV-934</t>
  </si>
  <si>
    <t>POUHYD300058601</t>
  </si>
  <si>
    <t>3304/10/2020/ITMM</t>
  </si>
  <si>
    <t>997AAD2202040004</t>
  </si>
  <si>
    <t>ZAMEER SIDDIQUE QURESHI</t>
  </si>
  <si>
    <t>42301-6462847-9</t>
  </si>
  <si>
    <t>03008221646</t>
  </si>
  <si>
    <t xml:space="preserve">3RD FLOOR,E-23 2ND COMM.LANE ZAMZAMA,PHASE,V DHA KARACHI </t>
  </si>
  <si>
    <t>DIB/T/BT/28942/KHI/1020</t>
  </si>
  <si>
    <t>1GD0840309</t>
  </si>
  <si>
    <t>GUN126R-5541061</t>
  </si>
  <si>
    <t>TOYOTA HILUX REVO DC A/T 4X4</t>
  </si>
  <si>
    <t>22-JUL-2020</t>
  </si>
  <si>
    <t>POAKHI300055421</t>
  </si>
  <si>
    <t>TDIDIB0028679</t>
  </si>
  <si>
    <t>997AAD2202750005</t>
  </si>
  <si>
    <t>SYED MUHAMMAD ALI</t>
  </si>
  <si>
    <t>42000-1239224-7</t>
  </si>
  <si>
    <t>03332304595</t>
  </si>
  <si>
    <t xml:space="preserve">82-M BLOCK-2 P.E.C.H.S KARACHI </t>
  </si>
  <si>
    <t>52921/00047/10/2020</t>
  </si>
  <si>
    <t>17540881</t>
  </si>
  <si>
    <t>263835</t>
  </si>
  <si>
    <t>POAKHI300058151</t>
  </si>
  <si>
    <t>3233/10/2020</t>
  </si>
  <si>
    <t>997AAD1202690017</t>
  </si>
  <si>
    <t>SHAHLA SAMREEN</t>
  </si>
  <si>
    <t>36103-7152065-4</t>
  </si>
  <si>
    <t>0303-4440772</t>
  </si>
  <si>
    <t>042-35880156</t>
  </si>
  <si>
    <t xml:space="preserve">HOUSE NO. 285 BLOCK F REHMANPURA, LINK WAHDAT ROAD LAHORE </t>
  </si>
  <si>
    <t>DIB/T/BT/28933/LHR/1020</t>
  </si>
  <si>
    <t>17541114</t>
  </si>
  <si>
    <t>LR264043</t>
  </si>
  <si>
    <t>CITY IVTEC P/T</t>
  </si>
  <si>
    <t>POALHR300057622</t>
  </si>
  <si>
    <t>TDIDIB0028674</t>
  </si>
  <si>
    <t>997AAD2202250001</t>
  </si>
  <si>
    <t>33100-6406686-3</t>
  </si>
  <si>
    <t>0300-6696873</t>
  </si>
  <si>
    <t>0300-6696873 0300-0999213</t>
  </si>
  <si>
    <t xml:space="preserve">ASIF KHALIS ATA CHAKI MADINA TOWN Y BLOCK 104 ROAD MUHALLAH BISHAN SINGH WALA ABBAS CHOWK FAISALABAD </t>
  </si>
  <si>
    <t>2524/02150/00012/10/2020</t>
  </si>
  <si>
    <t>PK10K162708</t>
  </si>
  <si>
    <t>NF1AVK31H10062737</t>
  </si>
  <si>
    <t>12-AUG-2020</t>
  </si>
  <si>
    <t>POAFSD300056477</t>
  </si>
  <si>
    <t>DIB0028850</t>
  </si>
  <si>
    <t>997AAD1202100010</t>
  </si>
  <si>
    <t>MUHAMMAD KHALID MASOOD</t>
  </si>
  <si>
    <t>33201-0977628-1</t>
  </si>
  <si>
    <t>03218591759</t>
  </si>
  <si>
    <t xml:space="preserve">NRSP COLONY PO KHAS CHAK NO 10 BC B AHAWALPUR BAHAWALPUR PK </t>
  </si>
  <si>
    <t>DIB/T/28898/LHR/1020</t>
  </si>
  <si>
    <t>F4NALH323524</t>
  </si>
  <si>
    <t>NNAQL51A2KP505323</t>
  </si>
  <si>
    <t>POABHP300055863</t>
  </si>
  <si>
    <t>997AAD1202730029</t>
  </si>
  <si>
    <t>SYED AHMED ALI</t>
  </si>
  <si>
    <t>42101-5818216-5</t>
  </si>
  <si>
    <t>03212424266</t>
  </si>
  <si>
    <t>32582448</t>
  </si>
  <si>
    <t xml:space="preserve">FLAT 805 FRERE TOWN QTRS BLOCK 2-3 CLIFTON CANT STATION KARACHI PK </t>
  </si>
  <si>
    <t>2524/02692/00043/10/2021</t>
  </si>
  <si>
    <t>G4NAMU088028</t>
  </si>
  <si>
    <t>PMHJ2813SMN202615</t>
  </si>
  <si>
    <t>POAKHI300057210</t>
  </si>
  <si>
    <t>DIB0032089</t>
  </si>
  <si>
    <t>9976AD1212630009</t>
  </si>
  <si>
    <t>HYUNDAI D GROUND MOTORS</t>
  </si>
  <si>
    <t>MUHAMMAD AFZAL</t>
  </si>
  <si>
    <t>33100-4795485-3</t>
  </si>
  <si>
    <t>03008625851</t>
  </si>
  <si>
    <t>03008625851, 03008625851</t>
  </si>
  <si>
    <t xml:space="preserve">P-321/25 MIAN STEET NEW KHALIDABAD BABAR FLOOR MILLS FAISALABAD </t>
  </si>
  <si>
    <t>2021-10-205-V01501OP0002443</t>
  </si>
  <si>
    <t>842402</t>
  </si>
  <si>
    <t>301805</t>
  </si>
  <si>
    <t>20-SEP-2021</t>
  </si>
  <si>
    <t>OLAFSD300073720</t>
  </si>
  <si>
    <t>DIB0032132</t>
  </si>
  <si>
    <t>9976AP2193040023</t>
  </si>
  <si>
    <t>AHMED NOMAN ANWER</t>
  </si>
  <si>
    <t>35202-2464107-9</t>
  </si>
  <si>
    <t>03218409606</t>
  </si>
  <si>
    <t xml:space="preserve">H NO 555 BLOCK 3 SECTOR C -1 NEAR AL-NOOR STORE TOWNSHIP LAHORE </t>
  </si>
  <si>
    <t>DIB/T/BT/25832/LHR/1019</t>
  </si>
  <si>
    <t>17535906</t>
  </si>
  <si>
    <t>KR256636</t>
  </si>
  <si>
    <t>LE-20-3925</t>
  </si>
  <si>
    <t>HONDA CITY M/T</t>
  </si>
  <si>
    <t>PODLHR300050375</t>
  </si>
  <si>
    <t>TDIDIB0027380</t>
  </si>
  <si>
    <t>9976AP2193040026</t>
  </si>
  <si>
    <t>SUZUKI BURJ MOTORS</t>
  </si>
  <si>
    <t>33100-7370107-7</t>
  </si>
  <si>
    <t>03216033567</t>
  </si>
  <si>
    <t>03216033567, 03216033567</t>
  </si>
  <si>
    <t>0412437544</t>
  </si>
  <si>
    <t xml:space="preserve">P-135 NAZIMABAD CITY COLONY REHMANI A ROAD FSD FAISALABAD PK </t>
  </si>
  <si>
    <t>51244/00092/10/2019</t>
  </si>
  <si>
    <t>150882</t>
  </si>
  <si>
    <t>10050849</t>
  </si>
  <si>
    <t>APU-176</t>
  </si>
  <si>
    <t>CULTUS VXL EURO II</t>
  </si>
  <si>
    <t>PODFSD300050487</t>
  </si>
  <si>
    <t>17143/10/2019</t>
  </si>
  <si>
    <t>9976AP2193040034</t>
  </si>
  <si>
    <t>AVINASH</t>
  </si>
  <si>
    <t>45101-3653631-5</t>
  </si>
  <si>
    <t>03333777877</t>
  </si>
  <si>
    <t>02135384765</t>
  </si>
  <si>
    <t xml:space="preserve">FLAT NO B-39, PEARL HEAVEN APPARTMENT, CLIFTON, BLOCK 5, KARACHI. </t>
  </si>
  <si>
    <t>119940</t>
  </si>
  <si>
    <t>1020112</t>
  </si>
  <si>
    <t>BRC-383</t>
  </si>
  <si>
    <t>ALTO VXL AGS EURO II</t>
  </si>
  <si>
    <t>PODKHI300050490</t>
  </si>
  <si>
    <t>DIB0027957</t>
  </si>
  <si>
    <t>9976AP2173040032</t>
  </si>
  <si>
    <t>HYUNDAI SAJJAD MOTORS</t>
  </si>
  <si>
    <t>WASEEM AKRAM</t>
  </si>
  <si>
    <t>35104-0340990-1</t>
  </si>
  <si>
    <t>03214117860</t>
  </si>
  <si>
    <t xml:space="preserve">138 RAVI BLOCK ALLAMA IQBAL TOWN LAHORE PK </t>
  </si>
  <si>
    <t>DIB/T/18499/LHR/1017</t>
  </si>
  <si>
    <t>142124</t>
  </si>
  <si>
    <t>10042265</t>
  </si>
  <si>
    <t>LEC-17A-138</t>
  </si>
  <si>
    <t>PODLHR300026948</t>
  </si>
  <si>
    <t>13678/10/2017</t>
  </si>
  <si>
    <t>9976AD2171510009</t>
  </si>
  <si>
    <t>MUHAMMAD IQBAL</t>
  </si>
  <si>
    <t>41304-9655841-9</t>
  </si>
  <si>
    <t>03013534766 03313518433</t>
  </si>
  <si>
    <t xml:space="preserve">HOUSE NO 11-C BLOCK C UNIT NO-6 NEAR AISHA MASJID LATIFABAD HYDERABAD </t>
  </si>
  <si>
    <t>DIB/T/18475/KHI/1017</t>
  </si>
  <si>
    <t>Z505497</t>
  </si>
  <si>
    <t>NZE170R-4131233</t>
  </si>
  <si>
    <t>BKU-053</t>
  </si>
  <si>
    <t>31-MAY-2017</t>
  </si>
  <si>
    <t>POAKHI300022505</t>
  </si>
  <si>
    <t>TDIDIB0021123</t>
  </si>
  <si>
    <t>9976AD2171090001</t>
  </si>
  <si>
    <t>NOSHEEN ZAIB</t>
  </si>
  <si>
    <t>42201-5090754-0</t>
  </si>
  <si>
    <t>03333054485</t>
  </si>
  <si>
    <t>02135144108</t>
  </si>
  <si>
    <t xml:space="preserve">PLOT NO CIB-17 SECTOR 16 KORANGI INDUSTRIAL AREA VITA CHORANGI KARACHI </t>
  </si>
  <si>
    <t>01-1710-PO-MTR-PCCM-D-002936</t>
  </si>
  <si>
    <t>K14BS139751</t>
  </si>
  <si>
    <t>MMSCVC41S00101292</t>
  </si>
  <si>
    <t>BKT-508</t>
  </si>
  <si>
    <t>CIAZ</t>
  </si>
  <si>
    <t>19-APR-2017</t>
  </si>
  <si>
    <t>POAKHI300021084</t>
  </si>
  <si>
    <t>DIB0022522</t>
  </si>
  <si>
    <t>9976AP1193030006</t>
  </si>
  <si>
    <t>33301-5773163-9</t>
  </si>
  <si>
    <t>03004221627</t>
  </si>
  <si>
    <t>03004221627, 03004221627</t>
  </si>
  <si>
    <t>041-2422627</t>
  </si>
  <si>
    <t xml:space="preserve">P-97 JHANG ROAD ABDUL HAQ COLONY FSD. FAISALABAD PK </t>
  </si>
  <si>
    <t>51244/00070/10/2019</t>
  </si>
  <si>
    <t>Z569602</t>
  </si>
  <si>
    <t>NZE170R-4195016</t>
  </si>
  <si>
    <t>LEA-19A-1649</t>
  </si>
  <si>
    <t>COROLLA GLI M/T</t>
  </si>
  <si>
    <t>PODFSD300050265</t>
  </si>
  <si>
    <t>1942/10/2019/ITFM</t>
  </si>
  <si>
    <t>9976AP1182990012</t>
  </si>
  <si>
    <t>ZAFAR MOTORS-LHR</t>
  </si>
  <si>
    <t>FAZAL ELAHI</t>
  </si>
  <si>
    <t>35202-3445010-9</t>
  </si>
  <si>
    <t>033410471248</t>
  </si>
  <si>
    <t>03341047248</t>
  </si>
  <si>
    <t>37355173</t>
  </si>
  <si>
    <t xml:space="preserve">OFF# 54 LAKE ROAD DOONI STREET CHAN OLD ANARKALI NEAR ROUND ABOUT JAN E MANDAR LAHORE </t>
  </si>
  <si>
    <t>49889/00053/10/2018</t>
  </si>
  <si>
    <t>172015</t>
  </si>
  <si>
    <t>10071984</t>
  </si>
  <si>
    <t>LEC-18A-8023</t>
  </si>
  <si>
    <t>26-OCT-2018</t>
  </si>
  <si>
    <t>PODLHR300039547</t>
  </si>
  <si>
    <t>DIB0026143</t>
  </si>
  <si>
    <t>9976AP1173030008</t>
  </si>
  <si>
    <t>ARSALAN RABBANI KHAN</t>
  </si>
  <si>
    <t>42101-4752585-3</t>
  </si>
  <si>
    <t>03212101005</t>
  </si>
  <si>
    <t>35839623</t>
  </si>
  <si>
    <t xml:space="preserve">C-77 BLOCK A NORTH NAZIMBAD NEAR OP P SBP GROUND KARACHI PK </t>
  </si>
  <si>
    <t>DIB/T/18435/KHI/1017</t>
  </si>
  <si>
    <t>143670</t>
  </si>
  <si>
    <t>10043579</t>
  </si>
  <si>
    <t>BKX-718</t>
  </si>
  <si>
    <t>PODKHI300026607</t>
  </si>
  <si>
    <t>13558/10/2017</t>
  </si>
  <si>
    <t>9976AD2192120006</t>
  </si>
  <si>
    <t>NAILA HAFEEZ</t>
  </si>
  <si>
    <t>35201-3276405-2</t>
  </si>
  <si>
    <t>03014189979</t>
  </si>
  <si>
    <t>04235724131, 03014189979</t>
  </si>
  <si>
    <t>04236560937</t>
  </si>
  <si>
    <t xml:space="preserve">H NO 449 SECTOR S PHASE 2 ST NO 28 DHA LAHORE </t>
  </si>
  <si>
    <t>51244/00057/10/2019</t>
  </si>
  <si>
    <t>Q062216</t>
  </si>
  <si>
    <t>ZRE171R-6039719</t>
  </si>
  <si>
    <t>LE-19A-5760</t>
  </si>
  <si>
    <t>31-JUL-2019</t>
  </si>
  <si>
    <t>POALHR300048072</t>
  </si>
  <si>
    <t>DIB0027920</t>
  </si>
  <si>
    <t>24-OCT-2019</t>
  </si>
  <si>
    <t>9976AD2172400003</t>
  </si>
  <si>
    <t>AHSAN MAHMOOD KHAN GHAURI</t>
  </si>
  <si>
    <t>35201-0243649-1</t>
  </si>
  <si>
    <t>03037771565</t>
  </si>
  <si>
    <t>35905704</t>
  </si>
  <si>
    <t xml:space="preserve">H# 215 H 3 BLOCK JOHAR TOWN LAHORE PK </t>
  </si>
  <si>
    <t>DIB/T/18420/LHR/1017</t>
  </si>
  <si>
    <t>13504600</t>
  </si>
  <si>
    <t>HR004609</t>
  </si>
  <si>
    <t>LEB-17A-3052</t>
  </si>
  <si>
    <t>BR-V IVTEC-S</t>
  </si>
  <si>
    <t>28-AUG-2017</t>
  </si>
  <si>
    <t>POALHR300025113</t>
  </si>
  <si>
    <t>13522/10/2017</t>
  </si>
  <si>
    <t>9976AD1171190009</t>
  </si>
  <si>
    <t>SAJJAD SULAIMAN MALIK</t>
  </si>
  <si>
    <t>35201-5529234-1</t>
  </si>
  <si>
    <t>03334217015</t>
  </si>
  <si>
    <t>04236367841</t>
  </si>
  <si>
    <t xml:space="preserve">HOUSE NO.11-A MOHALLAH ASAD JAN ROAD LAHORE CANTT </t>
  </si>
  <si>
    <t>DIB/T/18284/LHR/1017</t>
  </si>
  <si>
    <t>143249</t>
  </si>
  <si>
    <t>10043218</t>
  </si>
  <si>
    <t>LEB-17A-1109</t>
  </si>
  <si>
    <t>29-APR-2017</t>
  </si>
  <si>
    <t>POALHR300021598</t>
  </si>
  <si>
    <t>TDIDIB0021186</t>
  </si>
  <si>
    <t>20-OCT-2017</t>
  </si>
  <si>
    <t>9976AP1172930006</t>
  </si>
  <si>
    <t>RABIA SAQIB</t>
  </si>
  <si>
    <t>42201-9419454-8</t>
  </si>
  <si>
    <t>03333322188</t>
  </si>
  <si>
    <t xml:space="preserve">E-9/10 A-1 RIZWAN APP MENTS BLOCK 1 4 GULSHAN-E-IQBAL NEAR CIVIC CENTRE KARACHI PK </t>
  </si>
  <si>
    <t>DIB/T/18189/KHI/1017</t>
  </si>
  <si>
    <t>Z479524</t>
  </si>
  <si>
    <t>4105220</t>
  </si>
  <si>
    <t>BHT-444</t>
  </si>
  <si>
    <t>POUKHI300026399</t>
  </si>
  <si>
    <t>TDIDIB0021179</t>
  </si>
  <si>
    <t>9976AD1192730003</t>
  </si>
  <si>
    <t>SYED ALI AHSAN</t>
  </si>
  <si>
    <t>37405-6968319-9</t>
  </si>
  <si>
    <t>5766325</t>
  </si>
  <si>
    <t>03222009148</t>
  </si>
  <si>
    <t>5120776</t>
  </si>
  <si>
    <t xml:space="preserve">H NO 719 STREET NO 10 CHAKLALA SCHEME 3 RAWALPINDI </t>
  </si>
  <si>
    <t>DIB/T/BT/25521/ISB/1019</t>
  </si>
  <si>
    <t>030468</t>
  </si>
  <si>
    <t>500757</t>
  </si>
  <si>
    <t>ANS-747</t>
  </si>
  <si>
    <t>30-SEP-2019</t>
  </si>
  <si>
    <t>POARWP300049501</t>
  </si>
  <si>
    <t>9976AD1192120002</t>
  </si>
  <si>
    <t>MUHAMMAD JAVED MIRZA</t>
  </si>
  <si>
    <t>37405-3384468-3</t>
  </si>
  <si>
    <t>03215178453</t>
  </si>
  <si>
    <t>0514412492</t>
  </si>
  <si>
    <t xml:space="preserve">OFFICE NO 1 2ND FLOOR CENTER POINT PLAZA PHASE 7 BAHRIA TOWN RAWALPINDI </t>
  </si>
  <si>
    <t>51244/00034/10/2019</t>
  </si>
  <si>
    <t>112133</t>
  </si>
  <si>
    <t>1012080</t>
  </si>
  <si>
    <t>APT-289</t>
  </si>
  <si>
    <t>POARWP300048019</t>
  </si>
  <si>
    <t>1902/10/2019/ITFM</t>
  </si>
  <si>
    <t>9976AD1172100002</t>
  </si>
  <si>
    <t>FAIZAN FAISAL</t>
  </si>
  <si>
    <t>35200-7654710-3</t>
  </si>
  <si>
    <t>03334371680</t>
  </si>
  <si>
    <t>35941081</t>
  </si>
  <si>
    <t xml:space="preserve">H# 105 A FAISAL TOWN LAHORE PK </t>
  </si>
  <si>
    <t>DIB/T/18035/LHR/1017</t>
  </si>
  <si>
    <t>12922975</t>
  </si>
  <si>
    <t>HR026341</t>
  </si>
  <si>
    <t>LEB-17A-9500</t>
  </si>
  <si>
    <t>CIVIC IVTEC ORIEL P/T WITH NAV</t>
  </si>
  <si>
    <t>29-JUL-2017</t>
  </si>
  <si>
    <t>POALHR300024234</t>
  </si>
  <si>
    <t>13464/10/2017</t>
  </si>
  <si>
    <t>9976AP1192880005</t>
  </si>
  <si>
    <t>AMANAT ALI</t>
  </si>
  <si>
    <t>34101-0333984-3</t>
  </si>
  <si>
    <t>03017220074</t>
  </si>
  <si>
    <t xml:space="preserve">GULAB PURA DAK KHANA CANTT GUJRANWALA PK </t>
  </si>
  <si>
    <t>01-1910-PO-MTR-PCCM-D-002686</t>
  </si>
  <si>
    <t>PKT1001263</t>
  </si>
  <si>
    <t>SV308PK01117770</t>
  </si>
  <si>
    <t>LEA-19A-1046</t>
  </si>
  <si>
    <t>BOLAN VX EURO-II</t>
  </si>
  <si>
    <t>15-OCT-2019</t>
  </si>
  <si>
    <t>PODGWL300049772</t>
  </si>
  <si>
    <t>1886/10/2019/ITFM</t>
  </si>
  <si>
    <t>9976AD2172120011</t>
  </si>
  <si>
    <t>AZRA YASMEEN</t>
  </si>
  <si>
    <t>42301-2866781-6</t>
  </si>
  <si>
    <t>03462712365</t>
  </si>
  <si>
    <t xml:space="preserve">L-65 SHEERIN JINNAH COLONY CLIFTON NEAR CLIFTON MEDICAL CENTRE KARACHI PK </t>
  </si>
  <si>
    <t>DIB/T/17960/KHI/1017</t>
  </si>
  <si>
    <t>13037726</t>
  </si>
  <si>
    <t>10037687</t>
  </si>
  <si>
    <t>BKP-069</t>
  </si>
  <si>
    <t>SWIFT DLX ABS WITH EBD</t>
  </si>
  <si>
    <t>POAKHI300024188</t>
  </si>
  <si>
    <t>13379/10/2017</t>
  </si>
  <si>
    <t>9976AP1233050001</t>
  </si>
  <si>
    <t>MUHAMMAD UMAIR KHAN</t>
  </si>
  <si>
    <t>33100-6836729-5</t>
  </si>
  <si>
    <t>03216650501</t>
  </si>
  <si>
    <t>03216650501, 03216650501</t>
  </si>
  <si>
    <t xml:space="preserve">P-134 SAFRON BLOCK SAMUNDARI ROAD F OUR SEASON PHASE 1 COLONY FAISALABAD </t>
  </si>
  <si>
    <t>76078/00017/10/2023</t>
  </si>
  <si>
    <t>6R286282</t>
  </si>
  <si>
    <t>1186252</t>
  </si>
  <si>
    <t>OLDFSD300097682</t>
  </si>
  <si>
    <t>10581/10/2023/ITFM</t>
  </si>
  <si>
    <t>9976AD2212520010</t>
  </si>
  <si>
    <t>NOSHEEN HAIDER</t>
  </si>
  <si>
    <t>33100-0919528-6</t>
  </si>
  <si>
    <t xml:space="preserve">EDUCATIONAL SERVICES PVT LTD 10-11 GURUMANGAT ROAD INDUSTRIAL AREA GULBERG 3 LAHORE. </t>
  </si>
  <si>
    <t>2021-10-205-V01501DP0002539</t>
  </si>
  <si>
    <t>2A39172</t>
  </si>
  <si>
    <t>7024512</t>
  </si>
  <si>
    <t>09-SEP-2021</t>
  </si>
  <si>
    <t>OLAFSD300073274</t>
  </si>
  <si>
    <t>DIB0032270</t>
  </si>
  <si>
    <t>9976AP1213030061</t>
  </si>
  <si>
    <t>BILAL MUHAMMAD</t>
  </si>
  <si>
    <t>42201-9642820-7</t>
  </si>
  <si>
    <t>0300-8929280/021-34693099</t>
  </si>
  <si>
    <t>03212744484</t>
  </si>
  <si>
    <t>34833074 75</t>
  </si>
  <si>
    <t xml:space="preserve">HAIDERY PILGRIMS SHOP NO 3 PLOT SB 87 SALEEM HEIGHTS BLOCK 13/C GULSHAN E IQBAL KHI </t>
  </si>
  <si>
    <t>2524/02692/00133/10/2021</t>
  </si>
  <si>
    <t>6R190641</t>
  </si>
  <si>
    <t>NF1AET306H1090646</t>
  </si>
  <si>
    <t>OLDKHI300077881</t>
  </si>
  <si>
    <t>108591/10/2021</t>
  </si>
  <si>
    <t>9976AP2213030003</t>
  </si>
  <si>
    <t>DANISH MOTORS</t>
  </si>
  <si>
    <t>WAQAS AHMED USMANI</t>
  </si>
  <si>
    <t>42201-1219324-3</t>
  </si>
  <si>
    <t>03452083404</t>
  </si>
  <si>
    <t>03452083404, 03452083404</t>
  </si>
  <si>
    <t xml:space="preserve">PLOT # E-63 SECTOR 10 BAGH-E-KORANG I NEAR JAMA MASJID REHMAT UL ALAMEE KARACHI PK </t>
  </si>
  <si>
    <t>2524/02692/00113/10/2021</t>
  </si>
  <si>
    <t>127872</t>
  </si>
  <si>
    <t>1027921</t>
  </si>
  <si>
    <t>BRY-910</t>
  </si>
  <si>
    <t>OLUKHI300077598</t>
  </si>
  <si>
    <t>DIB0032320</t>
  </si>
  <si>
    <t>9976AD2221190009</t>
  </si>
  <si>
    <t>FARIHA SAHRISH</t>
  </si>
  <si>
    <t>35202-0522461-6</t>
  </si>
  <si>
    <t>03236578028</t>
  </si>
  <si>
    <t xml:space="preserve">HOUSE NO 4 STREET NO 38 AZIZ ROAD M ISRI SHAH NEAR AL AZIZ PHARMACY LAHORE PK </t>
  </si>
  <si>
    <t>64081/00069/10/2022</t>
  </si>
  <si>
    <t>6R252132</t>
  </si>
  <si>
    <t>1152143</t>
  </si>
  <si>
    <t>29-APR-2022</t>
  </si>
  <si>
    <t>OLALHR300086947</t>
  </si>
  <si>
    <t>9207/10/2022/ITFM</t>
  </si>
  <si>
    <t>9976AD1212120091</t>
  </si>
  <si>
    <t>ASAD MEHMOOD ABBASI</t>
  </si>
  <si>
    <t>37405-0647353-9</t>
  </si>
  <si>
    <t>03215181178</t>
  </si>
  <si>
    <t>0519292754</t>
  </si>
  <si>
    <t xml:space="preserve">H # 235 ST # 09 RAJA SHER KHAN STRE ET CHUNGI # 22 DHAMIAL ROAD OPP OFF RAWALPINDI PK </t>
  </si>
  <si>
    <t>01-2110-PO-MTR-PCCM-D-001469</t>
  </si>
  <si>
    <t>189969</t>
  </si>
  <si>
    <t>1089914</t>
  </si>
  <si>
    <t>OLAEWP300071428</t>
  </si>
  <si>
    <t>5563/10/2021</t>
  </si>
  <si>
    <t>9976AD2210690010</t>
  </si>
  <si>
    <t>MUHAMMAD RIZWAN</t>
  </si>
  <si>
    <t>13302-1255611-1</t>
  </si>
  <si>
    <t>03223333166</t>
  </si>
  <si>
    <t>02134573166</t>
  </si>
  <si>
    <t xml:space="preserve">GALAXY INN GUEST HOUSE H NO A-46 BLOCK C GULSHAN E JAMAL OPP SAIMA SQ MALL </t>
  </si>
  <si>
    <t>DIB/T/BT/34220/KHI/1021</t>
  </si>
  <si>
    <t>Q081395</t>
  </si>
  <si>
    <t>ZRE171R-6058870</t>
  </si>
  <si>
    <t>10-MAR-2021</t>
  </si>
  <si>
    <t>OLAKHI300066576</t>
  </si>
  <si>
    <t>108586/10/2021</t>
  </si>
  <si>
    <t>9976AP1223000073</t>
  </si>
  <si>
    <t>MUHAMMAD KHURSHID</t>
  </si>
  <si>
    <t>35202-7697513-3</t>
  </si>
  <si>
    <t>03219473935</t>
  </si>
  <si>
    <t xml:space="preserve">H# 325 A 2 BOR JOHAR TOWN LAHORE PK </t>
  </si>
  <si>
    <t>64081/00059/10/2022</t>
  </si>
  <si>
    <t>Q039920</t>
  </si>
  <si>
    <t>R-6017396</t>
  </si>
  <si>
    <t>LEA-17A-220</t>
  </si>
  <si>
    <t>OLULHR300090472</t>
  </si>
  <si>
    <t>9168/10/2022/ITFM</t>
  </si>
  <si>
    <t>9976AP2213020002</t>
  </si>
  <si>
    <t>HONDA EXPRESS PVT LTD</t>
  </si>
  <si>
    <t>ASIM ALI</t>
  </si>
  <si>
    <t>33104-0579871-3</t>
  </si>
  <si>
    <t>03219972912</t>
  </si>
  <si>
    <t>0512711447</t>
  </si>
  <si>
    <t xml:space="preserve">H # 20 ST # 4 CHAKLALA SCHEME 2 RAWALPINDI PK </t>
  </si>
  <si>
    <t>56038/00062/10/2021</t>
  </si>
  <si>
    <t>1002592</t>
  </si>
  <si>
    <t>MR003391</t>
  </si>
  <si>
    <t>OLDRWP300076563</t>
  </si>
  <si>
    <t>DIB0032253</t>
  </si>
  <si>
    <t>9976AD2212430041</t>
  </si>
  <si>
    <t>MUHAMMAD FAROOQ</t>
  </si>
  <si>
    <t>33102-6198041-7</t>
  </si>
  <si>
    <t>03006556565</t>
  </si>
  <si>
    <t xml:space="preserve">H NO 180 D GULIFSHAAN COLONY 03006556565 FAISALABAD </t>
  </si>
  <si>
    <t>DIB/T/BT/33973/LHR/1021</t>
  </si>
  <si>
    <t>ZA38879</t>
  </si>
  <si>
    <t>7024344</t>
  </si>
  <si>
    <t>OLAFSD300072840</t>
  </si>
  <si>
    <t>DIB0032192</t>
  </si>
  <si>
    <t>9976AD2212370001</t>
  </si>
  <si>
    <t>HASSAN RASHEED</t>
  </si>
  <si>
    <t>35202-6966280-1</t>
  </si>
  <si>
    <t>03334334681</t>
  </si>
  <si>
    <t xml:space="preserve">HOUSE NO 7 A CANAL VIEW HOUSING SOCIETY LAHORE </t>
  </si>
  <si>
    <t>2524/02692/000089/10/2021</t>
  </si>
  <si>
    <t>150526</t>
  </si>
  <si>
    <t>502573</t>
  </si>
  <si>
    <t>KIA PICANTO 1.0 L</t>
  </si>
  <si>
    <t>OLALHR300072354</t>
  </si>
  <si>
    <t>DIB0032240</t>
  </si>
  <si>
    <t>9976AP1232980003</t>
  </si>
  <si>
    <t>MANDVIWALA MOTORS</t>
  </si>
  <si>
    <t>SALEHA WAJAHAT</t>
  </si>
  <si>
    <t>42201-5538754-0</t>
  </si>
  <si>
    <t>03343303808</t>
  </si>
  <si>
    <t xml:space="preserve">D-06 STREET 3 PHASE 3 NHS DALMIA RO AD KARACHI PK </t>
  </si>
  <si>
    <t>76078/0008/10/2023</t>
  </si>
  <si>
    <t>1017053</t>
  </si>
  <si>
    <t>0117018</t>
  </si>
  <si>
    <t>SUZUKI SWIFT GLX</t>
  </si>
  <si>
    <t>OLDKHI300097557</t>
  </si>
  <si>
    <t>10546/10/2023</t>
  </si>
  <si>
    <t>9976AD2211810015</t>
  </si>
  <si>
    <t>IJAZ AHMED QURESHI</t>
  </si>
  <si>
    <t>35201-2588151-9</t>
  </si>
  <si>
    <t>03334237570</t>
  </si>
  <si>
    <t xml:space="preserve">HOUSE NO 233 Y BLOCK STREET 14 PHASE III DHA LAHORE </t>
  </si>
  <si>
    <t>2524/02692/00080/10/2021</t>
  </si>
  <si>
    <t>Q353284</t>
  </si>
  <si>
    <t>ZRE172R-7052456</t>
  </si>
  <si>
    <t>COROLLA GRANDE X</t>
  </si>
  <si>
    <t>OLALHR300070156</t>
  </si>
  <si>
    <t>DIB0032218</t>
  </si>
  <si>
    <t>9976AD1211200057</t>
  </si>
  <si>
    <t>PREMIER SYSTEMS (PVT) LTD</t>
  </si>
  <si>
    <t>MUDASSAR MAQBOOL</t>
  </si>
  <si>
    <t>33100-0989371-7</t>
  </si>
  <si>
    <t>03008662113</t>
  </si>
  <si>
    <t>041242408185</t>
  </si>
  <si>
    <t xml:space="preserve">MUBEEN MAQBOOL INDUSTRIES 3KM JARRANWALA ROAD FAISLABAD </t>
  </si>
  <si>
    <t>2021/10/CLFTTPCD01145</t>
  </si>
  <si>
    <t>DCB323989</t>
  </si>
  <si>
    <t>MD020951</t>
  </si>
  <si>
    <t>AUDI Q7 3.0 TFSI</t>
  </si>
  <si>
    <t>OLAFSD300068455</t>
  </si>
  <si>
    <t>9976AD1211200024</t>
  </si>
  <si>
    <t>42201-0743428-1</t>
  </si>
  <si>
    <t>03028223007</t>
  </si>
  <si>
    <t>35032590</t>
  </si>
  <si>
    <t xml:space="preserve">SULTAN OXYGEN PVT LTD PLOT NO 73 SECTOR 27 KORANGI INDUSTRIAL AREA KARACHI </t>
  </si>
  <si>
    <t>DIB/T/BT/34147/KHI/1021</t>
  </si>
  <si>
    <t>1GD5074902</t>
  </si>
  <si>
    <t>GUN156R-1096761</t>
  </si>
  <si>
    <t>FORTUNER 4*4 SPORTIVO</t>
  </si>
  <si>
    <t>OLAKHI300068380</t>
  </si>
  <si>
    <t>108589/10/2021</t>
  </si>
  <si>
    <t>9976AD2210570016</t>
  </si>
  <si>
    <t>MUHAMMAD ANWAR MUGHAL</t>
  </si>
  <si>
    <t>34601-9841981-3</t>
  </si>
  <si>
    <t>03214782040 04235693698</t>
  </si>
  <si>
    <t>04239902490</t>
  </si>
  <si>
    <t xml:space="preserve">SPARCO OFFICE SAMSANI ROAD CANAL RO AD LAHORE </t>
  </si>
  <si>
    <t>DIB/T/BT/34152/LHR/1021</t>
  </si>
  <si>
    <t>3G15TDM3UA3101350</t>
  </si>
  <si>
    <t>PL1NL2EVRMG028165</t>
  </si>
  <si>
    <t>PROTON X 70 PREMIUM 2WD</t>
  </si>
  <si>
    <t>26-FEB-2021</t>
  </si>
  <si>
    <t>OLALHR300066171</t>
  </si>
  <si>
    <t>5544/10/2021/ITFM</t>
  </si>
  <si>
    <t>9976AD2210580043</t>
  </si>
  <si>
    <t>SHAHABUDDIN</t>
  </si>
  <si>
    <t>42301-1049299-5</t>
  </si>
  <si>
    <t>03219229566</t>
  </si>
  <si>
    <t>32416279</t>
  </si>
  <si>
    <t xml:space="preserve">HOUSE NO 115 KHY E GHAZI PHASE 6 DHA KARACHI </t>
  </si>
  <si>
    <t>DIB/T/BT/34130/KHI/1021</t>
  </si>
  <si>
    <t>2UA3100868</t>
  </si>
  <si>
    <t>2EVRMG028219</t>
  </si>
  <si>
    <t>OLAKHI300066052</t>
  </si>
  <si>
    <t>TDIDIB0029729</t>
  </si>
  <si>
    <t>9976AP1222970054</t>
  </si>
  <si>
    <t>SHEHZAD ANJUM</t>
  </si>
  <si>
    <t>42101-8385994-9</t>
  </si>
  <si>
    <t>03008282037</t>
  </si>
  <si>
    <t>32580151</t>
  </si>
  <si>
    <t xml:space="preserve">GHULAM RASOOL ENGINEERING E 80 E 81 E82 ADNAN CENTER D/11 A AGS BATTERY SITE KHI </t>
  </si>
  <si>
    <t>64081/00048/10/2022</t>
  </si>
  <si>
    <t>888965</t>
  </si>
  <si>
    <t>9611427</t>
  </si>
  <si>
    <t>KY-0922</t>
  </si>
  <si>
    <t>TOYOTA VIGO</t>
  </si>
  <si>
    <t>OLUKHI300090427</t>
  </si>
  <si>
    <t>9122/10/2022/ITFM</t>
  </si>
  <si>
    <t>9976AD2210580020</t>
  </si>
  <si>
    <t>ABDUL HAIE</t>
  </si>
  <si>
    <t>42501-1602929-7</t>
  </si>
  <si>
    <t>021-34496725</t>
  </si>
  <si>
    <t>0300-8205329</t>
  </si>
  <si>
    <t>021-34594533</t>
  </si>
  <si>
    <t xml:space="preserve">H NO IH-25 STREET NO 04 AFOHS NEW FALCON COMPLEX CHOHTA MALIR CNATT CP 5 KARACHI </t>
  </si>
  <si>
    <t>DIB/T/BT/34035/KHI/1021</t>
  </si>
  <si>
    <t>2TRA896067</t>
  </si>
  <si>
    <t>0443989</t>
  </si>
  <si>
    <t>OLAKHI300066347</t>
  </si>
  <si>
    <t>TDIDIB0029711</t>
  </si>
  <si>
    <t>9976AD1212640024</t>
  </si>
  <si>
    <t>SAIRA BANO</t>
  </si>
  <si>
    <t>42000-0496051-4</t>
  </si>
  <si>
    <t>02134152916, 0331-2443763</t>
  </si>
  <si>
    <t>03312443763 03353025474</t>
  </si>
  <si>
    <t>34174271</t>
  </si>
  <si>
    <t xml:space="preserve">PLOT # FL-18/3 GROUND FLOOR MEZZAIN INE FLOOR GULSHAN-E-IQBAL BLOCK 3 K DA MARKET NEAR GPO GULSHAN KARACHI </t>
  </si>
  <si>
    <t>2021/10/CLFTTPCDP01146</t>
  </si>
  <si>
    <t>1GD5062344</t>
  </si>
  <si>
    <t>GUN126R-5548739</t>
  </si>
  <si>
    <t>TOYOTA HILUX REVO V DC A/T 4*4</t>
  </si>
  <si>
    <t>OLAKHI300073792</t>
  </si>
  <si>
    <t>DIB0032155</t>
  </si>
  <si>
    <t>9976AP1212990006</t>
  </si>
  <si>
    <t>NADEEM AKRAM</t>
  </si>
  <si>
    <t>33100-3017612-5</t>
  </si>
  <si>
    <t>03235850000</t>
  </si>
  <si>
    <t>03235850000, 03009661042</t>
  </si>
  <si>
    <t xml:space="preserve">H NO P-5 ALI BLOCK SITARA GOLD CITY SATYANA ROAD FAISALABAD PK </t>
  </si>
  <si>
    <t>56038/00055/10/2021</t>
  </si>
  <si>
    <t>L13Z17528136</t>
  </si>
  <si>
    <t>NFBGM1647KR246040</t>
  </si>
  <si>
    <t>ALJ-061</t>
  </si>
  <si>
    <t>HONDA CITY I-VTEC P/T</t>
  </si>
  <si>
    <t>OLUFSD300075992</t>
  </si>
  <si>
    <t>DIB0032224</t>
  </si>
  <si>
    <t>9976AP2232970009</t>
  </si>
  <si>
    <t>HAFIZ ASHRAF ALI</t>
  </si>
  <si>
    <t>21702-9776700-5</t>
  </si>
  <si>
    <t>0097439931586</t>
  </si>
  <si>
    <t xml:space="preserve">AREA ABUHAMOUR ZONE 56? ST 492? BUILDING 4 DOHA 1930 QATAR </t>
  </si>
  <si>
    <t>76078/0006/10/2023</t>
  </si>
  <si>
    <t>19-OCT-2024</t>
  </si>
  <si>
    <t>285494</t>
  </si>
  <si>
    <t>1185580</t>
  </si>
  <si>
    <t>OLDISD300097534</t>
  </si>
  <si>
    <t>DIB0035389</t>
  </si>
  <si>
    <t>9976AD1211230088</t>
  </si>
  <si>
    <t>SHER ZAMAN KHAN</t>
  </si>
  <si>
    <t>35201-1316887-3</t>
  </si>
  <si>
    <t>03400127073</t>
  </si>
  <si>
    <t xml:space="preserve">NEW BHOGIWAL CHOWK GUJJAR PURA CHIN A SCHEME LAHORE </t>
  </si>
  <si>
    <t>2021-10-205-V01501OP0002461</t>
  </si>
  <si>
    <t>Q081602</t>
  </si>
  <si>
    <t>6059085</t>
  </si>
  <si>
    <t>OLALHR300068635</t>
  </si>
  <si>
    <t>DIB0032181</t>
  </si>
  <si>
    <t>9976AD1211090002</t>
  </si>
  <si>
    <t>MUHAMMAD RAHMAN</t>
  </si>
  <si>
    <t>33100-2620492-1</t>
  </si>
  <si>
    <t>8726303</t>
  </si>
  <si>
    <t>8726303, 8726303</t>
  </si>
  <si>
    <t>2611993</t>
  </si>
  <si>
    <t xml:space="preserve">P-128 C BLOCK PEOPLES COLONY 01 FSD FAISALABAD PK </t>
  </si>
  <si>
    <t>DIB/T/BT/33853/LHR/1021</t>
  </si>
  <si>
    <t>Q082061</t>
  </si>
  <si>
    <t>6059566</t>
  </si>
  <si>
    <t>19-APR-2021</t>
  </si>
  <si>
    <t>OLAFSD300067873</t>
  </si>
  <si>
    <t>TDIDIB0029713</t>
  </si>
  <si>
    <t>9976AD2212170066</t>
  </si>
  <si>
    <t>SYED ARSALAN QAMAR</t>
  </si>
  <si>
    <t>31202-4797210-1</t>
  </si>
  <si>
    <t>03005552275</t>
  </si>
  <si>
    <t xml:space="preserve">H # 536 UPER PORTION ST # 5 G-11/1 ISLAMABAD PK </t>
  </si>
  <si>
    <t>01-2110-PO-MTR-PCCM-D-001443</t>
  </si>
  <si>
    <t>188310</t>
  </si>
  <si>
    <t>1088308</t>
  </si>
  <si>
    <t>05-AUG-2021</t>
  </si>
  <si>
    <t>OLAISD300071644</t>
  </si>
  <si>
    <t>DIB0032230</t>
  </si>
  <si>
    <t>9976AD1221030006</t>
  </si>
  <si>
    <t>HAMAD ALI</t>
  </si>
  <si>
    <t>17201-3414186-3</t>
  </si>
  <si>
    <t>03339418668</t>
  </si>
  <si>
    <t>0512746070</t>
  </si>
  <si>
    <t xml:space="preserve">H # CB-825/1 MISRIAL ROAD PIA COLON Y CHORR CHOWK NEAR HAKIM PLAZA RAWALPINDI PK </t>
  </si>
  <si>
    <t>64081/00040/10/2022</t>
  </si>
  <si>
    <t>251339</t>
  </si>
  <si>
    <t>1151343</t>
  </si>
  <si>
    <t>13-APR-2022</t>
  </si>
  <si>
    <t>OLARWP300086422</t>
  </si>
  <si>
    <t>9097/10/2022</t>
  </si>
  <si>
    <t>9976AP1222930037</t>
  </si>
  <si>
    <t>HAMZA</t>
  </si>
  <si>
    <t>42201-6900403-5</t>
  </si>
  <si>
    <t>03009225864</t>
  </si>
  <si>
    <t xml:space="preserve">HNO: D-53 BLOCK 08 GULSHAN-E-IQBAL KARACHI PK </t>
  </si>
  <si>
    <t>64081/000037/10/2022</t>
  </si>
  <si>
    <t>Z16929393</t>
  </si>
  <si>
    <t>MR081980</t>
  </si>
  <si>
    <t>BVU-671</t>
  </si>
  <si>
    <t>HONDA CIVIC 1.8 ORIEL</t>
  </si>
  <si>
    <t>OLUKHI300090371</t>
  </si>
  <si>
    <t>9078/10/2022/ITFM</t>
  </si>
  <si>
    <t>9976AP1212950003</t>
  </si>
  <si>
    <t>MUHAMMAD IRFAN WARRAICH</t>
  </si>
  <si>
    <t>35202-2427281-3</t>
  </si>
  <si>
    <t>03064390200</t>
  </si>
  <si>
    <t xml:space="preserve">BHATTA NO 14 NEAR PARADISE BAKERY N AWAN PIND HARBANSPURA LAHORE </t>
  </si>
  <si>
    <t>2524/02692/00061/10/2021</t>
  </si>
  <si>
    <t>16913721</t>
  </si>
  <si>
    <t>065597</t>
  </si>
  <si>
    <t>AEZ-443</t>
  </si>
  <si>
    <t>OLULHR300075503</t>
  </si>
  <si>
    <t>DIB0032159</t>
  </si>
  <si>
    <t>9976AP1222920030</t>
  </si>
  <si>
    <t>MUHAMMAD ABBAS</t>
  </si>
  <si>
    <t>42000-0534907-5</t>
  </si>
  <si>
    <t>03003638496</t>
  </si>
  <si>
    <t>35386639</t>
  </si>
  <si>
    <t xml:space="preserve">HOUSE # 27 SECTOR-A BHITTAI COLONY KORANGI CREEK NEAR KARACHI PUBLIC S KARACHI PK </t>
  </si>
  <si>
    <t>64081/000036/10/2022</t>
  </si>
  <si>
    <t>WR-0761</t>
  </si>
  <si>
    <t>NP000331</t>
  </si>
  <si>
    <t>BVV-764</t>
  </si>
  <si>
    <t>PROTON SAGA A/T</t>
  </si>
  <si>
    <t>OLUKHI300090370</t>
  </si>
  <si>
    <t>9062/10/2022/ITFM</t>
  </si>
  <si>
    <t>9976AD1212430050</t>
  </si>
  <si>
    <t>HAFIZ NAYYAR KHURSHID</t>
  </si>
  <si>
    <t>35202-1628693-5</t>
  </si>
  <si>
    <t>03122520001</t>
  </si>
  <si>
    <t>03122520001, 03122520001</t>
  </si>
  <si>
    <t xml:space="preserve">P-767/54 ST NO 01 BAZAR STREET NO 2 1 RAZA ABAD FSD FAISALABAD PK </t>
  </si>
  <si>
    <t>2021-10-205-V01501OP0002451</t>
  </si>
  <si>
    <t>2A38708</t>
  </si>
  <si>
    <t>7024228</t>
  </si>
  <si>
    <t>OLAFSD300072644</t>
  </si>
  <si>
    <t>DIB0032157</t>
  </si>
  <si>
    <t>9976AP1212940026</t>
  </si>
  <si>
    <t>41303-4831051-1</t>
  </si>
  <si>
    <t>03008372607</t>
  </si>
  <si>
    <t xml:space="preserve">FLAT # 202 KHURASAN VIEW APT NOMAIS H KARACHI PK </t>
  </si>
  <si>
    <t>56038/00040/10/2021</t>
  </si>
  <si>
    <t>6R171970</t>
  </si>
  <si>
    <t>NF1AET306H1071952</t>
  </si>
  <si>
    <t>OLUKHI300075614</t>
  </si>
  <si>
    <t>DIB0032180</t>
  </si>
  <si>
    <t>9976AD2210580013</t>
  </si>
  <si>
    <t>KHURRAM AFZAL</t>
  </si>
  <si>
    <t>35202-7463007-3</t>
  </si>
  <si>
    <t>03214748127</t>
  </si>
  <si>
    <t>03233451111</t>
  </si>
  <si>
    <t xml:space="preserve">4TH FLOOR 124-MB PHASE 6 DHA NEAR 4 TH FLOOR HBL LAHORE </t>
  </si>
  <si>
    <t>DIB/T/BT/33849/LHR/1021</t>
  </si>
  <si>
    <t>3101316</t>
  </si>
  <si>
    <t>028186</t>
  </si>
  <si>
    <t>OLALHR300066372</t>
  </si>
  <si>
    <t>TDIDIB0029708</t>
  </si>
  <si>
    <t>9976AD1212110058</t>
  </si>
  <si>
    <t>MIRZA MUHAMMAD KASHIF</t>
  </si>
  <si>
    <t>33100-0590412-9</t>
  </si>
  <si>
    <t>0300-8664402</t>
  </si>
  <si>
    <t>03008664402</t>
  </si>
  <si>
    <t>041-2657397</t>
  </si>
  <si>
    <t xml:space="preserve">H NO P-640 ST NO 11 NISAR COLONY FAISALABAD </t>
  </si>
  <si>
    <t>DIB/T/BT/33721/LHR/0921</t>
  </si>
  <si>
    <t>314355</t>
  </si>
  <si>
    <t>512786</t>
  </si>
  <si>
    <t>OLAFSD300071287</t>
  </si>
  <si>
    <t>9976AD2212250009</t>
  </si>
  <si>
    <t>DANISH</t>
  </si>
  <si>
    <t>35202-9259545-5</t>
  </si>
  <si>
    <t>03220285261</t>
  </si>
  <si>
    <t xml:space="preserve">HOUSE NO 65 - P MOHALLA MARGAZAR COLONY MULTAN ROAD LAHORE </t>
  </si>
  <si>
    <t>2524/02692/00047/10/2021</t>
  </si>
  <si>
    <t>2A37215</t>
  </si>
  <si>
    <t>NSP150R-7023420</t>
  </si>
  <si>
    <t>TOYATA YARIS GLI CVT 1.3</t>
  </si>
  <si>
    <t>OLALHR300071887</t>
  </si>
  <si>
    <t>DIB032107</t>
  </si>
  <si>
    <t>9976AD1221160028</t>
  </si>
  <si>
    <t>SAJID SAEED</t>
  </si>
  <si>
    <t>37406-8699959-5</t>
  </si>
  <si>
    <t>03450091506</t>
  </si>
  <si>
    <t>0519217728</t>
  </si>
  <si>
    <t xml:space="preserve">H # 214/9 ST # 8 OFFICER COLONY PHA SE 2 TAXILA WAH CANT TAXILA PK </t>
  </si>
  <si>
    <t>64081/00020/10/2022</t>
  </si>
  <si>
    <t>251506</t>
  </si>
  <si>
    <t>1151514</t>
  </si>
  <si>
    <t>26-APR-2022</t>
  </si>
  <si>
    <t>OLAWAH300086845</t>
  </si>
  <si>
    <t>9004/10/2022/ITFM</t>
  </si>
  <si>
    <t>9976AD1210580093</t>
  </si>
  <si>
    <t>FURQAN HAMEED</t>
  </si>
  <si>
    <t>35201-1145817-1</t>
  </si>
  <si>
    <t>03214049091</t>
  </si>
  <si>
    <t xml:space="preserve">LIDHER ROAD KAMAHAN BEDIAN ROAD NEA R DERA HAJI NAZIR MYO LAHORE </t>
  </si>
  <si>
    <t>DIB/T/BT/33834/LHR/1021</t>
  </si>
  <si>
    <t>3101384</t>
  </si>
  <si>
    <t>028163</t>
  </si>
  <si>
    <t>OLALHR300066480</t>
  </si>
  <si>
    <t>TDIDIB0029699</t>
  </si>
  <si>
    <t>9976AD1212350007</t>
  </si>
  <si>
    <t>ASIM AJMAL HUSSAIN</t>
  </si>
  <si>
    <t>34603-7832613-1</t>
  </si>
  <si>
    <t>03107217130</t>
  </si>
  <si>
    <t xml:space="preserve">MOH MADINA MASJID BONKAN ROAD PACCA GARHA SIALKOT PK </t>
  </si>
  <si>
    <t>PL-1021-1101010102-V14-D-00477</t>
  </si>
  <si>
    <t>2A38424</t>
  </si>
  <si>
    <t>NSP150R-7024025</t>
  </si>
  <si>
    <t>OLASKT300072009</t>
  </si>
  <si>
    <t>DIB0032100</t>
  </si>
  <si>
    <t>9976AD1211480039</t>
  </si>
  <si>
    <t>PRINCE SAJJAD MOTORS</t>
  </si>
  <si>
    <t>FARIHA SAJID</t>
  </si>
  <si>
    <t>Chakwal</t>
  </si>
  <si>
    <t>37201-9547359-2</t>
  </si>
  <si>
    <t>03315005535</t>
  </si>
  <si>
    <t xml:space="preserve">SAJID HOUSE NEAR CHAKWAL CNG KHAYABAN E ABU BAKAR SIDDIQUE JAHANGIR TOWN BHOUN ROAD CHAKWAL </t>
  </si>
  <si>
    <t>DIB/T/BT/33828/ISB/1021</t>
  </si>
  <si>
    <t>21026235</t>
  </si>
  <si>
    <t>R21H1786</t>
  </si>
  <si>
    <t>28-MAY-2021</t>
  </si>
  <si>
    <t>OLACHW300069007</t>
  </si>
  <si>
    <t>TDIDIB0029697</t>
  </si>
  <si>
    <t>9976AD1212080037</t>
  </si>
  <si>
    <t>SHAHID WALI</t>
  </si>
  <si>
    <t>33100-9354205-3</t>
  </si>
  <si>
    <t>03057703270</t>
  </si>
  <si>
    <t>03057703270, 03057703270</t>
  </si>
  <si>
    <t xml:space="preserve">P- 127 D-BLOCK MOHALLAH MISTRIAN GM ABAD FAISALABAD PK </t>
  </si>
  <si>
    <t>01-2110-PO-MTR-PCCM-D-001370</t>
  </si>
  <si>
    <t>PK10B221649</t>
  </si>
  <si>
    <t>A1J310PK10121680</t>
  </si>
  <si>
    <t>OLAFSD300070991</t>
  </si>
  <si>
    <t>DIB0032046</t>
  </si>
  <si>
    <t>9976AD2212120040</t>
  </si>
  <si>
    <t>FEDERAL MOTORS</t>
  </si>
  <si>
    <t>IMRAN KHAN</t>
  </si>
  <si>
    <t>42000-0537301-7</t>
  </si>
  <si>
    <t>03458281721</t>
  </si>
  <si>
    <t xml:space="preserve">H # 211-C ST # 31 BLOCK -C PWD NEAR LONDON BAKERY ISLAMABAD PK </t>
  </si>
  <si>
    <t>01-2110-PO-MTR-PCCM-D-001389</t>
  </si>
  <si>
    <t>186066</t>
  </si>
  <si>
    <t>1085984</t>
  </si>
  <si>
    <t>OLAISD300071505</t>
  </si>
  <si>
    <t>5513/10/2021</t>
  </si>
  <si>
    <t>9976AD1211940009</t>
  </si>
  <si>
    <t>MUHAMMAD ALMAS DILAWAR</t>
  </si>
  <si>
    <t>35202-2363890-1</t>
  </si>
  <si>
    <t>03124423213</t>
  </si>
  <si>
    <t>04235916352</t>
  </si>
  <si>
    <t xml:space="preserve">53-A Q-BLOCK MODEL TOWN COLONY MODE L TOWN NEAR BANDU KHAN BAKERY LAHORE </t>
  </si>
  <si>
    <t>2021-10-205-V01501OP0002420</t>
  </si>
  <si>
    <t>184920</t>
  </si>
  <si>
    <t>1084837</t>
  </si>
  <si>
    <t>OLALHR300070543</t>
  </si>
  <si>
    <t>DIB0032079</t>
  </si>
  <si>
    <t>9976AD1211940004</t>
  </si>
  <si>
    <t>2021-10-205-V01501OP0002421</t>
  </si>
  <si>
    <t>184772</t>
  </si>
  <si>
    <t>1084770</t>
  </si>
  <si>
    <t>OLALHR300070544</t>
  </si>
  <si>
    <t>DIB0032080</t>
  </si>
  <si>
    <t>9976AD1210150004</t>
  </si>
  <si>
    <t>MUHAMMAD AMJID</t>
  </si>
  <si>
    <t>33100-5543898-1</t>
  </si>
  <si>
    <t>03008650974</t>
  </si>
  <si>
    <t>03008650974, 03008650974</t>
  </si>
  <si>
    <t>0412656436</t>
  </si>
  <si>
    <t xml:space="preserve">H NO P-195-A ST NO 5 NEAR A PLUS AC ADEMY GARDENS COLONY FAISALABAD PK </t>
  </si>
  <si>
    <t>01-2109-PO-MTR-PCCM-D-001349</t>
  </si>
  <si>
    <t>G4NAMU107266</t>
  </si>
  <si>
    <t>PHMJ2813SMN204540</t>
  </si>
  <si>
    <t>TUCSON AWD</t>
  </si>
  <si>
    <t>15-JAN-2021</t>
  </si>
  <si>
    <t>OLAFSD300065032</t>
  </si>
  <si>
    <t>DIB0032000</t>
  </si>
  <si>
    <t>9976AP1212840005</t>
  </si>
  <si>
    <t>MUHAMMAD ASIM</t>
  </si>
  <si>
    <t>33100-0858573-7</t>
  </si>
  <si>
    <t>03143110308</t>
  </si>
  <si>
    <t>03143110308, 03143110308</t>
  </si>
  <si>
    <t xml:space="preserve">P-70 KHALID BIN WALEED ROAD DAWOO R OAD RIAZ UL JINNAH FAISALABAD PK </t>
  </si>
  <si>
    <t>56038/00022/10/2021</t>
  </si>
  <si>
    <t>145385</t>
  </si>
  <si>
    <t>10045359</t>
  </si>
  <si>
    <t>ADZ-372</t>
  </si>
  <si>
    <t>OLUFSD300074826</t>
  </si>
  <si>
    <t>DIB0032064</t>
  </si>
  <si>
    <t>9976AP1212840006</t>
  </si>
  <si>
    <t>MUHAMMAD NABEEL SALEEM</t>
  </si>
  <si>
    <t>33102-7404256-5</t>
  </si>
  <si>
    <t>03067110060</t>
  </si>
  <si>
    <t>03067110060, 03067110060</t>
  </si>
  <si>
    <t xml:space="preserve">P-48 ST NO 17 ABDULLAH PUR FSD NEAR DR SHAHZAD NAWAR FAISALABAD PK </t>
  </si>
  <si>
    <t>56038/00021/10/2021</t>
  </si>
  <si>
    <t>124726</t>
  </si>
  <si>
    <t>10024700</t>
  </si>
  <si>
    <t>LE-18A-9217</t>
  </si>
  <si>
    <t>OLUFSD300074825</t>
  </si>
  <si>
    <t>DIB0032058</t>
  </si>
  <si>
    <t>9976AD1212100027</t>
  </si>
  <si>
    <t>FAISAL MEHMOOD</t>
  </si>
  <si>
    <t>33100-9451697-5</t>
  </si>
  <si>
    <t>03219668372</t>
  </si>
  <si>
    <t>03219668372, 03219668372</t>
  </si>
  <si>
    <t>0412634708</t>
  </si>
  <si>
    <t xml:space="preserve">P-206-C SITARA GOLD CITY FAISALABAD PK </t>
  </si>
  <si>
    <t>DIB/T/33732/LHR/0921</t>
  </si>
  <si>
    <t>306850</t>
  </si>
  <si>
    <t>306334</t>
  </si>
  <si>
    <t>KIA SPORTGE FWD</t>
  </si>
  <si>
    <t>OLASFSD300071292</t>
  </si>
  <si>
    <t>9976AD2211970001</t>
  </si>
  <si>
    <t>MUHAMMAD HAMID SAEED</t>
  </si>
  <si>
    <t>33100-5900695-9</t>
  </si>
  <si>
    <t>03218664472</t>
  </si>
  <si>
    <t>03218664472, 03218664472</t>
  </si>
  <si>
    <t xml:space="preserve">H NO 70-A PEOPLES COLONY FSD FAISALABAD PK </t>
  </si>
  <si>
    <t>DIB/T/BT/33718/LHR/0921</t>
  </si>
  <si>
    <t>PK10K185546</t>
  </si>
  <si>
    <t>NF1AVK31H10085544</t>
  </si>
  <si>
    <t>OLAFSD300070803</t>
  </si>
  <si>
    <t>DIB0031914</t>
  </si>
  <si>
    <t>9976AD1211960005</t>
  </si>
  <si>
    <t>MOHSIN PERVEZ</t>
  </si>
  <si>
    <t>35202-7757033-3</t>
  </si>
  <si>
    <t>03238666682</t>
  </si>
  <si>
    <t>37380496</t>
  </si>
  <si>
    <t xml:space="preserve">EME SOCIETY HOUSE NO 203 E STREET NO 14 MOHALLA DHA MULTAN ROAD LAHORE </t>
  </si>
  <si>
    <t>2021-10-205-V01501OP0002397</t>
  </si>
  <si>
    <t>186484</t>
  </si>
  <si>
    <t>1086406</t>
  </si>
  <si>
    <t>OLALHR300070812</t>
  </si>
  <si>
    <t>5497/10/2021</t>
  </si>
  <si>
    <t>9976AD1212070013</t>
  </si>
  <si>
    <t>ASIF BHATTI</t>
  </si>
  <si>
    <t>34101-6712641-3</t>
  </si>
  <si>
    <t>03422989070</t>
  </si>
  <si>
    <t xml:space="preserve">SIALKOT ROAD ST NO 6 BLOCK C RAJA C OLONY GUJRANWALA PK </t>
  </si>
  <si>
    <t>56038/00009/10/2021</t>
  </si>
  <si>
    <t>21643</t>
  </si>
  <si>
    <t>10121651</t>
  </si>
  <si>
    <t>OLAGWL300070925</t>
  </si>
  <si>
    <t>5489/10/2021</t>
  </si>
  <si>
    <t>9976AD1211960004</t>
  </si>
  <si>
    <t>SALMAN RIAZ</t>
  </si>
  <si>
    <t>34101-7698201-7</t>
  </si>
  <si>
    <t>03216421603</t>
  </si>
  <si>
    <t xml:space="preserve">US MOBILE ANDRON SIALKOTI GATE GUJRANWALA </t>
  </si>
  <si>
    <t>DIB/T/BT/33761/LHR/1021</t>
  </si>
  <si>
    <t>185931</t>
  </si>
  <si>
    <t>1085979</t>
  </si>
  <si>
    <t>OLAGWL300070712</t>
  </si>
  <si>
    <t>5490/10/2021/ITFM</t>
  </si>
  <si>
    <t>9976AD1211940003</t>
  </si>
  <si>
    <t>MUHAMMAD BILAL</t>
  </si>
  <si>
    <t>33100-0319492-9</t>
  </si>
  <si>
    <t>041-2657744</t>
  </si>
  <si>
    <t>03218664046</t>
  </si>
  <si>
    <t>0412656053</t>
  </si>
  <si>
    <t xml:space="preserve">C-52 LIAQAT TOWN NEAR MUHAMMADI PARK FAISALABAD </t>
  </si>
  <si>
    <t>2021/09/CLFTTPCDP01070</t>
  </si>
  <si>
    <t>G4NAMH319006</t>
  </si>
  <si>
    <t>NNAQL51AZLP102241</t>
  </si>
  <si>
    <t>OLAFSD300070578</t>
  </si>
  <si>
    <t>9976AD2212250016</t>
  </si>
  <si>
    <t>MUHAMMAD ALI SHAHZADA</t>
  </si>
  <si>
    <t>42201-5958122-7</t>
  </si>
  <si>
    <t>34523930</t>
  </si>
  <si>
    <t>0300-8278770</t>
  </si>
  <si>
    <t>356670609 35662609</t>
  </si>
  <si>
    <t xml:space="preserve">H# R-87 ST# 20 KHAYABAN-E-ROOMI PHASE-8 NEAR KHAYABAN-E-TARIQ KARACHI </t>
  </si>
  <si>
    <t>2524/02692/00001/10/2021</t>
  </si>
  <si>
    <t>2A37438</t>
  </si>
  <si>
    <t>7023514</t>
  </si>
  <si>
    <t>03-Oct-2024</t>
  </si>
  <si>
    <t>OLAKHI300071929</t>
  </si>
  <si>
    <t>5465/09/2021</t>
  </si>
  <si>
    <t>9976AD1212140142</t>
  </si>
  <si>
    <t>SAIMA BATOOL</t>
  </si>
  <si>
    <t>45303-8958540-2</t>
  </si>
  <si>
    <t>03317322274</t>
  </si>
  <si>
    <t xml:space="preserve">H # D-79 TandT COLONY NEAR NRTC HARIPUR PK </t>
  </si>
  <si>
    <t>2021/09/CLFTTPCDP01111</t>
  </si>
  <si>
    <t>PK10K186453</t>
  </si>
  <si>
    <t>NF1AVK31H10086470</t>
  </si>
  <si>
    <t>02-AUG-2021</t>
  </si>
  <si>
    <t>OLALHR300071446</t>
  </si>
  <si>
    <t>5481/10/2021</t>
  </si>
  <si>
    <t>9976AD1232380001</t>
  </si>
  <si>
    <t>HYUNDAI SHAHRAH E FAISAL</t>
  </si>
  <si>
    <t>WAQAS AMIN</t>
  </si>
  <si>
    <t>42201-8971878-5</t>
  </si>
  <si>
    <t>03323050235</t>
  </si>
  <si>
    <t xml:space="preserve">FLAT # G-2 C-174 GULISTAN E JOHAR B LOCK 14 KHI KARACHI PK </t>
  </si>
  <si>
    <t>76078/00001/10/2023</t>
  </si>
  <si>
    <t>01-OCT-2024</t>
  </si>
  <si>
    <t>362428</t>
  </si>
  <si>
    <t>214957</t>
  </si>
  <si>
    <t>HYUNDAI TUCSON FWD</t>
  </si>
  <si>
    <t>OLAKHI300096468</t>
  </si>
  <si>
    <t>DIB0035331</t>
  </si>
  <si>
    <t>28-SEP-2023</t>
  </si>
  <si>
    <t>Policy # 2024</t>
  </si>
  <si>
    <t>Tms prem</t>
  </si>
  <si>
    <t>Difference</t>
  </si>
  <si>
    <t>KHI/HO/D/MO/PC COMP/C/97805/155/09/2024</t>
  </si>
  <si>
    <t>KHI/HO/D/MO/PC COMP/C/97805/226/09/2024</t>
  </si>
  <si>
    <t>KHI/HO/D/MO/PC COMP/C/97805/292/09/2024</t>
  </si>
  <si>
    <t>KHI/HO/D/MO/PC COMP/C/97805/314/09/2024</t>
  </si>
  <si>
    <t>KHI/HO/D/MO/PC COMP/C/97805/58/09/2024</t>
  </si>
  <si>
    <t>KHI/HO/D/MO/PC COMP/C/97805/57/09/2024</t>
  </si>
  <si>
    <t>KHI/HO/D/MO/PC COMP/C/99821/2/10/2024</t>
  </si>
  <si>
    <t>KHI/HO/D/MO/PC COMP/C/99821/5/10/2024</t>
  </si>
  <si>
    <t>KHI/HO/D/MO/PC COMP/C/99821/6/10/2024</t>
  </si>
  <si>
    <t>KHI/HO/D/MO/PC COMP/C/99821/7/10/2024</t>
  </si>
  <si>
    <t>KHI/HO/D/MO/PC COMP/C/99821/8/10/2024</t>
  </si>
  <si>
    <t>KHI/HO/D/MO/PC COMP/C/99821/9/10/2024</t>
  </si>
  <si>
    <t>KHI/HO/D/MO/PC COMP/C/99821/10/10/2024</t>
  </si>
  <si>
    <t>KHI/HO/D/MO/PC COMP/C/99821/11/10/2024</t>
  </si>
  <si>
    <t>KHI/HO/D/MO/PC COMP/C/99821/12/10/2024</t>
  </si>
  <si>
    <t>KHI/HO/D/MO/PC COMP/C/99821/13/10/2024</t>
  </si>
  <si>
    <t>KHI/HO/D/MO/PC COMP/C/99821/14/10/2024</t>
  </si>
  <si>
    <t>KHI/HO/D/MO/PC COMP/C/99821/15/10/2024</t>
  </si>
  <si>
    <t>KHI/HO/D/MO/PC COMP/C/99821/17/10/2024</t>
  </si>
  <si>
    <t>KHI/HO/D/MO/PC COMP/C/99821/18/10/2024</t>
  </si>
  <si>
    <t>KHI/HO/D/MO/PC COMP/C/99821/32/10/2024</t>
  </si>
  <si>
    <t>KHI/HO/D/MO/PC COMP/C/99821/33/10/2024</t>
  </si>
  <si>
    <t>KHI/HO/D/MO/PC COMP/C/99821/1/10/2024</t>
  </si>
  <si>
    <t>KHI/HO/D/MO/PC COMP/C/99821/34/10/2024</t>
  </si>
  <si>
    <t>KHI/HO/D/MO/PC COMP/C/99821/35/10/2024</t>
  </si>
  <si>
    <t>KHI/HO/D/MO/PC COMP/C/99821/37/10/2024</t>
  </si>
  <si>
    <t>KHI/HO/D/MO/PC COMP/C/99821/39/10/2024</t>
  </si>
  <si>
    <t>KHI/HO/D/MO/PC COMP/C/99821/41/10/2024</t>
  </si>
  <si>
    <t>KHI/HO/D/MO/PC COMP/C/99821/42/10/2024</t>
  </si>
  <si>
    <t>KHI/HO/D/MO/PC COMP/C/99821/43/10/2024</t>
  </si>
  <si>
    <t>KHI/HO/D/MO/PC COMP/C/99821/44/10/2024</t>
  </si>
  <si>
    <t>KHI/HO/D/MO/PC COMP/C/99821/45/10/2024</t>
  </si>
  <si>
    <t>KHI/HO/D/MO/PC COMP/C/99821/46/10/2024</t>
  </si>
  <si>
    <t>KHI/HO/D/MO/PC COMP/C/99821/47/10/2024</t>
  </si>
  <si>
    <t>KHI/HO/D/MO/PC COMP/C/99821/48/10/2024</t>
  </si>
  <si>
    <t>KHI/HO/D/MO/PC COMP/C/99821/49/10/2024</t>
  </si>
  <si>
    <t>KHI/HO/D/MO/PC COMP/C/99821/52/10/2024</t>
  </si>
  <si>
    <t>KHI/HO/D/MO/PC COMP/C/99821/54/10/2024</t>
  </si>
  <si>
    <t>KHI/HO/D/MO/PC COMP/C/99821/59/10/2024</t>
  </si>
  <si>
    <t>KHI/HO/D/MO/PC COMP/C/99821/62/10/2024</t>
  </si>
  <si>
    <t>KHI/HO/D/MO/PC COMP/C/99821/63/10/2024</t>
  </si>
  <si>
    <t>KHI/HO/D/MO/PC COMP/C/99821/65/10/2024</t>
  </si>
  <si>
    <t>KHI/HO/D/MO/PC COMP/C/99821/66/10/2024</t>
  </si>
  <si>
    <t>KHI/HO/D/MO/PC COMP/C/99821/67/10/2024</t>
  </si>
  <si>
    <t>KHI/HO/D/MO/PC COMP/C/99821/72/10/2024</t>
  </si>
  <si>
    <t>KHI/HO/D/MO/PC COMP/C/99821/80/10/2024</t>
  </si>
  <si>
    <t>KHI/HO/D/MO/PC COMP/C/99821/82/10/2024</t>
  </si>
  <si>
    <t>KHI/HO/D/MO/PC COMP/C/99821/83/10/2024</t>
  </si>
  <si>
    <t>KHI/HO/D/MO/PC COMP/C/99821/86/10/2024</t>
  </si>
  <si>
    <t>KHI/HO/D/MO/PC COMP/C/99821/94/10/2024</t>
  </si>
  <si>
    <t>KHI/HO/D/MO/PC COMP/C/99821/96/10/2024</t>
  </si>
  <si>
    <t>KHI/HO/D/MO/PC COMP/C/99821/97/10/2024</t>
  </si>
  <si>
    <t>KHI/HO/D/MO/PC COMP/C/99821/98/10/2024</t>
  </si>
  <si>
    <t>KHI/HO/D/MO/PC COMP/C/99821/99/10/2024</t>
  </si>
  <si>
    <t>KHI/HO/D/MO/PC COMP/C/99821/103/10/2024</t>
  </si>
  <si>
    <t>KHI/HO/D/MO/PC COMP/C/99821/108/10/2024</t>
  </si>
  <si>
    <t>KHI/HO/D/MO/PC COMP/C/99821/109/10/2024</t>
  </si>
  <si>
    <t>KHI/HO/D/MO/PC COMP/C/99821/110/10/2024</t>
  </si>
  <si>
    <t>KHI/HO/D/MO/PC COMP/C/99821/111/10/2024</t>
  </si>
  <si>
    <t>KHI/HO/D/MO/PC COMP/C/99821/112/10/2024</t>
  </si>
  <si>
    <t>KHI/HO/D/MO/PC COMP/C/99821/113/10/2024</t>
  </si>
  <si>
    <t>KHI/HO/D/MO/PC COMP/C/99821/114/10/2024</t>
  </si>
  <si>
    <t>KHI/HO/D/MO/PC COMP/C/99821/117/10/2024</t>
  </si>
  <si>
    <t>KHI/HO/D/MO/PC COMP/C/99821/120/10/2024</t>
  </si>
  <si>
    <t>KHI/HO/D/MO/PC COMP/C/99821/122/10/2024</t>
  </si>
  <si>
    <t>KHI/HO/D/MO/PC COMP/C/99821/124/10/2024</t>
  </si>
  <si>
    <t>KHI/HO/D/MO/PC COMP/C/99821/4/10/2024</t>
  </si>
  <si>
    <t>KHI/HO/D/MO/PC COMP/C/99821/137/10/2024</t>
  </si>
  <si>
    <t>KHI/HO/D/MO/PC COMP/C/99821/138/10/2024</t>
  </si>
  <si>
    <t>KHI/HO/D/MO/PC COMP/C/99821/139/10/2024</t>
  </si>
  <si>
    <t>KHI/HO/D/MO/PC COMP/C/99821/141/10/2024</t>
  </si>
  <si>
    <t>KHI/HO/D/MO/PC COMP/C/99821/142/10/2024</t>
  </si>
  <si>
    <t>KHI/HO/D/MO/PC COMP/C/99821/143/10/2024</t>
  </si>
  <si>
    <t>KHI/HO/D/MO/PC COMP/C/99821/144/10/2024</t>
  </si>
  <si>
    <t>KHI/HO/D/MO/PC COMP/C/99821/145/10/2024</t>
  </si>
  <si>
    <t>KHI/HO/D/MO/PC COMP/C/99821/148/10/2024</t>
  </si>
  <si>
    <t>KHI/HO/D/MO/PC COMP/C/99821/149/10/2024</t>
  </si>
  <si>
    <t>KHI/HO/D/MO/PC COMP/C/99821/150/10/2024</t>
  </si>
  <si>
    <t>KHI/HO/D/MO/PC COMP/C/99821/151/10/2024</t>
  </si>
  <si>
    <t>KHI/HO/D/MO/PC COMP/C/99821/153/10/2024</t>
  </si>
  <si>
    <t>KHI/HO/D/MO/PC COMP/C/99821/16/10/2024</t>
  </si>
  <si>
    <t>KHI/HO/D/MO/PC COMP/C/99821/19/10/2024</t>
  </si>
  <si>
    <t>KHI/HO/D/MO/PC COMP/C/99821/22/10/2024</t>
  </si>
  <si>
    <t>KHI/HO/D/MO/PC COMP/C/99821/23/10/2024</t>
  </si>
  <si>
    <t>KHI/HO/D/MO/PC COMP/C/99821/24/10/2024</t>
  </si>
  <si>
    <t>KHI/HO/D/MO/PC COMP/C/99821/25/10/2024</t>
  </si>
  <si>
    <t>KHI/HO/D/MO/PC COMP/C/99821/161/10/2024</t>
  </si>
  <si>
    <t>KHI/HO/D/MO/PC COMP/C/99821/27/10/2024</t>
  </si>
  <si>
    <t>KHI/HO/D/MO/PC COMP/C/99821/162/10/2024</t>
  </si>
  <si>
    <t>KHI/HO/D/MO/PC COMP/C/99821/28/10/2024</t>
  </si>
  <si>
    <t>KHI/HO/D/MO/PC COMP/C/99821/164/10/2024</t>
  </si>
  <si>
    <t>KHI/HO/D/MO/PC COMP/C/99821/165/10/2024</t>
  </si>
  <si>
    <t>KHI/HO/D/MO/PC COMP/C/99821/29/10/2024</t>
  </si>
  <si>
    <t>KHI/HO/D/MO/PC COMP/C/99821/30/10/2024</t>
  </si>
  <si>
    <t>KHI/HO/D/MO/PC COMP/C/99821/36/10/2024</t>
  </si>
  <si>
    <t>KHI/HO/D/MO/PC COMP/C/99821/38/10/2024</t>
  </si>
  <si>
    <t>KHI/HO/D/MO/PC COMP/C/99821/169/10/2024</t>
  </si>
  <si>
    <t>KHI/HO/D/MO/PC COMP/C/99821/170/10/2024</t>
  </si>
  <si>
    <t>KHI/HO/D/MO/PC COMP/C/99821/40/10/2024</t>
  </si>
  <si>
    <t>KHI/HO/D/MO/PC COMP/C/99821/53/10/2024</t>
  </si>
  <si>
    <t>KHI/HO/D/MO/PC COMP/C/99821/55/10/2024</t>
  </si>
  <si>
    <t>KHI/HO/D/MO/PC COMP/C/99821/173/10/2024</t>
  </si>
  <si>
    <t>KHI/HO/D/MO/PC COMP/C/99821/56/10/2024</t>
  </si>
  <si>
    <t>KHI/HO/D/MO/PC COMP/C/99821/57/10/2024</t>
  </si>
  <si>
    <t>KHI/HO/D/MO/PC COMP/C/99821/60/10/2024</t>
  </si>
  <si>
    <t>KHI/HO/D/MO/PC COMP/C/99821/61/10/2024</t>
  </si>
  <si>
    <t>KHI/HO/D/MO/PC COMP/C/99821/64/10/2024</t>
  </si>
  <si>
    <t>KHI/HO/D/MO/PC COMP/C/99821/68/10/2024</t>
  </si>
  <si>
    <t>KHI/HO/D/MO/PC COMP/C/99821/181/10/2024</t>
  </si>
  <si>
    <t>KHI/HO/D/MO/PC COMP/C/99821/69/10/2024</t>
  </si>
  <si>
    <t>KHI/HO/D/MO/PC COMP/C/99821/184/10/2024</t>
  </si>
  <si>
    <t>KHI/HO/D/MO/PC COMP/C/99821/70/10/2024</t>
  </si>
  <si>
    <t>KHI/HO/D/MO/PC COMP/C/99821/186/10/2024</t>
  </si>
  <si>
    <t>KHI/HO/D/MO/PC COMP/C/99821/187/10/2024</t>
  </si>
  <si>
    <t>KHI/HO/D/MO/PC COMP/C/99821/188/10/2024</t>
  </si>
  <si>
    <t>KHI/HO/D/MO/PC COMP/C/99821/189/10/2024</t>
  </si>
  <si>
    <t>KHI/HO/D/MO/PC COMP/C/99821/71/10/2024</t>
  </si>
  <si>
    <t>KHI/HO/D/MO/PC COMP/C/99821/73/10/2024</t>
  </si>
  <si>
    <t>KHI/HO/D/MO/PC COMP/C/99821/190/10/2024</t>
  </si>
  <si>
    <t>KHI/HO/D/MO/PC COMP/C/99821/191/10/2024</t>
  </si>
  <si>
    <t>KHI/HO/D/MO/PC COMP/C/99821/74/10/2024</t>
  </si>
  <si>
    <t>KHI/HO/D/MO/PC COMP/C/99821/75/10/2024</t>
  </si>
  <si>
    <t>KHI/HO/D/MO/PC COMP/C/99821/76/10/2024</t>
  </si>
  <si>
    <t>KHI/HO/D/MO/PC COMP/C/99821/77/10/2024</t>
  </si>
  <si>
    <t>KHI/HO/D/MO/PC COMP/C/99821/78/10/2024</t>
  </si>
  <si>
    <t>KHI/HO/D/MO/PC COMP/C/99821/79/10/2024</t>
  </si>
  <si>
    <t>KHI/HO/D/MO/PC COMP/C/99821/81/10/2024</t>
  </si>
  <si>
    <t>KHI/HO/D/MO/PC COMP/C/99821/84/10/2024</t>
  </si>
  <si>
    <t>KHI/HO/D/MO/PC COMP/C/99821/85/10/2024</t>
  </si>
  <si>
    <t>KHI/HO/D/MO/PC COMP/C/99821/87/10/2024</t>
  </si>
  <si>
    <t>KHI/HO/D/MO/PC COMP/C/99821/88/10/2024</t>
  </si>
  <si>
    <t>KHI/HO/D/MO/PC COMP/C/99821/200/10/2024</t>
  </si>
  <si>
    <t>KHI/HO/D/MO/PC COMP/C/99821/201/10/2024</t>
  </si>
  <si>
    <t>KHI/HO/D/MO/PC COMP/C/99821/202/10/2024</t>
  </si>
  <si>
    <t>KHI/HO/D/MO/PC COMP/C/99821/90/10/2024</t>
  </si>
  <si>
    <t>KHI/HO/D/MO/PC COMP/C/99821/92/10/2024</t>
  </si>
  <si>
    <t>KHI/HO/D/MO/PC COMP/C/99821/205/10/2024</t>
  </si>
  <si>
    <t>KHI/HO/D/MO/PC COMP/C/99821/100/10/2024</t>
  </si>
  <si>
    <t>KHI/HO/D/MO/PC COMP/C/99821/101/10/2024</t>
  </si>
  <si>
    <t>KHI/HO/D/MO/PC COMP/C/99821/209/10/2024</t>
  </si>
  <si>
    <t>KHI/HO/D/MO/PC COMP/C/99821/210/10/2024</t>
  </si>
  <si>
    <t>KHI/HO/D/MO/PC COMP/C/99821/365/10/2024</t>
  </si>
  <si>
    <t>KHI/HO/D/MO/PC COMP/C/99821/104/10/2024</t>
  </si>
  <si>
    <t>KHI/HO/D/MO/PC COMP/C/99821/105/10/2024</t>
  </si>
  <si>
    <t>KHI/HO/D/MO/PC COMP/C/99821/106/10/2024</t>
  </si>
  <si>
    <t>KHI/HO/D/MO/PC COMP/C/99821/107/10/2024</t>
  </si>
  <si>
    <t>KHI/HO/D/MO/PC COMP/C/99821/115/10/2024</t>
  </si>
  <si>
    <t>KHI/HO/D/MO/PC COMP/C/99821/116/10/2024</t>
  </si>
  <si>
    <t>KHI/HO/D/MO/PC COMP/C/99821/118/10/2024</t>
  </si>
  <si>
    <t>KHI/HO/D/MO/PC COMP/C/99821/121/10/2024</t>
  </si>
  <si>
    <t>KHI/HO/D/MO/PC COMP/C/99821/123/10/2024</t>
  </si>
  <si>
    <t>KHI/HO/D/MO/PC COMP/C/99821/126/10/2024</t>
  </si>
  <si>
    <t>KHI/HO/D/MO/PC COMP/C/99821/127/10/2024</t>
  </si>
  <si>
    <t>KHI/HO/D/MO/PC COMP/C/99821/128/10/2024</t>
  </si>
  <si>
    <t>KHI/HO/D/MO/PC COMP/C/99821/130/10/2024</t>
  </si>
  <si>
    <t>KHI/HO/D/MO/PC COMP/C/99821/131/10/2024</t>
  </si>
  <si>
    <t>KHI/HO/D/MO/PC COMP/C/99821/132/10/2024</t>
  </si>
  <si>
    <t>KHI/HO/D/MO/PC COMP/C/99821/224/10/2024</t>
  </si>
  <si>
    <t>KHI/HO/D/MO/PC COMP/C/99821/226/10/2024</t>
  </si>
  <si>
    <t>KHI/HO/D/MO/PC COMP/C/99821/133/10/2024</t>
  </si>
  <si>
    <t>KHI/HO/D/MO/PC COMP/C/99821/228/10/2024</t>
  </si>
  <si>
    <t>KHI/HO/D/MO/PC COMP/C/99821/135/10/2024</t>
  </si>
  <si>
    <t>KHI/HO/D/MO/PC COMP/C/99821/136/10/2024</t>
  </si>
  <si>
    <t>KHI/HO/D/MO/PC COMP/C/99821/140/10/2024</t>
  </si>
  <si>
    <t>KHI/HO/D/MO/PC COMP/C/99821/146/10/2024</t>
  </si>
  <si>
    <t>KHI/HO/D/MO/PC COMP/C/99821/234/10/2024</t>
  </si>
  <si>
    <t>KHI/HO/D/MO/PC COMP/C/99821/235/10/2024</t>
  </si>
  <si>
    <t>KHI/HO/D/MO/PC COMP/C/99821/236/10/2024</t>
  </si>
  <si>
    <t>KHI/HO/D/MO/PC COMP/C/99821/237/10/2024</t>
  </si>
  <si>
    <t>KHI/HO/D/MO/PC COMP/C/99821/155/10/2024</t>
  </si>
  <si>
    <t>KHI/HO/D/MO/PC COMP/C/99821/240/10/2024</t>
  </si>
  <si>
    <t>KHI/HO/D/MO/PC COMP/C/99821/156/10/2024</t>
  </si>
  <si>
    <t>KHI/HO/D/MO/PC COMP/C/99821/158/10/2024</t>
  </si>
  <si>
    <t>KHI/HO/D/MO/PC COMP/C/99821/243/10/2024</t>
  </si>
  <si>
    <t>KHI/HO/D/MO/PC COMP/C/99821/244/10/2024</t>
  </si>
  <si>
    <t>KHI/HO/D/MO/PC COMP/C/99821/160/10/2024</t>
  </si>
  <si>
    <t>KHI/HO/D/MO/PC COMP/C/99821/246/10/2024</t>
  </si>
  <si>
    <t>KHI/HO/D/MO/PC COMP/C/99821/249/10/2024</t>
  </si>
  <si>
    <t>KHI/HO/D/MO/PC COMP/C/99821/250/10/2024</t>
  </si>
  <si>
    <t>KHI/HO/D/MO/PC COMP/C/99821/163/10/2024</t>
  </si>
  <si>
    <t>KHI/HO/D/MO/PC COMP/C/99821/166/10/2024</t>
  </si>
  <si>
    <t>KHI/HO/D/MO/PC COMP/C/99821/167/10/2024</t>
  </si>
  <si>
    <t>KHI/HO/D/MO/PC COMP/C/99821/168/10/2024</t>
  </si>
  <si>
    <t>KHI/HO/D/MO/PC COMP/C/99821/171/10/2024</t>
  </si>
  <si>
    <t>KHI/HO/D/MO/PC COMP/C/99821/172/10/2024</t>
  </si>
  <si>
    <t>KHI/HO/D/MO/PC COMP/C/99821/175/10/2024</t>
  </si>
  <si>
    <t>KHI/HO/D/MO/PC COMP/C/99821/260/10/2024</t>
  </si>
  <si>
    <t>KHI/HO/D/MO/PC COMP/C/99821/261/10/2024</t>
  </si>
  <si>
    <t>KHI/HO/D/MO/PC COMP/C/99821/177/10/2024</t>
  </si>
  <si>
    <t>KHI/HO/D/MO/PC COMP/C/99821/178/10/2024</t>
  </si>
  <si>
    <t>KHI/HO/D/MO/PC COMP/C/99821/179/10/2024</t>
  </si>
  <si>
    <t>KHI/HO/D/MO/PC COMP/C/99821/180/10/2024</t>
  </si>
  <si>
    <t>KHI/HO/D/MO/PC COMP/C/99821/182/10/2024</t>
  </si>
  <si>
    <t>KHI/HO/D/MO/PC COMP/C/99821/269/10/2024</t>
  </si>
  <si>
    <t>KHI/HO/D/MO/PC COMP/C/99821/272/10/2024</t>
  </si>
  <si>
    <t>KHI/HO/D/MO/PC COMP/C/99821/192/10/2024</t>
  </si>
  <si>
    <t>KHI/HO/D/MO/PC COMP/C/99821/193/10/2024</t>
  </si>
  <si>
    <t>KHI/HO/D/MO/PC COMP/C/99821/194/10/2024</t>
  </si>
  <si>
    <t>KHI/HO/D/MO/PC COMP/C/99821/278/10/2024</t>
  </si>
  <si>
    <t>KHI/HO/D/MO/PC COMP/C/99821/279/10/2024</t>
  </si>
  <si>
    <t>KHI/HO/D/MO/PC COMP/C/99821/280/10/2024</t>
  </si>
  <si>
    <t>KHI/HO/D/MO/PC COMP/C/99821/281/10/2024</t>
  </si>
  <si>
    <t>KHI/HO/D/MO/PC COMP/C/99821/282/10/2024</t>
  </si>
  <si>
    <t>KHI/HO/D/MO/PC COMP/C/99821/283/10/2024</t>
  </si>
  <si>
    <t>KHI/HO/D/MO/PC COMP/C/99821/284/10/2024</t>
  </si>
  <si>
    <t>KHI/HO/D/MO/PC COMP/C/99821/195/10/2024</t>
  </si>
  <si>
    <t>KHI/HO/D/MO/PC COMP/C/99821/198/10/2024</t>
  </si>
  <si>
    <t>KHI/HO/D/MO/PC COMP/C/99821/289/10/2024</t>
  </si>
  <si>
    <t>KHI/HO/D/MO/PC COMP/C/99821/290/10/2024</t>
  </si>
  <si>
    <t>KHI/HO/D/MO/PC COMP/C/99821/199/10/2024</t>
  </si>
  <si>
    <t>KHI/HO/D/MO/PC COMP/C/99821/292/10/2024</t>
  </si>
  <si>
    <t>KHI/HO/D/MO/PC COMP/C/99821/203/10/2024</t>
  </si>
  <si>
    <t>KHI/HO/D/MO/PC COMP/C/99821/204/10/2024</t>
  </si>
  <si>
    <t>KHI/HO/D/MO/PC COMP/C/99821/206/10/2024</t>
  </si>
  <si>
    <t>KHI/HO/D/MO/PC COMP/C/99821/207/10/2024</t>
  </si>
  <si>
    <t>KHI/HO/D/MO/PC COMP/C/99821/208/10/2024</t>
  </si>
  <si>
    <t>KHI/HO/D/MO/PC COMP/C/99821/211/10/2024</t>
  </si>
  <si>
    <t>KHI/HO/D/MO/PC COMP/C/99821/298/10/2024</t>
  </si>
  <si>
    <t>KHI/HO/D/MO/PC COMP/C/99821/213/10/2024</t>
  </si>
  <si>
    <t>KHI/HO/D/MO/PC COMP/C/99821/299/10/2024</t>
  </si>
  <si>
    <t>KHI/HO/D/MO/PC COMP/C/99821/300/10/2024</t>
  </si>
  <si>
    <t>KHI/HO/D/MO/PC COMP/C/99821/302/10/2024</t>
  </si>
  <si>
    <t>KHI/HO/D/MO/PC COMP/C/99821/303/10/2024</t>
  </si>
  <si>
    <t>KHI/HO/D/MO/PC COMP/C/99821/304/10/2024</t>
  </si>
  <si>
    <t>KHI/HO/D/MO/PC COMP/C/99821/214/10/2024</t>
  </si>
  <si>
    <t>KHI/HO/D/MO/PC COMP/C/99821/306/10/2024</t>
  </si>
  <si>
    <t>KHI/HO/D/MO/PC COMP/C/99821/307/10/2024</t>
  </si>
  <si>
    <t>KHI/HO/D/MO/PC COMP/C/99821/308/10/2024</t>
  </si>
  <si>
    <t>KHI/HO/D/MO/PC COMP/C/99821/216/10/2024</t>
  </si>
  <si>
    <t>KHI/HO/D/MO/PC COMP/C/99821/310/10/2024</t>
  </si>
  <si>
    <t>KHI/HO/D/MO/PC COMP/C/99821/217/10/2024</t>
  </si>
  <si>
    <t>KHI/HO/D/MO/PC COMP/C/99821/218/10/2024</t>
  </si>
  <si>
    <t>KHI/HO/D/MO/PC COMP/C/99821/219/10/2024</t>
  </si>
  <si>
    <t>KHI/HO/D/MO/PC COMP/C/99821/221/10/2024</t>
  </si>
  <si>
    <t>KHI/HO/D/MO/PC COMP/C/99821/222/10/2024</t>
  </si>
  <si>
    <t>KHI/HO/D/MO/PC COMP/C/99821/223/10/2024</t>
  </si>
  <si>
    <t>KHI/HO/D/MO/PC COMP/C/99821/319/10/2024</t>
  </si>
  <si>
    <t>KHI/HO/D/MO/PC COMP/C/99821/225/10/2024</t>
  </si>
  <si>
    <t>KHI/HO/D/MO/PC COMP/C/99821/227/10/2024</t>
  </si>
  <si>
    <t>KHI/HO/D/MO/PC COMP/C/99821/229/10/2024</t>
  </si>
  <si>
    <t>KHI/HO/D/MO/PC COMP/C/99821/324/10/2024</t>
  </si>
  <si>
    <t>KHI/HO/D/MO/PC COMP/C/99821/325/10/2024</t>
  </si>
  <si>
    <t>KHI/HO/D/MO/PC COMP/C/99821/326/10/2024</t>
  </si>
  <si>
    <t>KHI/HO/D/MO/PC COMP/C/99821/230/10/2024</t>
  </si>
  <si>
    <t>KHI/HO/D/MO/PC COMP/C/99821/328/10/2024</t>
  </si>
  <si>
    <t>KHI/HO/D/MO/PC COMP/C/99821/231/10/2024</t>
  </si>
  <si>
    <t>KHI/HO/D/MO/PC COMP/C/99821/330/10/2024</t>
  </si>
  <si>
    <t>KHI/HO/D/MO/PC COMP/C/99821/233/10/2024</t>
  </si>
  <si>
    <t>KHI/HO/D/MO/PC COMP/C/99821/238/10/2024</t>
  </si>
  <si>
    <t>KHI/HO/D/MO/PC COMP/C/99821/239/10/2024</t>
  </si>
  <si>
    <t>KHI/HO/D/MO/PC COMP/C/99821/241/10/2024</t>
  </si>
  <si>
    <t>KHI/HO/D/MO/PC COMP/C/99821/242/10/2024</t>
  </si>
  <si>
    <t>KHI/HO/D/MO/PC COMP/C/99821/337/10/2024</t>
  </si>
  <si>
    <t>KHI/HO/D/MO/PC COMP/C/99821/338/10/2024</t>
  </si>
  <si>
    <t>KHI/HO/D/MO/PC COMP/C/99821/339/10/2024</t>
  </si>
  <si>
    <t>KHI/HO/D/MO/PC COMP/C/99821/245/10/2024</t>
  </si>
  <si>
    <t>KHI/HO/D/MO/PC COMP/C/99821/247/10/2024</t>
  </si>
  <si>
    <t>KHI/HO/D/MO/PC COMP/C/99821/342/10/2024</t>
  </si>
  <si>
    <t>KHI/HO/D/MO/PC COMP/C/99821/343/10/2024</t>
  </si>
  <si>
    <t>KHI/HO/D/MO/PC COMP/C/99821/344/10/2024</t>
  </si>
  <si>
    <t>KHI/HO/D/MO/PC COMP/C/99821/248/10/2024</t>
  </si>
  <si>
    <t>KHI/HO/D/MO/PC COMP/C/99821/251/10/2024</t>
  </si>
  <si>
    <t>KHI/HO/D/MO/PC COMP/C/99821/252/10/2024</t>
  </si>
  <si>
    <t>KHI/HO/D/MO/PC COMP/C/99821/253/10/2024</t>
  </si>
  <si>
    <t>KHI/HO/D/MO/PC COMP/C/99821/254/10/2024</t>
  </si>
  <si>
    <t>KHI/HO/D/MO/PC COMP/C/99821/255/10/2024</t>
  </si>
  <si>
    <t>KHI/HO/D/MO/PC COMP/C/99821/256/10/2024</t>
  </si>
  <si>
    <t>KHI/HO/D/MO/PC COMP/C/99821/257/10/2024</t>
  </si>
  <si>
    <t>KHI/HO/D/MO/PC COMP/C/99821/258/10/2024</t>
  </si>
  <si>
    <t>KHI/HO/D/MO/PC COMP/C/99821/259/10/2024</t>
  </si>
  <si>
    <t>KHI/HO/D/MO/PC COMP/C/99821/356/10/2024</t>
  </si>
  <si>
    <t>KHI/HO/D/MO/PC COMP/C/99821/262/10/2024</t>
  </si>
  <si>
    <t>KHI/HO/D/MO/PC COMP/C/99821/263/10/2024</t>
  </si>
  <si>
    <t>KHI/HO/D/MO/PC COMP/C/99821/359/10/2024</t>
  </si>
  <si>
    <t>KHI/HO/D/MO/PC COMP/C/99821/360/10/2024</t>
  </si>
  <si>
    <t>KHI/HO/D/MO/PC COMP/C/99821/361/10/2024</t>
  </si>
  <si>
    <t>KHI/HO/D/MO/PC COMP/C/99821/362/10/2024</t>
  </si>
  <si>
    <t>KHI/HO/D/MO/PC COMP/C/99821/265/10/2024</t>
  </si>
  <si>
    <t>KHI/HO/D/MO/PC COMP/C/99821/364/10/2024</t>
  </si>
  <si>
    <t>KHI/HO/D/MO/PC COMP/C/99821/363/10/2024</t>
  </si>
  <si>
    <t>KHI/HO/D/MO/PC COMP/C/99821/266/10/2024</t>
  </si>
  <si>
    <t>KHI/HO/D/MO/PC COMP/C/99821/358/10/2024</t>
  </si>
  <si>
    <t>KHI/HO/D/MO/PC COMP/C/99821/267/10/2024</t>
  </si>
  <si>
    <t>KHI/HO/D/MO/PC COMP/C/99821/357/10/2024</t>
  </si>
  <si>
    <t>KHI/HO/D/MO/PC COMP/C/99821/355/10/2024</t>
  </si>
  <si>
    <t>KHI/HO/D/MO/PC COMP/C/99821/268/10/2024</t>
  </si>
  <si>
    <t>KHI/HO/D/MO/PC COMP/C/99821/270/10/2024</t>
  </si>
  <si>
    <t>KHI/HO/D/MO/PC COMP/C/99821/271/10/2024</t>
  </si>
  <si>
    <t>KHI/HO/D/MO/PC COMP/C/99821/273/10/2024</t>
  </si>
  <si>
    <t>KHI/HO/D/MO/PC COMP/C/99821/354/10/2024</t>
  </si>
  <si>
    <t>KHI/HO/D/MO/PC COMP/C/99821/274/10/2024</t>
  </si>
  <si>
    <t>KHI/HO/D/MO/PC COMP/C/99821/275/10/2024</t>
  </si>
  <si>
    <t>KHI/HO/D/MO/PC COMP/C/99821/276/10/2024</t>
  </si>
  <si>
    <t>KHI/HO/D/MO/PC COMP/C/99821/353/10/2024</t>
  </si>
  <si>
    <t>KHI/HO/D/MO/PC COMP/C/99821/285/10/2024</t>
  </si>
  <si>
    <t>KHI/HO/D/MO/PC COMP/C/99821/352/10/2024</t>
  </si>
  <si>
    <t>KHI/HO/D/MO/PC COMP/C/99821/286/10/2024</t>
  </si>
  <si>
    <t>KHI/HO/D/MO/PC COMP/C/99821/287/10/2024</t>
  </si>
  <si>
    <t>KHI/HO/D/MO/PC COMP/C/99821/288/10/2024</t>
  </si>
  <si>
    <t>KHI/HO/D/MO/PC COMP/C/99821/293/10/2024</t>
  </si>
  <si>
    <t>KHI/HO/D/MO/PC COMP/C/99821/351/10/2024</t>
  </si>
  <si>
    <t>KHI/HO/D/MO/PC COMP/C/99821/294/10/2024</t>
  </si>
  <si>
    <t>KHI/HO/D/MO/PC COMP/C/99821/350/10/2024</t>
  </si>
  <si>
    <t>KHI/HO/D/MO/PC COMP/C/99821/349/10/2024</t>
  </si>
  <si>
    <t>KHI/HO/D/MO/PC COMP/C/99821/295/10/2024</t>
  </si>
  <si>
    <t>KHI/HO/D/MO/PC COMP/C/99821/296/10/2024</t>
  </si>
  <si>
    <t>KHI/HO/D/MO/PC COMP/C/99821/297/10/2024</t>
  </si>
  <si>
    <t>KHI/HO/D/MO/PC COMP/C/99821/348/10/2024</t>
  </si>
  <si>
    <t>KHI/HO/D/MO/PC COMP/C/99821/347/10/2024</t>
  </si>
  <si>
    <t>KHI/HO/D/MO/PC COMP/C/99821/346/10/2024</t>
  </si>
  <si>
    <t>KHI/HO/D/MO/PC COMP/C/99821/301/10/2024</t>
  </si>
  <si>
    <t>KHI/HO/D/MO/PC COMP/C/99821/341/10/2024</t>
  </si>
  <si>
    <t>KHI/HO/D/MO/PC COMP/C/99821/340/10/2024</t>
  </si>
  <si>
    <t>KHI/HO/D/MO/PC COMP/C/99821/305/10/2024</t>
  </si>
  <si>
    <t>KHI/HO/D/MO/PC COMP/C/99821/336/10/2024</t>
  </si>
  <si>
    <t>KHI/HO/D/MO/PC COMP/C/99821/335/10/2024</t>
  </si>
  <si>
    <t>KHI/HO/D/MO/PC COMP/C/99821/309/10/2024</t>
  </si>
  <si>
    <t>KHI/HO/D/MO/PC COMP/C/99821/311/10/2024</t>
  </si>
  <si>
    <t>KHI/HO/D/MO/PC COMP/C/99821/312/10/2024</t>
  </si>
  <si>
    <t>KHI/HO/D/MO/PC COMP/C/99821/313/10/2024</t>
  </si>
  <si>
    <t>KHI/HO/D/MO/PC COMP/C/99821/334/10/2024</t>
  </si>
  <si>
    <t>KHI/HO/D/MO/PC COMP/C/99821/314/10/2024</t>
  </si>
  <si>
    <t>KHI/HO/D/MO/PC COMP/C/99821/315/10/2024</t>
  </si>
  <si>
    <t>KHI/HO/D/MO/PC COMP/C/99821/333/10/2024</t>
  </si>
  <si>
    <t>KHI/HO/D/MO/PC COMP/C/99821/331/10/2024</t>
  </si>
  <si>
    <t>KHI/HO/D/MO/PC COMP/C/99821/316/10/2024</t>
  </si>
  <si>
    <t>KHI/HO/D/MO/PC COMP/C/99821/317/10/2024</t>
  </si>
  <si>
    <t>KHI/HO/D/MO/PC COMP/C/99821/318/10/2024</t>
  </si>
  <si>
    <t>KHI/HO/D/MO/PC COMP/C/99821/320/10/2024</t>
  </si>
  <si>
    <t>KHI/HO/D/MO/PC COMP/C/99821/321/10/2024</t>
  </si>
  <si>
    <t>KHI/HO/D/MO/PC COMP/C/99821/322/10/2024</t>
  </si>
  <si>
    <t>KHI/HO/D/MO/PC COMP/C/99821/329/10/2024</t>
  </si>
  <si>
    <t>KHI/HO/D/MO/PC COMP/C/99821/323/10/2024</t>
  </si>
  <si>
    <t>KHI/HO/D/MO/PC COMP/C/99821/327/10/2024</t>
  </si>
  <si>
    <t>Match</t>
  </si>
  <si>
    <t>KHI/HO/D/MO/PC COMP/C/99821/26/10/2024</t>
  </si>
  <si>
    <t>KHI/HO/D/MO/PC COMP/C/99821/185/10/2024</t>
  </si>
  <si>
    <t>KHI/HO/D/MO/PC COMP/C/99821/197/10/2024</t>
  </si>
  <si>
    <t>KHI/HO/D/MO/PC COMP/C/99821/277/10/2024</t>
  </si>
  <si>
    <t>KHI/HO/D/MO/PC COMP/C/99821/345/10/2024</t>
  </si>
  <si>
    <t>KHI/HO/D/MO/PC COMP/C/99821/157/10/2024</t>
  </si>
  <si>
    <t>KHI/HO/D/MO/PC COMP/C/99821/31/10/2024</t>
  </si>
  <si>
    <t>KHI/HO/D/MO/PC COMP/C/97805/167/09/2024</t>
  </si>
  <si>
    <t>KHI/HO/D/MO/PC COMP/C/99821/119/10/2024</t>
  </si>
  <si>
    <t>KHI/HO/D/MO/PC COMP/C/99821/220/10/2024</t>
  </si>
  <si>
    <t>KHI/HO/D/MO/PC COMP/C/99821/232/10/2024</t>
  </si>
  <si>
    <t>-10-2024</t>
  </si>
  <si>
    <t>-09-2024</t>
  </si>
  <si>
    <t>00002</t>
  </si>
  <si>
    <t>00005</t>
  </si>
  <si>
    <t>00006</t>
  </si>
  <si>
    <t>00007</t>
  </si>
  <si>
    <t>00008</t>
  </si>
  <si>
    <t>00009</t>
  </si>
  <si>
    <t>00010</t>
  </si>
  <si>
    <t>00011</t>
  </si>
  <si>
    <t>00012</t>
  </si>
  <si>
    <t>00013</t>
  </si>
  <si>
    <t>00014</t>
  </si>
  <si>
    <t>00015</t>
  </si>
  <si>
    <t>00017</t>
  </si>
  <si>
    <t>00018</t>
  </si>
  <si>
    <t>00032</t>
  </si>
  <si>
    <t>00033</t>
  </si>
  <si>
    <t>00001</t>
  </si>
  <si>
    <t>00034</t>
  </si>
  <si>
    <t>00035</t>
  </si>
  <si>
    <t>00037</t>
  </si>
  <si>
    <t>00039</t>
  </si>
  <si>
    <t>00041</t>
  </si>
  <si>
    <t>00042</t>
  </si>
  <si>
    <t>00043</t>
  </si>
  <si>
    <t>00044</t>
  </si>
  <si>
    <t>00045</t>
  </si>
  <si>
    <t>00046</t>
  </si>
  <si>
    <t>00047</t>
  </si>
  <si>
    <t>00048</t>
  </si>
  <si>
    <t>00049</t>
  </si>
  <si>
    <t>00052</t>
  </si>
  <si>
    <t>00054</t>
  </si>
  <si>
    <t>00059</t>
  </si>
  <si>
    <t>00062</t>
  </si>
  <si>
    <t>00063</t>
  </si>
  <si>
    <t>00065</t>
  </si>
  <si>
    <t>00066</t>
  </si>
  <si>
    <t>00067</t>
  </si>
  <si>
    <t>00072</t>
  </si>
  <si>
    <t>00080</t>
  </si>
  <si>
    <t>00082</t>
  </si>
  <si>
    <t>00083</t>
  </si>
  <si>
    <t>00086</t>
  </si>
  <si>
    <t>00094</t>
  </si>
  <si>
    <t>00096</t>
  </si>
  <si>
    <t>00097</t>
  </si>
  <si>
    <t>00098</t>
  </si>
  <si>
    <t>00099</t>
  </si>
  <si>
    <t>00103</t>
  </si>
  <si>
    <t>00108</t>
  </si>
  <si>
    <t>00109</t>
  </si>
  <si>
    <t>00110</t>
  </si>
  <si>
    <t>00111</t>
  </si>
  <si>
    <t>00112</t>
  </si>
  <si>
    <t>00113</t>
  </si>
  <si>
    <t>00114</t>
  </si>
  <si>
    <t>00117</t>
  </si>
  <si>
    <t>00120</t>
  </si>
  <si>
    <t>00122</t>
  </si>
  <si>
    <t>00124</t>
  </si>
  <si>
    <t>00155</t>
  </si>
  <si>
    <t>00226</t>
  </si>
  <si>
    <t>00292</t>
  </si>
  <si>
    <t>00314</t>
  </si>
  <si>
    <t>00058</t>
  </si>
  <si>
    <t>00057</t>
  </si>
  <si>
    <t>00004</t>
  </si>
  <si>
    <t>00137</t>
  </si>
  <si>
    <t>00138</t>
  </si>
  <si>
    <t>00139</t>
  </si>
  <si>
    <t>00141</t>
  </si>
  <si>
    <t>00142</t>
  </si>
  <si>
    <t>00143</t>
  </si>
  <si>
    <t>00144</t>
  </si>
  <si>
    <t>00145</t>
  </si>
  <si>
    <t>00148</t>
  </si>
  <si>
    <t>00149</t>
  </si>
  <si>
    <t>00150</t>
  </si>
  <si>
    <t>00151</t>
  </si>
  <si>
    <t>00153</t>
  </si>
  <si>
    <t>00016</t>
  </si>
  <si>
    <t>00019</t>
  </si>
  <si>
    <t>00022</t>
  </si>
  <si>
    <t>00023</t>
  </si>
  <si>
    <t>00024</t>
  </si>
  <si>
    <t>00025</t>
  </si>
  <si>
    <t>00161</t>
  </si>
  <si>
    <t>00027</t>
  </si>
  <si>
    <t>00162</t>
  </si>
  <si>
    <t>00028</t>
  </si>
  <si>
    <t>00164</t>
  </si>
  <si>
    <t>00165</t>
  </si>
  <si>
    <t>00029</t>
  </si>
  <si>
    <t>00030</t>
  </si>
  <si>
    <t>00036</t>
  </si>
  <si>
    <t>00038</t>
  </si>
  <si>
    <t>00169</t>
  </si>
  <si>
    <t>00170</t>
  </si>
  <si>
    <t>00040</t>
  </si>
  <si>
    <t>00053</t>
  </si>
  <si>
    <t>00055</t>
  </si>
  <si>
    <t>00173</t>
  </si>
  <si>
    <t>00056</t>
  </si>
  <si>
    <t>00060</t>
  </si>
  <si>
    <t>00061</t>
  </si>
  <si>
    <t>00064</t>
  </si>
  <si>
    <t>00068</t>
  </si>
  <si>
    <t>00181</t>
  </si>
  <si>
    <t>00069</t>
  </si>
  <si>
    <t>00184</t>
  </si>
  <si>
    <t>00070</t>
  </si>
  <si>
    <t>00186</t>
  </si>
  <si>
    <t>00187</t>
  </si>
  <si>
    <t>00188</t>
  </si>
  <si>
    <t>00189</t>
  </si>
  <si>
    <t>00071</t>
  </si>
  <si>
    <t>00073</t>
  </si>
  <si>
    <t>00190</t>
  </si>
  <si>
    <t>00191</t>
  </si>
  <si>
    <t>00074</t>
  </si>
  <si>
    <t>00075</t>
  </si>
  <si>
    <t>00076</t>
  </si>
  <si>
    <t>00077</t>
  </si>
  <si>
    <t>00078</t>
  </si>
  <si>
    <t>00079</t>
  </si>
  <si>
    <t>00081</t>
  </si>
  <si>
    <t>00084</t>
  </si>
  <si>
    <t>00085</t>
  </si>
  <si>
    <t>00087</t>
  </si>
  <si>
    <t>00088</t>
  </si>
  <si>
    <t>00200</t>
  </si>
  <si>
    <t>00201</t>
  </si>
  <si>
    <t>00202</t>
  </si>
  <si>
    <t>00090</t>
  </si>
  <si>
    <t>00092</t>
  </si>
  <si>
    <t>00205</t>
  </si>
  <si>
    <t>00100</t>
  </si>
  <si>
    <t>00101</t>
  </si>
  <si>
    <t>00209</t>
  </si>
  <si>
    <t>00210</t>
  </si>
  <si>
    <t>00365</t>
  </si>
  <si>
    <t>00104</t>
  </si>
  <si>
    <t>00105</t>
  </si>
  <si>
    <t>00106</t>
  </si>
  <si>
    <t>00107</t>
  </si>
  <si>
    <t>00115</t>
  </si>
  <si>
    <t>00116</t>
  </si>
  <si>
    <t>00118</t>
  </si>
  <si>
    <t>00121</t>
  </si>
  <si>
    <t>00123</t>
  </si>
  <si>
    <t>00126</t>
  </si>
  <si>
    <t>00127</t>
  </si>
  <si>
    <t>00128</t>
  </si>
  <si>
    <t>00130</t>
  </si>
  <si>
    <t>00131</t>
  </si>
  <si>
    <t>00132</t>
  </si>
  <si>
    <t>00224</t>
  </si>
  <si>
    <t>00133</t>
  </si>
  <si>
    <t>00228</t>
  </si>
  <si>
    <t>00135</t>
  </si>
  <si>
    <t>00136</t>
  </si>
  <si>
    <t>00140</t>
  </si>
  <si>
    <t>00146</t>
  </si>
  <si>
    <t>00234</t>
  </si>
  <si>
    <t>00235</t>
  </si>
  <si>
    <t>00236</t>
  </si>
  <si>
    <t>00237</t>
  </si>
  <si>
    <t>00240</t>
  </si>
  <si>
    <t>00156</t>
  </si>
  <si>
    <t>00158</t>
  </si>
  <si>
    <t>00243</t>
  </si>
  <si>
    <t>00244</t>
  </si>
  <si>
    <t>00160</t>
  </si>
  <si>
    <t>00246</t>
  </si>
  <si>
    <t>00249</t>
  </si>
  <si>
    <t>00250</t>
  </si>
  <si>
    <t>00163</t>
  </si>
  <si>
    <t>00166</t>
  </si>
  <si>
    <t>00167</t>
  </si>
  <si>
    <t>00168</t>
  </si>
  <si>
    <t>00171</t>
  </si>
  <si>
    <t>00172</t>
  </si>
  <si>
    <t>00175</t>
  </si>
  <si>
    <t>00260</t>
  </si>
  <si>
    <t>00261</t>
  </si>
  <si>
    <t>00177</t>
  </si>
  <si>
    <t>00178</t>
  </si>
  <si>
    <t>00179</t>
  </si>
  <si>
    <t>00180</t>
  </si>
  <si>
    <t>00182</t>
  </si>
  <si>
    <t>00269</t>
  </si>
  <si>
    <t>00272</t>
  </si>
  <si>
    <t>00192</t>
  </si>
  <si>
    <t>00193</t>
  </si>
  <si>
    <t>00194</t>
  </si>
  <si>
    <t>00278</t>
  </si>
  <si>
    <t>00279</t>
  </si>
  <si>
    <t>00280</t>
  </si>
  <si>
    <t>00281</t>
  </si>
  <si>
    <t>00282</t>
  </si>
  <si>
    <t>00283</t>
  </si>
  <si>
    <t>00284</t>
  </si>
  <si>
    <t>00195</t>
  </si>
  <si>
    <t>00198</t>
  </si>
  <si>
    <t>00289</t>
  </si>
  <si>
    <t>00290</t>
  </si>
  <si>
    <t>00199</t>
  </si>
  <si>
    <t>00203</t>
  </si>
  <si>
    <t>00204</t>
  </si>
  <si>
    <t>00206</t>
  </si>
  <si>
    <t>00207</t>
  </si>
  <si>
    <t>00208</t>
  </si>
  <si>
    <t>00211</t>
  </si>
  <si>
    <t>00298</t>
  </si>
  <si>
    <t>00213</t>
  </si>
  <si>
    <t>00299</t>
  </si>
  <si>
    <t>00300</t>
  </si>
  <si>
    <t>00302</t>
  </si>
  <si>
    <t>00303</t>
  </si>
  <si>
    <t>00304</t>
  </si>
  <si>
    <t>00214</t>
  </si>
  <si>
    <t>00306</t>
  </si>
  <si>
    <t>00307</t>
  </si>
  <si>
    <t>00308</t>
  </si>
  <si>
    <t>00216</t>
  </si>
  <si>
    <t>00310</t>
  </si>
  <si>
    <t>00217</t>
  </si>
  <si>
    <t>00218</t>
  </si>
  <si>
    <t>00219</t>
  </si>
  <si>
    <t>00221</t>
  </si>
  <si>
    <t>00222</t>
  </si>
  <si>
    <t>00223</t>
  </si>
  <si>
    <t>00319</t>
  </si>
  <si>
    <t>00225</t>
  </si>
  <si>
    <t>00227</t>
  </si>
  <si>
    <t>00229</t>
  </si>
  <si>
    <t>00324</t>
  </si>
  <si>
    <t>00325</t>
  </si>
  <si>
    <t>00326</t>
  </si>
  <si>
    <t>00230</t>
  </si>
  <si>
    <t>00328</t>
  </si>
  <si>
    <t>00231</t>
  </si>
  <si>
    <t>00330</t>
  </si>
  <si>
    <t>00233</t>
  </si>
  <si>
    <t>00238</t>
  </si>
  <si>
    <t>00239</t>
  </si>
  <si>
    <t>00241</t>
  </si>
  <si>
    <t>00242</t>
  </si>
  <si>
    <t>00337</t>
  </si>
  <si>
    <t>00338</t>
  </si>
  <si>
    <t>00339</t>
  </si>
  <si>
    <t>00245</t>
  </si>
  <si>
    <t>00247</t>
  </si>
  <si>
    <t>00342</t>
  </si>
  <si>
    <t>00343</t>
  </si>
  <si>
    <t>00344</t>
  </si>
  <si>
    <t>00248</t>
  </si>
  <si>
    <t>00251</t>
  </si>
  <si>
    <t>00252</t>
  </si>
  <si>
    <t>00253</t>
  </si>
  <si>
    <t>00254</t>
  </si>
  <si>
    <t>00255</t>
  </si>
  <si>
    <t>00256</t>
  </si>
  <si>
    <t>00257</t>
  </si>
  <si>
    <t>00258</t>
  </si>
  <si>
    <t>00259</t>
  </si>
  <si>
    <t>00356</t>
  </si>
  <si>
    <t>00262</t>
  </si>
  <si>
    <t>00263</t>
  </si>
  <si>
    <t>00359</t>
  </si>
  <si>
    <t>00360</t>
  </si>
  <si>
    <t>00361</t>
  </si>
  <si>
    <t>00362</t>
  </si>
  <si>
    <t>00265</t>
  </si>
  <si>
    <t>00364</t>
  </si>
  <si>
    <t>00363</t>
  </si>
  <si>
    <t>00266</t>
  </si>
  <si>
    <t>00358</t>
  </si>
  <si>
    <t>00267</t>
  </si>
  <si>
    <t>00357</t>
  </si>
  <si>
    <t>00355</t>
  </si>
  <si>
    <t>00268</t>
  </si>
  <si>
    <t>00270</t>
  </si>
  <si>
    <t>00271</t>
  </si>
  <si>
    <t>00273</t>
  </si>
  <si>
    <t>00354</t>
  </si>
  <si>
    <t>00274</t>
  </si>
  <si>
    <t>00275</t>
  </si>
  <si>
    <t>00276</t>
  </si>
  <si>
    <t>00353</t>
  </si>
  <si>
    <t>00285</t>
  </si>
  <si>
    <t>00352</t>
  </si>
  <si>
    <t>00286</t>
  </si>
  <si>
    <t>00287</t>
  </si>
  <si>
    <t>00288</t>
  </si>
  <si>
    <t>00293</t>
  </si>
  <si>
    <t>00351</t>
  </si>
  <si>
    <t>00294</t>
  </si>
  <si>
    <t>00350</t>
  </si>
  <si>
    <t>00349</t>
  </si>
  <si>
    <t>00295</t>
  </si>
  <si>
    <t>00296</t>
  </si>
  <si>
    <t>00297</t>
  </si>
  <si>
    <t>00348</t>
  </si>
  <si>
    <t>00347</t>
  </si>
  <si>
    <t>00346</t>
  </si>
  <si>
    <t>00301</t>
  </si>
  <si>
    <t>00341</t>
  </si>
  <si>
    <t>00340</t>
  </si>
  <si>
    <t>00305</t>
  </si>
  <si>
    <t>00336</t>
  </si>
  <si>
    <t>00335</t>
  </si>
  <si>
    <t>00309</t>
  </si>
  <si>
    <t>00311</t>
  </si>
  <si>
    <t>00312</t>
  </si>
  <si>
    <t>00313</t>
  </si>
  <si>
    <t>00334</t>
  </si>
  <si>
    <t>00315</t>
  </si>
  <si>
    <t>00333</t>
  </si>
  <si>
    <t>00331</t>
  </si>
  <si>
    <t>00316</t>
  </si>
  <si>
    <t>00317</t>
  </si>
  <si>
    <t>00318</t>
  </si>
  <si>
    <t>00320</t>
  </si>
  <si>
    <t>00321</t>
  </si>
  <si>
    <t>00322</t>
  </si>
  <si>
    <t>00329</t>
  </si>
  <si>
    <t>00323</t>
  </si>
  <si>
    <t>00327</t>
  </si>
  <si>
    <t xml:space="preserve">   </t>
  </si>
  <si>
    <t>FUNC_ASSORTED_STRING(IA.ASSORTED_CODE)</t>
  </si>
  <si>
    <t>ASSORTED_CODE</t>
  </si>
  <si>
    <t>070000168273</t>
  </si>
  <si>
    <t>070000168277</t>
  </si>
  <si>
    <t>070000168281</t>
  </si>
  <si>
    <t>070000168284</t>
  </si>
  <si>
    <t>070000168307</t>
  </si>
  <si>
    <t>070000168040</t>
  </si>
  <si>
    <t>070000168043</t>
  </si>
  <si>
    <t>070000168114</t>
  </si>
  <si>
    <t>070000168148</t>
  </si>
  <si>
    <t>070000168341</t>
  </si>
  <si>
    <t>070000168098</t>
  </si>
  <si>
    <t>070000168099</t>
  </si>
  <si>
    <t>070000168100</t>
  </si>
  <si>
    <t>070000168102</t>
  </si>
  <si>
    <t>070000168103</t>
  </si>
  <si>
    <t>070000168104</t>
  </si>
  <si>
    <t>070000168106</t>
  </si>
  <si>
    <t>070000168108</t>
  </si>
  <si>
    <t>070000168109</t>
  </si>
  <si>
    <t>070000168111</t>
  </si>
  <si>
    <t>070000168112</t>
  </si>
  <si>
    <t>070000168113</t>
  </si>
  <si>
    <t>070000168115</t>
  </si>
  <si>
    <t>070000168116</t>
  </si>
  <si>
    <t>070000168117</t>
  </si>
  <si>
    <t>070000168119</t>
  </si>
  <si>
    <t>070000168120</t>
  </si>
  <si>
    <t>070000168122</t>
  </si>
  <si>
    <t>070000168125</t>
  </si>
  <si>
    <t>070000168126</t>
  </si>
  <si>
    <t>070000168127</t>
  </si>
  <si>
    <t>070000168129</t>
  </si>
  <si>
    <t>070000168131</t>
  </si>
  <si>
    <t>070000168132</t>
  </si>
  <si>
    <t>070000168136</t>
  </si>
  <si>
    <t>070000168138</t>
  </si>
  <si>
    <t>070000168139</t>
  </si>
  <si>
    <t>070000168140</t>
  </si>
  <si>
    <t>070000168142</t>
  </si>
  <si>
    <t>070000168143</t>
  </si>
  <si>
    <t>070000168144</t>
  </si>
  <si>
    <t>070000168146</t>
  </si>
  <si>
    <t>070000168147</t>
  </si>
  <si>
    <t>070000168149</t>
  </si>
  <si>
    <t>070000168124</t>
  </si>
  <si>
    <t>070000168151</t>
  </si>
  <si>
    <t>070000168153</t>
  </si>
  <si>
    <t>070000168154</t>
  </si>
  <si>
    <t>070000168155</t>
  </si>
  <si>
    <t>070000168156</t>
  </si>
  <si>
    <t>070000168157</t>
  </si>
  <si>
    <t>070000168158</t>
  </si>
  <si>
    <t>070000168162</t>
  </si>
  <si>
    <t>070000168164</t>
  </si>
  <si>
    <t>070000168165</t>
  </si>
  <si>
    <t>070000168166</t>
  </si>
  <si>
    <t>070000168168</t>
  </si>
  <si>
    <t>070000168169</t>
  </si>
  <si>
    <t>070000168170</t>
  </si>
  <si>
    <t>070000168175</t>
  </si>
  <si>
    <t>070000168176</t>
  </si>
  <si>
    <t>070000167985</t>
  </si>
  <si>
    <t>070000167989</t>
  </si>
  <si>
    <t>070000168177</t>
  </si>
  <si>
    <t>070000168178</t>
  </si>
  <si>
    <t>070000168179</t>
  </si>
  <si>
    <t>070000168180</t>
  </si>
  <si>
    <t>070000168181</t>
  </si>
  <si>
    <t>070000168182</t>
  </si>
  <si>
    <t>070000168183</t>
  </si>
  <si>
    <t>070000168184</t>
  </si>
  <si>
    <t>070000168185</t>
  </si>
  <si>
    <t>070000168187</t>
  </si>
  <si>
    <t>070000168190</t>
  </si>
  <si>
    <t>070000168192</t>
  </si>
  <si>
    <t>070000168194</t>
  </si>
  <si>
    <t>070000168195</t>
  </si>
  <si>
    <t>070000168198</t>
  </si>
  <si>
    <t>070000168199</t>
  </si>
  <si>
    <t>070000168201</t>
  </si>
  <si>
    <t>070000168202</t>
  </si>
  <si>
    <t>070000168203</t>
  </si>
  <si>
    <t>070000168204</t>
  </si>
  <si>
    <t>070000168205</t>
  </si>
  <si>
    <t>070000168206</t>
  </si>
  <si>
    <t>070000168207</t>
  </si>
  <si>
    <t>070000168209</t>
  </si>
  <si>
    <t>070000168210</t>
  </si>
  <si>
    <t>070000168212</t>
  </si>
  <si>
    <t>070000168213</t>
  </si>
  <si>
    <t>070000168215</t>
  </si>
  <si>
    <t>070000168216</t>
  </si>
  <si>
    <t>070000168217</t>
  </si>
  <si>
    <t>070000168219</t>
  </si>
  <si>
    <t>070000168220</t>
  </si>
  <si>
    <t>070000168221</t>
  </si>
  <si>
    <t>070000168223</t>
  </si>
  <si>
    <t>070000168224</t>
  </si>
  <si>
    <t>070000168226</t>
  </si>
  <si>
    <t>070000168227</t>
  </si>
  <si>
    <t>070000168241</t>
  </si>
  <si>
    <t>070000168242</t>
  </si>
  <si>
    <t>070000168243</t>
  </si>
  <si>
    <t>070000168244</t>
  </si>
  <si>
    <t>070000168246</t>
  </si>
  <si>
    <t>070000168247</t>
  </si>
  <si>
    <t>070000168248</t>
  </si>
  <si>
    <t>070000168250</t>
  </si>
  <si>
    <t>070000168251</t>
  </si>
  <si>
    <t>070000168252</t>
  </si>
  <si>
    <t>070000168254</t>
  </si>
  <si>
    <t>070000168255</t>
  </si>
  <si>
    <t>070000168257</t>
  </si>
  <si>
    <t>070000168258</t>
  </si>
  <si>
    <t>070000168259</t>
  </si>
  <si>
    <t>070000168228</t>
  </si>
  <si>
    <t>070000168229</t>
  </si>
  <si>
    <t>070000168230</t>
  </si>
  <si>
    <t>070000168231</t>
  </si>
  <si>
    <t>070000168232</t>
  </si>
  <si>
    <t>070000168233</t>
  </si>
  <si>
    <t>070000168235</t>
  </si>
  <si>
    <t>070000168236</t>
  </si>
  <si>
    <t>070000168237</t>
  </si>
  <si>
    <t>070000168239</t>
  </si>
  <si>
    <t>070000168261</t>
  </si>
  <si>
    <t>070000168262</t>
  </si>
  <si>
    <t>070000168263</t>
  </si>
  <si>
    <t>070000168264</t>
  </si>
  <si>
    <t>070000168265</t>
  </si>
  <si>
    <t>070000168266</t>
  </si>
  <si>
    <t>070000168268</t>
  </si>
  <si>
    <t>070000168269</t>
  </si>
  <si>
    <t>070000168271</t>
  </si>
  <si>
    <t>070000168272</t>
  </si>
  <si>
    <t>070000168274</t>
  </si>
  <si>
    <t>070000168275</t>
  </si>
  <si>
    <t>070000168276</t>
  </si>
  <si>
    <t>070000168278</t>
  </si>
  <si>
    <t>070000168279</t>
  </si>
  <si>
    <t>070000168280</t>
  </si>
  <si>
    <t>070000168282</t>
  </si>
  <si>
    <t>070000168283</t>
  </si>
  <si>
    <t>070000168285</t>
  </si>
  <si>
    <t>070000168286</t>
  </si>
  <si>
    <t>070000168287</t>
  </si>
  <si>
    <t>070000168288</t>
  </si>
  <si>
    <t>070000168289</t>
  </si>
  <si>
    <t>070000168290</t>
  </si>
  <si>
    <t>070000168291</t>
  </si>
  <si>
    <t>070000168292</t>
  </si>
  <si>
    <t>070000168293</t>
  </si>
  <si>
    <t>070000168294</t>
  </si>
  <si>
    <t>070000168295</t>
  </si>
  <si>
    <t>070000168297</t>
  </si>
  <si>
    <t>070000168298</t>
  </si>
  <si>
    <t>070000168299</t>
  </si>
  <si>
    <t>070000168301</t>
  </si>
  <si>
    <t>070000168302</t>
  </si>
  <si>
    <t>070000168304</t>
  </si>
  <si>
    <t>070000168305</t>
  </si>
  <si>
    <t>070000168306</t>
  </si>
  <si>
    <t>070000168309</t>
  </si>
  <si>
    <t>070000168336</t>
  </si>
  <si>
    <t>070000168337</t>
  </si>
  <si>
    <t>070000168338</t>
  </si>
  <si>
    <t>070000168339</t>
  </si>
  <si>
    <t>070000168340</t>
  </si>
  <si>
    <t>070000168310</t>
  </si>
  <si>
    <t>070000168311</t>
  </si>
  <si>
    <t>070000168312</t>
  </si>
  <si>
    <t>070000168313</t>
  </si>
  <si>
    <t>070000168314</t>
  </si>
  <si>
    <t>070000168315</t>
  </si>
  <si>
    <t>070000168316</t>
  </si>
  <si>
    <t>070000168317</t>
  </si>
  <si>
    <t>070000168318</t>
  </si>
  <si>
    <t>070000168320</t>
  </si>
  <si>
    <t>070000168323</t>
  </si>
  <si>
    <t>070000168324</t>
  </si>
  <si>
    <t>070000168325</t>
  </si>
  <si>
    <t>070000168327</t>
  </si>
  <si>
    <t>070000168328</t>
  </si>
  <si>
    <t>070000168329</t>
  </si>
  <si>
    <t>070000168331</t>
  </si>
  <si>
    <t>070000168332</t>
  </si>
  <si>
    <t>070000168334</t>
  </si>
  <si>
    <t>070000168335</t>
  </si>
  <si>
    <t>070000167978</t>
  </si>
  <si>
    <t>070000167980</t>
  </si>
  <si>
    <t>070000167981</t>
  </si>
  <si>
    <t>070000167982</t>
  </si>
  <si>
    <t>070000167983</t>
  </si>
  <si>
    <t>070000167984</t>
  </si>
  <si>
    <t>070000167986</t>
  </si>
  <si>
    <t>070000167987</t>
  </si>
  <si>
    <t>070000167988</t>
  </si>
  <si>
    <t>070000167990</t>
  </si>
  <si>
    <t>070000167991</t>
  </si>
  <si>
    <t>070000167992</t>
  </si>
  <si>
    <t>070000167994</t>
  </si>
  <si>
    <t>070000167995</t>
  </si>
  <si>
    <t>070000167998</t>
  </si>
  <si>
    <t>070000167999</t>
  </si>
  <si>
    <t>070000168000</t>
  </si>
  <si>
    <t>070000168001</t>
  </si>
  <si>
    <t>070000168004</t>
  </si>
  <si>
    <t>070000168005</t>
  </si>
  <si>
    <t>070000168008</t>
  </si>
  <si>
    <t>070000168009</t>
  </si>
  <si>
    <t>070000168011</t>
  </si>
  <si>
    <t>070000168012</t>
  </si>
  <si>
    <t>070000168013</t>
  </si>
  <si>
    <t>070000168015</t>
  </si>
  <si>
    <t>070000168016</t>
  </si>
  <si>
    <t>070000168018</t>
  </si>
  <si>
    <t>070000168019</t>
  </si>
  <si>
    <t>070000168020</t>
  </si>
  <si>
    <t>070000168021</t>
  </si>
  <si>
    <t>070000168022</t>
  </si>
  <si>
    <t>070000168023</t>
  </si>
  <si>
    <t>070000168024</t>
  </si>
  <si>
    <t>070000168025</t>
  </si>
  <si>
    <t>070000168028</t>
  </si>
  <si>
    <t>070000168030</t>
  </si>
  <si>
    <t>070000168031</t>
  </si>
  <si>
    <t>070000168033</t>
  </si>
  <si>
    <t>070000168035</t>
  </si>
  <si>
    <t>070000168037</t>
  </si>
  <si>
    <t>070000168038</t>
  </si>
  <si>
    <t>070000168039</t>
  </si>
  <si>
    <t>070000168041</t>
  </si>
  <si>
    <t>070000168042</t>
  </si>
  <si>
    <t>070000168044</t>
  </si>
  <si>
    <t>070000168045</t>
  </si>
  <si>
    <t>070000168046</t>
  </si>
  <si>
    <t>070000168047</t>
  </si>
  <si>
    <t>070000168048</t>
  </si>
  <si>
    <t>070000168049</t>
  </si>
  <si>
    <t>070000168050</t>
  </si>
  <si>
    <t>070000168051</t>
  </si>
  <si>
    <t>070000168052</t>
  </si>
  <si>
    <t>070000168053</t>
  </si>
  <si>
    <t>070000168054</t>
  </si>
  <si>
    <t>070000168056</t>
  </si>
  <si>
    <t>070000168057</t>
  </si>
  <si>
    <t>070000168059</t>
  </si>
  <si>
    <t>070000168060</t>
  </si>
  <si>
    <t>070000168061</t>
  </si>
  <si>
    <t>070000168063</t>
  </si>
  <si>
    <t>070000168064</t>
  </si>
  <si>
    <t>070000168068</t>
  </si>
  <si>
    <t>070000168070</t>
  </si>
  <si>
    <t>070000168072</t>
  </si>
  <si>
    <t>070000168073</t>
  </si>
  <si>
    <t>070000168074</t>
  </si>
  <si>
    <t>070000168075</t>
  </si>
  <si>
    <t>070000168076</t>
  </si>
  <si>
    <t>070000168077</t>
  </si>
  <si>
    <t>070000168079</t>
  </si>
  <si>
    <t>070000168080</t>
  </si>
  <si>
    <t>070000168082</t>
  </si>
  <si>
    <t>070000168083</t>
  </si>
  <si>
    <t>070000168085</t>
  </si>
  <si>
    <t>070000168086</t>
  </si>
  <si>
    <t>070000168087</t>
  </si>
  <si>
    <t>070000168089</t>
  </si>
  <si>
    <t>070000168090</t>
  </si>
  <si>
    <t>070000168091</t>
  </si>
  <si>
    <t>070000168093</t>
  </si>
  <si>
    <t>070000168094</t>
  </si>
  <si>
    <t>070000168096</t>
  </si>
  <si>
    <t>070000168097</t>
  </si>
  <si>
    <t>070000168333</t>
  </si>
  <si>
    <t>070000168084</t>
  </si>
  <si>
    <t>070000168006</t>
  </si>
  <si>
    <t>070000168010</t>
  </si>
  <si>
    <t>070000168014</t>
  </si>
  <si>
    <t>070000168017</t>
  </si>
  <si>
    <t>070000168029</t>
  </si>
  <si>
    <t>070000168032</t>
  </si>
  <si>
    <t>070000168036</t>
  </si>
  <si>
    <t>070000168214</t>
  </si>
  <si>
    <t>070000168218</t>
  </si>
  <si>
    <t>070000168222</t>
  </si>
  <si>
    <t>070000168225</t>
  </si>
  <si>
    <t>070000168234</t>
  </si>
  <si>
    <t>070000168238</t>
  </si>
  <si>
    <t>070000168245</t>
  </si>
  <si>
    <t>070000168249</t>
  </si>
  <si>
    <t>070000168256</t>
  </si>
  <si>
    <t>070000168260</t>
  </si>
  <si>
    <t>070000168270</t>
  </si>
  <si>
    <t>070000168296</t>
  </si>
  <si>
    <t>070000168300</t>
  </si>
  <si>
    <t>070000168303</t>
  </si>
  <si>
    <t>070000168319</t>
  </si>
  <si>
    <t>070000168322</t>
  </si>
  <si>
    <t>070000168326</t>
  </si>
  <si>
    <t>070000168330</t>
  </si>
  <si>
    <t>070000165833</t>
  </si>
  <si>
    <t>070000165930</t>
  </si>
  <si>
    <t>070000165832</t>
  </si>
  <si>
    <t>070000166001</t>
  </si>
  <si>
    <t>070000166067</t>
  </si>
  <si>
    <t>070000166089</t>
  </si>
  <si>
    <t>070000167993</t>
  </si>
  <si>
    <t>070000168003</t>
  </si>
  <si>
    <t>070000168055</t>
  </si>
  <si>
    <t>070000168058</t>
  </si>
  <si>
    <t>070000168062</t>
  </si>
  <si>
    <t>070000168066</t>
  </si>
  <si>
    <t>070000168081</t>
  </si>
  <si>
    <t>070000168088</t>
  </si>
  <si>
    <t>070000168092</t>
  </si>
  <si>
    <t>070000168107</t>
  </si>
  <si>
    <t>070000168118</t>
  </si>
  <si>
    <t>070000168121</t>
  </si>
  <si>
    <t>070000168134</t>
  </si>
  <si>
    <t>070000168137</t>
  </si>
  <si>
    <t>070000168141</t>
  </si>
  <si>
    <t>070000168145</t>
  </si>
  <si>
    <t>070000168160</t>
  </si>
  <si>
    <t>070000168163</t>
  </si>
  <si>
    <t>070000168167</t>
  </si>
  <si>
    <t>070000168171</t>
  </si>
  <si>
    <t>070000168174</t>
  </si>
  <si>
    <t>070000168186</t>
  </si>
  <si>
    <t>070000167555</t>
  </si>
  <si>
    <t>070000168189</t>
  </si>
  <si>
    <t>070000168193</t>
  </si>
  <si>
    <t>070000168197</t>
  </si>
  <si>
    <t>070000168200</t>
  </si>
  <si>
    <t>070000168211</t>
  </si>
  <si>
    <t>POLICY NO.</t>
  </si>
  <si>
    <t>Assorted_code</t>
  </si>
  <si>
    <t>29Nov240034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</si>
</sst>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6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color theme="1"/>
      <name val="Segoe UI"/>
      <family val="2"/>
      <charset val="1"/>
    </font>
    <font>
      <sz val="11"/>
      <color theme="1"/>
      <name val="Aptos"/>
      <family val="2"/>
    </font>
    <font>
      <sz val="9"/>
      <color theme="1"/>
      <name val="Segoe U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/>
    <xf numFmtId="14" fontId="0" fillId="0" borderId="0" xfId="0" applyNumberFormat="1"/>
    <xf numFmtId="0" fontId="2" fillId="2" borderId="1" xfId="0" applyFont="1" applyFill="1" applyBorder="1"/>
    <xf numFmtId="0" fontId="2" fillId="2" borderId="2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0" borderId="1" xfId="0" applyBorder="1"/>
    <xf numFmtId="0" fontId="0" fillId="0" borderId="2" xfId="0" applyBorder="1"/>
    <xf numFmtId="0" fontId="2" fillId="2" borderId="3" xfId="0" applyFont="1" applyFill="1" applyBorder="1"/>
    <xf numFmtId="0" fontId="0" fillId="3" borderId="3" xfId="0" applyFill="1" applyBorder="1"/>
    <xf numFmtId="0" fontId="0" fillId="0" borderId="3" xfId="0" applyBorder="1"/>
    <xf numFmtId="14" fontId="0" fillId="3" borderId="2" xfId="0" applyNumberFormat="1" applyFill="1" applyBorder="1"/>
    <xf numFmtId="14" fontId="0" fillId="0" borderId="2" xfId="0" applyNumberFormat="1" applyBorder="1"/>
    <xf numFmtId="164" fontId="0" fillId="0" borderId="0" xfId="1" applyNumberFormat="1" applyFont="1"/>
    <xf numFmtId="164" fontId="3" fillId="4" borderId="4" xfId="1" applyNumberFormat="1" applyFont="1" applyFill="1" applyBorder="1"/>
    <xf numFmtId="0" fontId="4" fillId="0" borderId="0" xfId="0" applyFont="1" applyAlignment="1">
      <alignment vertical="top"/>
    </xf>
    <xf numFmtId="164" fontId="0" fillId="0" borderId="0" xfId="0" applyNumberFormat="1"/>
    <xf numFmtId="0" fontId="2" fillId="2" borderId="0" xfId="0" applyFont="1" applyFill="1"/>
    <xf numFmtId="0" fontId="0" fillId="3" borderId="2" xfId="0" applyFont="1" applyFill="1" applyBorder="1"/>
    <xf numFmtId="0" fontId="0" fillId="0" borderId="2" xfId="0" applyFont="1" applyBorder="1"/>
    <xf numFmtId="0" fontId="4" fillId="3" borderId="2" xfId="0" applyFont="1" applyFill="1" applyBorder="1" applyAlignment="1">
      <alignment vertical="top"/>
    </xf>
    <xf numFmtId="0" fontId="4" fillId="0" borderId="2" xfId="0" applyFont="1" applyBorder="1" applyAlignment="1">
      <alignment vertical="top"/>
    </xf>
    <xf numFmtId="0" fontId="5" fillId="0" borderId="0" xfId="0" applyFont="1"/>
    <xf numFmtId="0" fontId="3" fillId="0" borderId="4" xfId="0" applyFont="1" applyBorder="1" applyAlignment="1">
      <alignment horizontal="center"/>
    </xf>
    <xf numFmtId="0" fontId="3" fillId="0" borderId="4" xfId="0" applyFont="1" applyBorder="1"/>
    <xf numFmtId="0" fontId="6" fillId="0" borderId="0" xfId="0" applyFont="1"/>
    <xf numFmtId="0" fontId="0" fillId="0" borderId="0" xfId="0" applyAlignment="1">
      <alignment vertical="top"/>
    </xf>
    <xf numFmtId="166" fontId="7" fillId="0" borderId="0" xfId="1" applyNumberFormat="1" applyFont="1" applyAlignment="1">
      <alignment vertical="top"/>
    </xf>
    <xf numFmtId="0" fontId="0" fillId="4" borderId="0" xfId="0" applyFill="1" applyAlignment="1">
      <alignment vertical="top" wrapText="1"/>
    </xf>
    <xf numFmtId="0" fontId="0" fillId="4" borderId="0" xfId="0" applyFill="1" applyAlignment="1">
      <alignment horizontal="left" vertical="top" wrapText="1"/>
    </xf>
    <xf numFmtId="0" fontId="0" fillId="4" borderId="0" xfId="0" applyFill="1" applyAlignment="1">
      <alignment wrapText="1"/>
    </xf>
    <xf numFmtId="164" fontId="0" fillId="3" borderId="2" xfId="1" applyNumberFormat="1" applyFont="1" applyFill="1" applyBorder="1"/>
    <xf numFmtId="164" fontId="0" fillId="0" borderId="2" xfId="1" applyNumberFormat="1" applyFont="1" applyBorder="1"/>
    <xf numFmtId="166" fontId="0" fillId="0" borderId="0" xfId="0" applyNumberFormat="1"/>
  </cellXfs>
  <cellStyles count="2">
    <cellStyle name="Comma" xfId="1" builtinId="3"/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_-* #,##0_-;\-* #,##0_-;_-* &quot;-&quot;??_-;_-@_-"/>
    </dxf>
    <dxf>
      <numFmt numFmtId="0" formatCode="General"/>
    </dxf>
    <dxf>
      <numFmt numFmtId="0" formatCode="General"/>
    </dxf>
    <dxf>
      <numFmt numFmtId="164" formatCode="_-* #,##0_-;\-* #,##0_-;_-* &quot;-&quot;??_-;_-@_-"/>
    </dxf>
    <dxf>
      <numFmt numFmtId="165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9" displayName="Table9" ref="A1:AN335" totalsRowShown="0">
  <autoFilter ref="A1:AN335" xr:uid="{00000000-000C-0000-FFFF-FFFF00000000}"/>
  <sortState xmlns:xlrd2="http://schemas.microsoft.com/office/spreadsheetml/2017/richdata2" ref="A2:AK335">
    <sortCondition ref="D2:D335"/>
  </sortState>
  <tableColumns count="40">
    <tableColumn id="1" xr3:uid="{00000000-0010-0000-0000-000001000000}" name="Sr."/>
    <tableColumn id="2" xr3:uid="{00000000-0010-0000-0000-000002000000}" name="Status"/>
    <tableColumn id="3" xr3:uid="{00000000-0010-0000-0000-000003000000}" name="Contract No."/>
    <tableColumn id="4" xr3:uid="{00000000-0010-0000-0000-000004000000}" name="Status2"/>
    <tableColumn id="5" xr3:uid="{00000000-0010-0000-0000-000005000000}" name="Insurance Agency"/>
    <tableColumn id="6" xr3:uid="{00000000-0010-0000-0000-000006000000}" name="Dealer Name"/>
    <tableColumn id="7" xr3:uid="{00000000-0010-0000-0000-000007000000}" name="Customer Name"/>
    <tableColumn id="8" xr3:uid="{00000000-0010-0000-0000-000008000000}" name="City"/>
    <tableColumn id="9" xr3:uid="{00000000-0010-0000-0000-000009000000}" name="CNIC No."/>
    <tableColumn id="10" xr3:uid="{00000000-0010-0000-0000-00000A000000}" name="Home Phone#"/>
    <tableColumn id="11" xr3:uid="{00000000-0010-0000-0000-00000B000000}" name="Mobile Number"/>
    <tableColumn id="12" xr3:uid="{00000000-0010-0000-0000-00000C000000}" name="Business Phone#"/>
    <tableColumn id="13" xr3:uid="{00000000-0010-0000-0000-00000D000000}" name="Mail Address"/>
    <tableColumn id="14" xr3:uid="{00000000-0010-0000-0000-00000E000000}" name="Finance Amount"/>
    <tableColumn id="15" xr3:uid="{00000000-0010-0000-0000-00000F000000}" name="Car Price"/>
    <tableColumn id="16" xr3:uid="{00000000-0010-0000-0000-000010000000}" name="Ins. Policy"/>
    <tableColumn id="17" xr3:uid="{00000000-0010-0000-0000-000011000000}" name="Ins. Expiry Date" dataDxfId="8"/>
    <tableColumn id="18" xr3:uid="{00000000-0010-0000-0000-000012000000}" name="Engine No."/>
    <tableColumn id="19" xr3:uid="{00000000-0010-0000-0000-000013000000}" name="Chassis No."/>
    <tableColumn id="20" xr3:uid="{00000000-0010-0000-0000-000014000000}" name="Car Category"/>
    <tableColumn id="21" xr3:uid="{00000000-0010-0000-0000-000015000000}" name="Reg. No."/>
    <tableColumn id="22" xr3:uid="{00000000-0010-0000-0000-000016000000}" name="Car Name"/>
    <tableColumn id="23" xr3:uid="{00000000-0010-0000-0000-000017000000}" name="Model"/>
    <tableColumn id="24" xr3:uid="{00000000-0010-0000-0000-000018000000}" name="Contract Booking Date"/>
    <tableColumn id="25" xr3:uid="{00000000-0010-0000-0000-000019000000}" name="Contract Value Date"/>
    <tableColumn id="26" xr3:uid="{00000000-0010-0000-0000-00001A000000}" name="Contract Maturity Date"/>
    <tableColumn id="27" xr3:uid="{00000000-0010-0000-0000-00001B000000}" name="Purchase Order No."/>
    <tableColumn id="28" xr3:uid="{00000000-0010-0000-0000-00001C000000}" name="Tenor#2"/>
    <tableColumn id="29" xr3:uid="{00000000-0010-0000-0000-00001D000000}" name="Tracker Company"/>
    <tableColumn id="30" xr3:uid="{00000000-0010-0000-0000-00001E000000}" name="Tracker Reference Number"/>
    <tableColumn id="31" xr3:uid="{00000000-0010-0000-0000-00001F000000}" name="Tracker Installation Date"/>
    <tableColumn id="32" xr3:uid="{00000000-0010-0000-0000-000020000000}" name="Rate "/>
    <tableColumn id="33" xr3:uid="{00000000-0010-0000-0000-000021000000}" name="Sum Insured "/>
    <tableColumn id="34" xr3:uid="{00000000-0010-0000-0000-000022000000}" name="Premium" dataDxfId="7" dataCellStyle="Comma"/>
    <tableColumn id="35" xr3:uid="{00000000-0010-0000-0000-000023000000}" name="OLD Contract Ref"/>
    <tableColumn id="36" xr3:uid="{00000000-0010-0000-0000-000024000000}" name="Remarks-I"/>
    <tableColumn id="37" xr3:uid="{00000000-0010-0000-0000-000025000000}" name="Remarks-II"/>
    <tableColumn id="38" xr3:uid="{369A379C-25CE-4A8C-AC8F-8117F9F7597B}" name="Policy # 2024" dataDxfId="6"/>
    <tableColumn id="39" xr3:uid="{C0D56BA1-1340-4615-AE65-7B2999B955E2}" name="Tms prem" dataDxfId="5"/>
    <tableColumn id="40" xr3:uid="{93EAD823-DE58-4CF5-909B-E60141140CE5}" name="Difference" dataDxfId="4">
      <calculatedColumnFormula>Table9[[#This Row],[Premium]]-Table9[[#This Row],[Tms prem]]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37"/>
  <sheetViews>
    <sheetView topLeftCell="AD317" workbookViewId="0">
      <selection activeCell="AL335" sqref="AL2:AL335"/>
    </sheetView>
  </sheetViews>
  <sheetFormatPr defaultRowHeight="15" x14ac:dyDescent="0.25"/>
  <cols>
    <col min="3" max="3" width="14.140625" customWidth="1"/>
    <col min="4" max="4" width="9.5703125" customWidth="1"/>
    <col min="5" max="5" width="18.5703125" customWidth="1"/>
    <col min="6" max="6" width="14.7109375" customWidth="1"/>
    <col min="7" max="7" width="17.42578125" customWidth="1"/>
    <col min="9" max="9" width="11" customWidth="1"/>
    <col min="10" max="10" width="15.5703125" customWidth="1"/>
    <col min="11" max="11" width="17.28515625" customWidth="1"/>
    <col min="12" max="12" width="18" customWidth="1"/>
    <col min="13" max="13" width="14.7109375" customWidth="1"/>
    <col min="14" max="14" width="17.5703125" customWidth="1"/>
    <col min="15" max="15" width="10.85546875" customWidth="1"/>
    <col min="16" max="16" width="12" customWidth="1"/>
    <col min="17" max="17" width="16.7109375" customWidth="1"/>
    <col min="18" max="18" width="12.7109375" customWidth="1"/>
    <col min="19" max="19" width="13.140625" customWidth="1"/>
    <col min="20" max="20" width="14.28515625" customWidth="1"/>
    <col min="21" max="21" width="10.5703125" customWidth="1"/>
    <col min="22" max="22" width="11.7109375" customWidth="1"/>
    <col min="24" max="24" width="22.7109375" customWidth="1"/>
    <col min="25" max="25" width="20.7109375" customWidth="1"/>
    <col min="26" max="26" width="23.28515625" customWidth="1"/>
    <col min="27" max="27" width="20.28515625" customWidth="1"/>
    <col min="28" max="28" width="10.28515625" customWidth="1"/>
    <col min="29" max="29" width="18.28515625" customWidth="1"/>
    <col min="30" max="30" width="26.85546875" customWidth="1"/>
    <col min="31" max="31" width="24.5703125" customWidth="1"/>
    <col min="33" max="33" width="14.5703125" customWidth="1"/>
    <col min="34" max="34" width="11.28515625" customWidth="1"/>
    <col min="35" max="35" width="18" customWidth="1"/>
    <col min="36" max="36" width="12" customWidth="1"/>
    <col min="37" max="37" width="12.5703125" customWidth="1"/>
    <col min="38" max="38" width="41.140625" bestFit="1" customWidth="1"/>
    <col min="39" max="39" width="14.28515625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5887</v>
      </c>
      <c r="AM1" t="s">
        <v>5888</v>
      </c>
      <c r="AN1" t="s">
        <v>5889</v>
      </c>
    </row>
    <row r="2" spans="1:40" x14ac:dyDescent="0.25">
      <c r="A2">
        <v>1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45</v>
      </c>
      <c r="M2" t="s">
        <v>47</v>
      </c>
      <c r="N2">
        <v>1156991</v>
      </c>
      <c r="O2">
        <v>2933000</v>
      </c>
      <c r="P2" t="s">
        <v>48</v>
      </c>
      <c r="Q2" s="1">
        <v>45566</v>
      </c>
      <c r="R2" t="s">
        <v>49</v>
      </c>
      <c r="S2" t="s">
        <v>50</v>
      </c>
      <c r="T2" t="s">
        <v>51</v>
      </c>
      <c r="U2" t="s">
        <v>48</v>
      </c>
      <c r="V2" t="s">
        <v>52</v>
      </c>
      <c r="W2" t="s">
        <v>53</v>
      </c>
      <c r="X2" t="s">
        <v>54</v>
      </c>
      <c r="Y2" t="s">
        <v>55</v>
      </c>
      <c r="Z2" t="s">
        <v>56</v>
      </c>
      <c r="AA2" t="s">
        <v>57</v>
      </c>
      <c r="AB2">
        <v>5</v>
      </c>
      <c r="AC2" t="s">
        <v>58</v>
      </c>
      <c r="AD2" t="s">
        <v>59</v>
      </c>
      <c r="AE2" t="s">
        <v>60</v>
      </c>
      <c r="AF2" t="s">
        <v>61</v>
      </c>
      <c r="AG2">
        <v>2346400</v>
      </c>
      <c r="AH2" s="13">
        <v>46928</v>
      </c>
      <c r="AL2" t="s">
        <v>5896</v>
      </c>
      <c r="AM2" s="13">
        <v>46928</v>
      </c>
      <c r="AN2" s="16">
        <f>Table9[[#This Row],[Premium]]-Table9[[#This Row],[Tms prem]]</f>
        <v>0</v>
      </c>
    </row>
    <row r="3" spans="1:40" x14ac:dyDescent="0.25">
      <c r="A3">
        <v>2</v>
      </c>
      <c r="B3" t="s">
        <v>37</v>
      </c>
      <c r="C3" t="s">
        <v>62</v>
      </c>
      <c r="D3" t="s">
        <v>39</v>
      </c>
      <c r="E3" t="s">
        <v>40</v>
      </c>
      <c r="F3" t="s">
        <v>63</v>
      </c>
      <c r="G3" t="s">
        <v>64</v>
      </c>
      <c r="H3" t="s">
        <v>65</v>
      </c>
      <c r="I3" t="s">
        <v>66</v>
      </c>
      <c r="J3" t="s">
        <v>48</v>
      </c>
      <c r="K3" t="s">
        <v>67</v>
      </c>
      <c r="L3" t="s">
        <v>48</v>
      </c>
      <c r="M3" t="s">
        <v>68</v>
      </c>
      <c r="N3">
        <v>1874609</v>
      </c>
      <c r="O3">
        <v>2935000</v>
      </c>
      <c r="P3" t="s">
        <v>69</v>
      </c>
      <c r="Q3" t="s">
        <v>70</v>
      </c>
      <c r="R3" t="s">
        <v>71</v>
      </c>
      <c r="S3" t="s">
        <v>72</v>
      </c>
      <c r="T3" t="s">
        <v>51</v>
      </c>
      <c r="U3" t="s">
        <v>48</v>
      </c>
      <c r="V3" t="s">
        <v>73</v>
      </c>
      <c r="W3" t="s">
        <v>74</v>
      </c>
      <c r="X3" s="1">
        <v>45197</v>
      </c>
      <c r="Y3" t="s">
        <v>75</v>
      </c>
      <c r="Z3" t="s">
        <v>76</v>
      </c>
      <c r="AA3" t="s">
        <v>77</v>
      </c>
      <c r="AB3">
        <v>5</v>
      </c>
      <c r="AC3" t="s">
        <v>78</v>
      </c>
      <c r="AD3" t="s">
        <v>79</v>
      </c>
      <c r="AE3" t="s">
        <v>80</v>
      </c>
      <c r="AF3" t="s">
        <v>61</v>
      </c>
      <c r="AG3">
        <v>2641500</v>
      </c>
      <c r="AH3" s="13">
        <v>52830</v>
      </c>
      <c r="AL3" t="s">
        <v>5897</v>
      </c>
      <c r="AM3" s="13">
        <v>52830</v>
      </c>
      <c r="AN3" s="16">
        <f>Table9[[#This Row],[Premium]]-Table9[[#This Row],[Tms prem]]</f>
        <v>0</v>
      </c>
    </row>
    <row r="4" spans="1:40" x14ac:dyDescent="0.25">
      <c r="A4">
        <v>3</v>
      </c>
      <c r="B4" t="s">
        <v>37</v>
      </c>
      <c r="C4" t="s">
        <v>81</v>
      </c>
      <c r="D4" t="s">
        <v>39</v>
      </c>
      <c r="E4" t="s">
        <v>40</v>
      </c>
      <c r="F4" t="s">
        <v>63</v>
      </c>
      <c r="G4" t="s">
        <v>82</v>
      </c>
      <c r="H4" t="s">
        <v>83</v>
      </c>
      <c r="I4" t="s">
        <v>84</v>
      </c>
      <c r="J4" t="s">
        <v>85</v>
      </c>
      <c r="K4" t="s">
        <v>85</v>
      </c>
      <c r="L4" t="s">
        <v>86</v>
      </c>
      <c r="M4" t="s">
        <v>87</v>
      </c>
      <c r="N4">
        <v>374556</v>
      </c>
      <c r="O4">
        <v>1521000</v>
      </c>
      <c r="P4" t="s">
        <v>88</v>
      </c>
      <c r="Q4" s="1">
        <v>45568</v>
      </c>
      <c r="R4" t="s">
        <v>89</v>
      </c>
      <c r="S4" t="s">
        <v>90</v>
      </c>
      <c r="T4" t="s">
        <v>51</v>
      </c>
      <c r="U4" t="s">
        <v>48</v>
      </c>
      <c r="V4" t="s">
        <v>73</v>
      </c>
      <c r="W4" t="s">
        <v>53</v>
      </c>
      <c r="X4" t="s">
        <v>91</v>
      </c>
      <c r="Y4" t="s">
        <v>92</v>
      </c>
      <c r="Z4" t="s">
        <v>93</v>
      </c>
      <c r="AA4" t="s">
        <v>94</v>
      </c>
      <c r="AB4">
        <v>5</v>
      </c>
      <c r="AC4" t="s">
        <v>78</v>
      </c>
      <c r="AD4" t="s">
        <v>95</v>
      </c>
      <c r="AE4" t="s">
        <v>96</v>
      </c>
      <c r="AF4" t="s">
        <v>61</v>
      </c>
      <c r="AG4">
        <v>1216800</v>
      </c>
      <c r="AH4" s="13">
        <v>24336</v>
      </c>
      <c r="AL4" t="s">
        <v>5898</v>
      </c>
      <c r="AM4" s="13">
        <v>24336</v>
      </c>
      <c r="AN4" s="16">
        <f>Table9[[#This Row],[Premium]]-Table9[[#This Row],[Tms prem]]</f>
        <v>0</v>
      </c>
    </row>
    <row r="5" spans="1:40" x14ac:dyDescent="0.25">
      <c r="A5">
        <v>4</v>
      </c>
      <c r="B5" t="s">
        <v>37</v>
      </c>
      <c r="C5" t="s">
        <v>97</v>
      </c>
      <c r="D5" t="s">
        <v>39</v>
      </c>
      <c r="E5" t="s">
        <v>40</v>
      </c>
      <c r="F5" t="s">
        <v>63</v>
      </c>
      <c r="G5" t="s">
        <v>98</v>
      </c>
      <c r="H5" t="s">
        <v>43</v>
      </c>
      <c r="I5" t="s">
        <v>99</v>
      </c>
      <c r="J5" t="s">
        <v>100</v>
      </c>
      <c r="K5" t="s">
        <v>101</v>
      </c>
      <c r="L5" t="s">
        <v>100</v>
      </c>
      <c r="M5" t="s">
        <v>102</v>
      </c>
      <c r="N5">
        <v>273496</v>
      </c>
      <c r="O5">
        <v>1521000</v>
      </c>
      <c r="P5" t="s">
        <v>103</v>
      </c>
      <c r="Q5" s="1">
        <v>45568</v>
      </c>
      <c r="R5" t="s">
        <v>104</v>
      </c>
      <c r="S5" t="s">
        <v>105</v>
      </c>
      <c r="T5" t="s">
        <v>51</v>
      </c>
      <c r="U5" t="s">
        <v>48</v>
      </c>
      <c r="V5" t="s">
        <v>106</v>
      </c>
      <c r="W5" t="s">
        <v>53</v>
      </c>
      <c r="X5" t="s">
        <v>54</v>
      </c>
      <c r="Y5" t="s">
        <v>107</v>
      </c>
      <c r="Z5" t="s">
        <v>108</v>
      </c>
      <c r="AA5" t="s">
        <v>109</v>
      </c>
      <c r="AB5">
        <v>4</v>
      </c>
      <c r="AC5" t="s">
        <v>58</v>
      </c>
      <c r="AD5" t="s">
        <v>110</v>
      </c>
      <c r="AE5" t="s">
        <v>96</v>
      </c>
      <c r="AF5" t="s">
        <v>61</v>
      </c>
      <c r="AG5">
        <v>1216800</v>
      </c>
      <c r="AH5" s="13">
        <v>24336</v>
      </c>
      <c r="AL5" t="s">
        <v>5899</v>
      </c>
      <c r="AM5" s="13">
        <v>24336</v>
      </c>
      <c r="AN5" s="16">
        <f>Table9[[#This Row],[Premium]]-Table9[[#This Row],[Tms prem]]</f>
        <v>0</v>
      </c>
    </row>
    <row r="6" spans="1:40" x14ac:dyDescent="0.25">
      <c r="A6">
        <v>5</v>
      </c>
      <c r="B6" t="s">
        <v>37</v>
      </c>
      <c r="C6" t="s">
        <v>111</v>
      </c>
      <c r="D6" t="s">
        <v>39</v>
      </c>
      <c r="E6" t="s">
        <v>40</v>
      </c>
      <c r="F6" t="s">
        <v>112</v>
      </c>
      <c r="G6" t="s">
        <v>113</v>
      </c>
      <c r="H6" t="s">
        <v>65</v>
      </c>
      <c r="I6" t="s">
        <v>114</v>
      </c>
      <c r="J6" t="s">
        <v>48</v>
      </c>
      <c r="K6" t="s">
        <v>115</v>
      </c>
      <c r="L6" t="s">
        <v>48</v>
      </c>
      <c r="M6" t="s">
        <v>116</v>
      </c>
      <c r="N6">
        <v>590378</v>
      </c>
      <c r="O6">
        <v>1490000</v>
      </c>
      <c r="P6" t="s">
        <v>117</v>
      </c>
      <c r="Q6" s="1">
        <v>45568</v>
      </c>
      <c r="R6" t="s">
        <v>118</v>
      </c>
      <c r="S6" t="s">
        <v>119</v>
      </c>
      <c r="T6" t="s">
        <v>51</v>
      </c>
      <c r="U6" t="s">
        <v>48</v>
      </c>
      <c r="V6" t="s">
        <v>120</v>
      </c>
      <c r="W6" t="s">
        <v>53</v>
      </c>
      <c r="X6" t="s">
        <v>121</v>
      </c>
      <c r="Y6" t="s">
        <v>92</v>
      </c>
      <c r="Z6" t="s">
        <v>93</v>
      </c>
      <c r="AA6" t="s">
        <v>122</v>
      </c>
      <c r="AB6">
        <v>5</v>
      </c>
      <c r="AC6" t="s">
        <v>123</v>
      </c>
      <c r="AD6" t="s">
        <v>124</v>
      </c>
      <c r="AE6" t="s">
        <v>125</v>
      </c>
      <c r="AF6" t="s">
        <v>61</v>
      </c>
      <c r="AG6">
        <v>1192000</v>
      </c>
      <c r="AH6" s="13">
        <v>23840</v>
      </c>
      <c r="AL6" t="s">
        <v>5900</v>
      </c>
      <c r="AM6" s="13">
        <v>23840</v>
      </c>
      <c r="AN6" s="16">
        <f>Table9[[#This Row],[Premium]]-Table9[[#This Row],[Tms prem]]</f>
        <v>0</v>
      </c>
    </row>
    <row r="7" spans="1:40" x14ac:dyDescent="0.25">
      <c r="A7">
        <v>6</v>
      </c>
      <c r="B7" t="s">
        <v>37</v>
      </c>
      <c r="C7" t="s">
        <v>126</v>
      </c>
      <c r="D7" t="s">
        <v>39</v>
      </c>
      <c r="E7" t="s">
        <v>40</v>
      </c>
      <c r="F7" t="s">
        <v>112</v>
      </c>
      <c r="G7" t="s">
        <v>127</v>
      </c>
      <c r="H7" t="s">
        <v>128</v>
      </c>
      <c r="I7" t="s">
        <v>129</v>
      </c>
      <c r="J7" t="s">
        <v>48</v>
      </c>
      <c r="K7" t="s">
        <v>130</v>
      </c>
      <c r="L7" t="s">
        <v>48</v>
      </c>
      <c r="M7" t="s">
        <v>131</v>
      </c>
      <c r="N7">
        <v>691695</v>
      </c>
      <c r="O7">
        <v>1640000</v>
      </c>
      <c r="P7" t="s">
        <v>132</v>
      </c>
      <c r="Q7" s="1">
        <v>45568</v>
      </c>
      <c r="R7" t="s">
        <v>133</v>
      </c>
      <c r="S7" t="s">
        <v>134</v>
      </c>
      <c r="T7" t="s">
        <v>51</v>
      </c>
      <c r="U7" t="s">
        <v>48</v>
      </c>
      <c r="V7" t="s">
        <v>135</v>
      </c>
      <c r="W7" t="s">
        <v>53</v>
      </c>
      <c r="X7" t="s">
        <v>136</v>
      </c>
      <c r="Y7" t="s">
        <v>137</v>
      </c>
      <c r="Z7" t="s">
        <v>138</v>
      </c>
      <c r="AA7" t="s">
        <v>139</v>
      </c>
      <c r="AB7">
        <v>5</v>
      </c>
      <c r="AC7" t="s">
        <v>78</v>
      </c>
      <c r="AD7" t="s">
        <v>140</v>
      </c>
      <c r="AE7" t="s">
        <v>141</v>
      </c>
      <c r="AF7" t="s">
        <v>61</v>
      </c>
      <c r="AG7">
        <v>1312000</v>
      </c>
      <c r="AH7" s="13">
        <v>26240</v>
      </c>
      <c r="AL7" t="s">
        <v>5901</v>
      </c>
      <c r="AM7" s="13">
        <v>26240</v>
      </c>
      <c r="AN7" s="16">
        <f>Table9[[#This Row],[Premium]]-Table9[[#This Row],[Tms prem]]</f>
        <v>0</v>
      </c>
    </row>
    <row r="8" spans="1:40" x14ac:dyDescent="0.25">
      <c r="A8">
        <v>7</v>
      </c>
      <c r="B8" t="s">
        <v>37</v>
      </c>
      <c r="C8" t="s">
        <v>142</v>
      </c>
      <c r="D8" t="s">
        <v>39</v>
      </c>
      <c r="E8" t="s">
        <v>40</v>
      </c>
      <c r="F8" t="s">
        <v>143</v>
      </c>
      <c r="G8" t="s">
        <v>144</v>
      </c>
      <c r="H8" t="s">
        <v>83</v>
      </c>
      <c r="I8" t="s">
        <v>145</v>
      </c>
      <c r="J8" t="s">
        <v>48</v>
      </c>
      <c r="K8" t="s">
        <v>48</v>
      </c>
      <c r="L8" t="s">
        <v>48</v>
      </c>
      <c r="M8" t="s">
        <v>146</v>
      </c>
      <c r="N8">
        <v>2024250</v>
      </c>
      <c r="O8">
        <v>4815000</v>
      </c>
      <c r="P8" t="s">
        <v>147</v>
      </c>
      <c r="Q8" s="1">
        <v>45568</v>
      </c>
      <c r="R8" t="s">
        <v>148</v>
      </c>
      <c r="S8" t="s">
        <v>149</v>
      </c>
      <c r="T8" t="s">
        <v>51</v>
      </c>
      <c r="U8" t="s">
        <v>48</v>
      </c>
      <c r="V8" t="s">
        <v>150</v>
      </c>
      <c r="W8" t="s">
        <v>53</v>
      </c>
      <c r="X8" t="s">
        <v>151</v>
      </c>
      <c r="Y8" t="s">
        <v>152</v>
      </c>
      <c r="Z8" t="s">
        <v>153</v>
      </c>
      <c r="AA8" t="s">
        <v>154</v>
      </c>
      <c r="AB8">
        <v>5</v>
      </c>
      <c r="AC8" t="s">
        <v>48</v>
      </c>
      <c r="AD8" t="s">
        <v>48</v>
      </c>
      <c r="AE8" t="s">
        <v>48</v>
      </c>
      <c r="AF8" t="s">
        <v>155</v>
      </c>
      <c r="AG8">
        <v>3852000</v>
      </c>
      <c r="AH8" s="13">
        <v>67410</v>
      </c>
      <c r="AL8" t="s">
        <v>5902</v>
      </c>
      <c r="AM8" s="13">
        <v>67410</v>
      </c>
      <c r="AN8" s="16">
        <f>Table9[[#This Row],[Premium]]-Table9[[#This Row],[Tms prem]]</f>
        <v>0</v>
      </c>
    </row>
    <row r="9" spans="1:40" x14ac:dyDescent="0.25">
      <c r="A9">
        <v>8</v>
      </c>
      <c r="B9" t="s">
        <v>37</v>
      </c>
      <c r="C9" t="s">
        <v>156</v>
      </c>
      <c r="D9" t="s">
        <v>39</v>
      </c>
      <c r="E9" t="s">
        <v>40</v>
      </c>
      <c r="F9" t="s">
        <v>143</v>
      </c>
      <c r="G9" t="s">
        <v>157</v>
      </c>
      <c r="H9" t="s">
        <v>83</v>
      </c>
      <c r="I9" t="s">
        <v>158</v>
      </c>
      <c r="J9" t="s">
        <v>48</v>
      </c>
      <c r="K9" t="s">
        <v>159</v>
      </c>
      <c r="L9" t="s">
        <v>48</v>
      </c>
      <c r="M9" t="s">
        <v>160</v>
      </c>
      <c r="N9">
        <v>2080252</v>
      </c>
      <c r="O9">
        <v>5303000</v>
      </c>
      <c r="P9" t="s">
        <v>161</v>
      </c>
      <c r="Q9" s="1">
        <v>45568</v>
      </c>
      <c r="R9" t="s">
        <v>162</v>
      </c>
      <c r="S9" t="s">
        <v>163</v>
      </c>
      <c r="T9" t="s">
        <v>51</v>
      </c>
      <c r="U9" t="s">
        <v>48</v>
      </c>
      <c r="V9" t="s">
        <v>164</v>
      </c>
      <c r="W9" t="s">
        <v>53</v>
      </c>
      <c r="X9" t="s">
        <v>165</v>
      </c>
      <c r="Y9" t="s">
        <v>152</v>
      </c>
      <c r="Z9" t="s">
        <v>153</v>
      </c>
      <c r="AA9" t="s">
        <v>166</v>
      </c>
      <c r="AB9">
        <v>5</v>
      </c>
      <c r="AC9" t="s">
        <v>58</v>
      </c>
      <c r="AD9" t="s">
        <v>167</v>
      </c>
      <c r="AE9" t="s">
        <v>168</v>
      </c>
      <c r="AF9" t="s">
        <v>155</v>
      </c>
      <c r="AG9">
        <v>4242400</v>
      </c>
      <c r="AH9" s="13">
        <v>74242</v>
      </c>
      <c r="AL9" t="s">
        <v>5903</v>
      </c>
      <c r="AM9" s="13">
        <v>74242</v>
      </c>
      <c r="AN9" s="16">
        <f>Table9[[#This Row],[Premium]]-Table9[[#This Row],[Tms prem]]</f>
        <v>0</v>
      </c>
    </row>
    <row r="10" spans="1:40" x14ac:dyDescent="0.25">
      <c r="A10">
        <v>10</v>
      </c>
      <c r="B10" t="s">
        <v>184</v>
      </c>
      <c r="C10" t="s">
        <v>185</v>
      </c>
      <c r="D10" t="s">
        <v>39</v>
      </c>
      <c r="E10" t="s">
        <v>40</v>
      </c>
      <c r="F10" t="s">
        <v>186</v>
      </c>
      <c r="G10" t="s">
        <v>187</v>
      </c>
      <c r="H10" t="s">
        <v>188</v>
      </c>
      <c r="I10" t="s">
        <v>189</v>
      </c>
      <c r="J10" t="s">
        <v>190</v>
      </c>
      <c r="K10" t="s">
        <v>190</v>
      </c>
      <c r="L10" t="s">
        <v>191</v>
      </c>
      <c r="M10" t="s">
        <v>192</v>
      </c>
      <c r="N10">
        <v>567765</v>
      </c>
      <c r="O10">
        <v>1400000</v>
      </c>
      <c r="P10" t="s">
        <v>193</v>
      </c>
      <c r="Q10" s="1">
        <v>45568</v>
      </c>
      <c r="R10" t="s">
        <v>194</v>
      </c>
      <c r="S10" t="s">
        <v>195</v>
      </c>
      <c r="T10" t="s">
        <v>196</v>
      </c>
      <c r="U10" t="s">
        <v>197</v>
      </c>
      <c r="V10" t="s">
        <v>135</v>
      </c>
      <c r="W10" t="s">
        <v>198</v>
      </c>
      <c r="X10" t="s">
        <v>199</v>
      </c>
      <c r="Y10" t="s">
        <v>107</v>
      </c>
      <c r="Z10" t="s">
        <v>200</v>
      </c>
      <c r="AA10" t="s">
        <v>201</v>
      </c>
      <c r="AB10">
        <v>5</v>
      </c>
      <c r="AC10" t="s">
        <v>78</v>
      </c>
      <c r="AD10" t="s">
        <v>202</v>
      </c>
      <c r="AE10" t="s">
        <v>168</v>
      </c>
      <c r="AF10" t="s">
        <v>61</v>
      </c>
      <c r="AG10">
        <v>1120000</v>
      </c>
      <c r="AH10" s="13">
        <v>22400</v>
      </c>
      <c r="AL10" t="s">
        <v>5904</v>
      </c>
      <c r="AM10" s="13">
        <v>22400</v>
      </c>
      <c r="AN10" s="16">
        <f>Table9[[#This Row],[Premium]]-Table9[[#This Row],[Tms prem]]</f>
        <v>0</v>
      </c>
    </row>
    <row r="11" spans="1:40" x14ac:dyDescent="0.25">
      <c r="A11">
        <v>11</v>
      </c>
      <c r="B11" t="s">
        <v>37</v>
      </c>
      <c r="C11" t="s">
        <v>203</v>
      </c>
      <c r="D11" t="s">
        <v>39</v>
      </c>
      <c r="E11" t="s">
        <v>40</v>
      </c>
      <c r="F11" t="s">
        <v>204</v>
      </c>
      <c r="G11" t="s">
        <v>205</v>
      </c>
      <c r="H11" t="s">
        <v>83</v>
      </c>
      <c r="I11" t="s">
        <v>206</v>
      </c>
      <c r="J11" t="s">
        <v>207</v>
      </c>
      <c r="K11" t="s">
        <v>207</v>
      </c>
      <c r="L11" t="s">
        <v>208</v>
      </c>
      <c r="M11" t="s">
        <v>209</v>
      </c>
      <c r="N11">
        <v>546851</v>
      </c>
      <c r="O11">
        <v>1610000</v>
      </c>
      <c r="P11" t="s">
        <v>210</v>
      </c>
      <c r="Q11" s="1">
        <v>45569</v>
      </c>
      <c r="R11" t="s">
        <v>211</v>
      </c>
      <c r="S11" t="s">
        <v>212</v>
      </c>
      <c r="T11" t="s">
        <v>51</v>
      </c>
      <c r="U11" t="s">
        <v>48</v>
      </c>
      <c r="V11" t="s">
        <v>213</v>
      </c>
      <c r="W11" t="s">
        <v>53</v>
      </c>
      <c r="X11" t="s">
        <v>214</v>
      </c>
      <c r="Y11" t="s">
        <v>92</v>
      </c>
      <c r="Z11" t="s">
        <v>93</v>
      </c>
      <c r="AA11" t="s">
        <v>215</v>
      </c>
      <c r="AB11">
        <v>5</v>
      </c>
      <c r="AC11" t="s">
        <v>78</v>
      </c>
      <c r="AD11" t="s">
        <v>216</v>
      </c>
      <c r="AE11" t="s">
        <v>168</v>
      </c>
      <c r="AF11" t="s">
        <v>61</v>
      </c>
      <c r="AG11">
        <v>1288000</v>
      </c>
      <c r="AH11" s="13">
        <v>25760</v>
      </c>
      <c r="AL11" t="s">
        <v>5905</v>
      </c>
      <c r="AM11" s="13">
        <v>25760</v>
      </c>
      <c r="AN11" s="16">
        <f>Table9[[#This Row],[Premium]]-Table9[[#This Row],[Tms prem]]</f>
        <v>0</v>
      </c>
    </row>
    <row r="12" spans="1:40" x14ac:dyDescent="0.25">
      <c r="A12">
        <v>12</v>
      </c>
      <c r="B12" t="s">
        <v>37</v>
      </c>
      <c r="C12" t="s">
        <v>217</v>
      </c>
      <c r="D12" t="s">
        <v>39</v>
      </c>
      <c r="E12" t="s">
        <v>40</v>
      </c>
      <c r="F12" t="s">
        <v>63</v>
      </c>
      <c r="G12" t="s">
        <v>218</v>
      </c>
      <c r="H12" t="s">
        <v>83</v>
      </c>
      <c r="I12" t="s">
        <v>219</v>
      </c>
      <c r="J12" t="s">
        <v>220</v>
      </c>
      <c r="K12" t="s">
        <v>220</v>
      </c>
      <c r="L12" t="s">
        <v>221</v>
      </c>
      <c r="M12" t="s">
        <v>222</v>
      </c>
      <c r="N12">
        <v>585536</v>
      </c>
      <c r="O12">
        <v>1521000</v>
      </c>
      <c r="P12" t="s">
        <v>223</v>
      </c>
      <c r="Q12" s="1">
        <v>45569</v>
      </c>
      <c r="R12" t="s">
        <v>224</v>
      </c>
      <c r="S12" t="s">
        <v>225</v>
      </c>
      <c r="T12" t="s">
        <v>51</v>
      </c>
      <c r="U12" t="s">
        <v>48</v>
      </c>
      <c r="V12" t="s">
        <v>226</v>
      </c>
      <c r="W12" t="s">
        <v>53</v>
      </c>
      <c r="X12" t="s">
        <v>227</v>
      </c>
      <c r="Y12" t="s">
        <v>92</v>
      </c>
      <c r="Z12" t="s">
        <v>93</v>
      </c>
      <c r="AA12" t="s">
        <v>228</v>
      </c>
      <c r="AB12">
        <v>5</v>
      </c>
      <c r="AC12" t="s">
        <v>58</v>
      </c>
      <c r="AD12" t="s">
        <v>229</v>
      </c>
      <c r="AE12" t="s">
        <v>168</v>
      </c>
      <c r="AF12" t="s">
        <v>61</v>
      </c>
      <c r="AG12">
        <v>1216800</v>
      </c>
      <c r="AH12" s="13">
        <v>24336</v>
      </c>
      <c r="AL12" t="s">
        <v>5906</v>
      </c>
      <c r="AM12" s="13">
        <v>24336</v>
      </c>
      <c r="AN12" s="16">
        <f>Table9[[#This Row],[Premium]]-Table9[[#This Row],[Tms prem]]</f>
        <v>0</v>
      </c>
    </row>
    <row r="13" spans="1:40" x14ac:dyDescent="0.25">
      <c r="A13">
        <v>14</v>
      </c>
      <c r="B13" t="s">
        <v>37</v>
      </c>
      <c r="C13" t="s">
        <v>245</v>
      </c>
      <c r="D13" t="s">
        <v>39</v>
      </c>
      <c r="E13" t="s">
        <v>40</v>
      </c>
      <c r="F13" t="s">
        <v>63</v>
      </c>
      <c r="G13" t="s">
        <v>246</v>
      </c>
      <c r="H13" t="s">
        <v>83</v>
      </c>
      <c r="I13" t="s">
        <v>247</v>
      </c>
      <c r="J13" t="s">
        <v>248</v>
      </c>
      <c r="K13" t="s">
        <v>248</v>
      </c>
      <c r="L13" t="s">
        <v>248</v>
      </c>
      <c r="M13" t="s">
        <v>249</v>
      </c>
      <c r="N13">
        <v>663971</v>
      </c>
      <c r="O13">
        <v>1610000</v>
      </c>
      <c r="P13" t="s">
        <v>250</v>
      </c>
      <c r="Q13" s="1">
        <v>45569</v>
      </c>
      <c r="R13" t="s">
        <v>251</v>
      </c>
      <c r="S13" t="s">
        <v>252</v>
      </c>
      <c r="T13" t="s">
        <v>51</v>
      </c>
      <c r="U13" t="s">
        <v>48</v>
      </c>
      <c r="V13" t="s">
        <v>253</v>
      </c>
      <c r="W13" t="s">
        <v>53</v>
      </c>
      <c r="X13" t="s">
        <v>254</v>
      </c>
      <c r="Y13" t="s">
        <v>152</v>
      </c>
      <c r="Z13" t="s">
        <v>153</v>
      </c>
      <c r="AA13" t="s">
        <v>255</v>
      </c>
      <c r="AB13">
        <v>5</v>
      </c>
      <c r="AC13" t="s">
        <v>58</v>
      </c>
      <c r="AD13" t="s">
        <v>256</v>
      </c>
      <c r="AE13" t="s">
        <v>168</v>
      </c>
      <c r="AF13" t="s">
        <v>61</v>
      </c>
      <c r="AG13">
        <v>1288000</v>
      </c>
      <c r="AH13" s="13">
        <v>25760</v>
      </c>
      <c r="AL13" t="s">
        <v>5907</v>
      </c>
      <c r="AM13" s="13">
        <v>25760</v>
      </c>
      <c r="AN13" s="16">
        <f>Table9[[#This Row],[Premium]]-Table9[[#This Row],[Tms prem]]</f>
        <v>0</v>
      </c>
    </row>
    <row r="14" spans="1:40" x14ac:dyDescent="0.25">
      <c r="A14">
        <v>15</v>
      </c>
      <c r="B14" t="s">
        <v>37</v>
      </c>
      <c r="C14" t="s">
        <v>257</v>
      </c>
      <c r="D14" t="s">
        <v>39</v>
      </c>
      <c r="E14" t="s">
        <v>40</v>
      </c>
      <c r="F14" t="s">
        <v>258</v>
      </c>
      <c r="G14" t="s">
        <v>259</v>
      </c>
      <c r="H14" t="s">
        <v>43</v>
      </c>
      <c r="I14" t="s">
        <v>260</v>
      </c>
      <c r="J14" t="s">
        <v>48</v>
      </c>
      <c r="K14" t="s">
        <v>261</v>
      </c>
      <c r="L14" t="s">
        <v>48</v>
      </c>
      <c r="M14" t="s">
        <v>262</v>
      </c>
      <c r="N14">
        <v>1035681</v>
      </c>
      <c r="O14">
        <v>2703000</v>
      </c>
      <c r="P14" t="s">
        <v>263</v>
      </c>
      <c r="Q14" s="1">
        <v>45569</v>
      </c>
      <c r="R14" t="s">
        <v>264</v>
      </c>
      <c r="S14" t="s">
        <v>265</v>
      </c>
      <c r="T14" t="s">
        <v>51</v>
      </c>
      <c r="U14" t="s">
        <v>48</v>
      </c>
      <c r="V14" t="s">
        <v>266</v>
      </c>
      <c r="W14" t="s">
        <v>53</v>
      </c>
      <c r="X14" t="s">
        <v>267</v>
      </c>
      <c r="Y14" t="s">
        <v>107</v>
      </c>
      <c r="Z14" t="s">
        <v>200</v>
      </c>
      <c r="AA14" t="s">
        <v>268</v>
      </c>
      <c r="AB14">
        <v>5</v>
      </c>
      <c r="AC14" t="s">
        <v>78</v>
      </c>
      <c r="AD14" t="s">
        <v>269</v>
      </c>
      <c r="AE14" t="s">
        <v>168</v>
      </c>
      <c r="AF14" t="s">
        <v>61</v>
      </c>
      <c r="AG14">
        <v>2162400</v>
      </c>
      <c r="AH14" s="13">
        <v>43248</v>
      </c>
      <c r="AL14" t="s">
        <v>5908</v>
      </c>
      <c r="AM14" s="13">
        <v>43248</v>
      </c>
      <c r="AN14" s="16">
        <f>Table9[[#This Row],[Premium]]-Table9[[#This Row],[Tms prem]]</f>
        <v>0</v>
      </c>
    </row>
    <row r="15" spans="1:40" x14ac:dyDescent="0.25">
      <c r="A15">
        <v>17</v>
      </c>
      <c r="B15" t="s">
        <v>37</v>
      </c>
      <c r="C15" t="s">
        <v>284</v>
      </c>
      <c r="D15" t="s">
        <v>39</v>
      </c>
      <c r="E15" t="s">
        <v>40</v>
      </c>
      <c r="F15" t="s">
        <v>285</v>
      </c>
      <c r="G15" t="s">
        <v>286</v>
      </c>
      <c r="H15" t="s">
        <v>188</v>
      </c>
      <c r="I15" t="s">
        <v>287</v>
      </c>
      <c r="J15" t="s">
        <v>48</v>
      </c>
      <c r="K15" t="s">
        <v>288</v>
      </c>
      <c r="L15" t="s">
        <v>48</v>
      </c>
      <c r="M15" t="s">
        <v>289</v>
      </c>
      <c r="N15">
        <v>1432879</v>
      </c>
      <c r="O15">
        <v>3875000</v>
      </c>
      <c r="P15" t="s">
        <v>290</v>
      </c>
      <c r="Q15" s="1">
        <v>45569</v>
      </c>
      <c r="R15" t="s">
        <v>291</v>
      </c>
      <c r="S15" t="s">
        <v>292</v>
      </c>
      <c r="T15" t="s">
        <v>293</v>
      </c>
      <c r="U15" t="s">
        <v>48</v>
      </c>
      <c r="V15" t="s">
        <v>294</v>
      </c>
      <c r="W15" t="s">
        <v>53</v>
      </c>
      <c r="X15" t="s">
        <v>295</v>
      </c>
      <c r="Y15" t="s">
        <v>107</v>
      </c>
      <c r="Z15" t="s">
        <v>200</v>
      </c>
      <c r="AA15" t="s">
        <v>296</v>
      </c>
      <c r="AB15">
        <v>5</v>
      </c>
      <c r="AC15" t="s">
        <v>78</v>
      </c>
      <c r="AD15" t="s">
        <v>297</v>
      </c>
      <c r="AE15" t="s">
        <v>298</v>
      </c>
      <c r="AF15" t="s">
        <v>299</v>
      </c>
      <c r="AG15">
        <v>3100000</v>
      </c>
      <c r="AH15" s="13">
        <v>43400</v>
      </c>
      <c r="AL15" t="s">
        <v>5909</v>
      </c>
      <c r="AM15" s="13">
        <v>43400</v>
      </c>
      <c r="AN15" s="16">
        <f>Table9[[#This Row],[Premium]]-Table9[[#This Row],[Tms prem]]</f>
        <v>0</v>
      </c>
    </row>
    <row r="16" spans="1:40" x14ac:dyDescent="0.25">
      <c r="A16">
        <v>18</v>
      </c>
      <c r="B16" t="s">
        <v>37</v>
      </c>
      <c r="C16" t="s">
        <v>300</v>
      </c>
      <c r="D16" t="s">
        <v>39</v>
      </c>
      <c r="E16" t="s">
        <v>40</v>
      </c>
      <c r="F16" t="s">
        <v>301</v>
      </c>
      <c r="G16" t="s">
        <v>302</v>
      </c>
      <c r="H16" t="s">
        <v>188</v>
      </c>
      <c r="I16" t="s">
        <v>303</v>
      </c>
      <c r="J16" t="s">
        <v>304</v>
      </c>
      <c r="K16" t="s">
        <v>304</v>
      </c>
      <c r="L16" t="s">
        <v>305</v>
      </c>
      <c r="M16" t="s">
        <v>306</v>
      </c>
      <c r="N16">
        <v>283181</v>
      </c>
      <c r="O16">
        <v>1399000</v>
      </c>
      <c r="P16" t="s">
        <v>307</v>
      </c>
      <c r="Q16" s="1">
        <v>45570</v>
      </c>
      <c r="R16" t="s">
        <v>308</v>
      </c>
      <c r="S16" t="s">
        <v>309</v>
      </c>
      <c r="T16" t="s">
        <v>51</v>
      </c>
      <c r="U16" t="s">
        <v>48</v>
      </c>
      <c r="V16" t="s">
        <v>310</v>
      </c>
      <c r="W16" t="s">
        <v>53</v>
      </c>
      <c r="X16" t="s">
        <v>311</v>
      </c>
      <c r="Y16" t="s">
        <v>107</v>
      </c>
      <c r="Z16" t="s">
        <v>200</v>
      </c>
      <c r="AA16" t="s">
        <v>312</v>
      </c>
      <c r="AB16">
        <v>5</v>
      </c>
      <c r="AC16" t="s">
        <v>58</v>
      </c>
      <c r="AD16" t="s">
        <v>313</v>
      </c>
      <c r="AE16" t="s">
        <v>314</v>
      </c>
      <c r="AF16" t="s">
        <v>61</v>
      </c>
      <c r="AG16">
        <v>1119200</v>
      </c>
      <c r="AH16" s="13">
        <v>22384</v>
      </c>
      <c r="AL16" t="s">
        <v>5910</v>
      </c>
      <c r="AM16" s="13">
        <v>22384</v>
      </c>
      <c r="AN16" s="16">
        <f>Table9[[#This Row],[Premium]]-Table9[[#This Row],[Tms prem]]</f>
        <v>0</v>
      </c>
    </row>
    <row r="17" spans="1:40" x14ac:dyDescent="0.25">
      <c r="A17">
        <v>19</v>
      </c>
      <c r="B17" t="s">
        <v>37</v>
      </c>
      <c r="C17" t="s">
        <v>315</v>
      </c>
      <c r="D17" t="s">
        <v>39</v>
      </c>
      <c r="E17" t="s">
        <v>40</v>
      </c>
      <c r="F17" t="s">
        <v>316</v>
      </c>
      <c r="G17" t="s">
        <v>317</v>
      </c>
      <c r="H17" t="s">
        <v>128</v>
      </c>
      <c r="I17" t="s">
        <v>318</v>
      </c>
      <c r="J17" t="s">
        <v>319</v>
      </c>
      <c r="K17" t="s">
        <v>48</v>
      </c>
      <c r="L17" t="s">
        <v>320</v>
      </c>
      <c r="M17" t="s">
        <v>321</v>
      </c>
      <c r="N17">
        <v>386828</v>
      </c>
      <c r="O17">
        <v>1335000</v>
      </c>
      <c r="P17" t="s">
        <v>322</v>
      </c>
      <c r="Q17" s="1">
        <v>45570</v>
      </c>
      <c r="R17" t="s">
        <v>323</v>
      </c>
      <c r="S17" t="s">
        <v>324</v>
      </c>
      <c r="T17" t="s">
        <v>51</v>
      </c>
      <c r="U17" t="s">
        <v>48</v>
      </c>
      <c r="V17" t="s">
        <v>325</v>
      </c>
      <c r="W17" t="s">
        <v>53</v>
      </c>
      <c r="X17" t="s">
        <v>311</v>
      </c>
      <c r="Y17" t="s">
        <v>137</v>
      </c>
      <c r="Z17" t="s">
        <v>326</v>
      </c>
      <c r="AA17" t="s">
        <v>327</v>
      </c>
      <c r="AB17">
        <v>6</v>
      </c>
      <c r="AC17" t="s">
        <v>58</v>
      </c>
      <c r="AD17" t="s">
        <v>328</v>
      </c>
      <c r="AE17" t="s">
        <v>141</v>
      </c>
      <c r="AF17" t="s">
        <v>61</v>
      </c>
      <c r="AG17">
        <v>1068000</v>
      </c>
      <c r="AH17" s="13">
        <v>21360</v>
      </c>
      <c r="AL17" t="s">
        <v>5911</v>
      </c>
      <c r="AM17" s="13">
        <v>21360</v>
      </c>
      <c r="AN17" s="16">
        <f>Table9[[#This Row],[Premium]]-Table9[[#This Row],[Tms prem]]</f>
        <v>0</v>
      </c>
    </row>
    <row r="18" spans="1:40" x14ac:dyDescent="0.25">
      <c r="A18">
        <v>20</v>
      </c>
      <c r="B18" t="s">
        <v>37</v>
      </c>
      <c r="C18" t="s">
        <v>329</v>
      </c>
      <c r="D18" t="s">
        <v>39</v>
      </c>
      <c r="E18" t="s">
        <v>40</v>
      </c>
      <c r="F18" t="s">
        <v>63</v>
      </c>
      <c r="G18" t="s">
        <v>330</v>
      </c>
      <c r="H18" t="s">
        <v>188</v>
      </c>
      <c r="I18" t="s">
        <v>331</v>
      </c>
      <c r="J18" t="s">
        <v>332</v>
      </c>
      <c r="K18" t="s">
        <v>333</v>
      </c>
      <c r="L18" t="s">
        <v>334</v>
      </c>
      <c r="M18" t="s">
        <v>335</v>
      </c>
      <c r="N18">
        <v>569103</v>
      </c>
      <c r="O18">
        <v>1335000</v>
      </c>
      <c r="P18" t="s">
        <v>336</v>
      </c>
      <c r="Q18" s="1">
        <v>45570</v>
      </c>
      <c r="R18" t="s">
        <v>337</v>
      </c>
      <c r="S18" t="s">
        <v>338</v>
      </c>
      <c r="T18" t="s">
        <v>51</v>
      </c>
      <c r="U18" t="s">
        <v>48</v>
      </c>
      <c r="V18" t="s">
        <v>73</v>
      </c>
      <c r="W18" t="s">
        <v>53</v>
      </c>
      <c r="X18" t="s">
        <v>151</v>
      </c>
      <c r="Y18" t="s">
        <v>152</v>
      </c>
      <c r="Z18" t="s">
        <v>153</v>
      </c>
      <c r="AA18" t="s">
        <v>339</v>
      </c>
      <c r="AB18">
        <v>5</v>
      </c>
      <c r="AC18" t="s">
        <v>78</v>
      </c>
      <c r="AD18" t="s">
        <v>340</v>
      </c>
      <c r="AE18" t="s">
        <v>168</v>
      </c>
      <c r="AF18" t="s">
        <v>61</v>
      </c>
      <c r="AG18">
        <v>1068000</v>
      </c>
      <c r="AH18" s="13">
        <v>21360</v>
      </c>
      <c r="AL18" t="s">
        <v>5912</v>
      </c>
      <c r="AM18" s="13">
        <v>21360</v>
      </c>
      <c r="AN18" s="16">
        <f>Table9[[#This Row],[Premium]]-Table9[[#This Row],[Tms prem]]</f>
        <v>0</v>
      </c>
    </row>
    <row r="19" spans="1:40" x14ac:dyDescent="0.25">
      <c r="A19">
        <v>21</v>
      </c>
      <c r="B19" t="s">
        <v>37</v>
      </c>
      <c r="C19" t="s">
        <v>341</v>
      </c>
      <c r="D19" t="s">
        <v>39</v>
      </c>
      <c r="E19" t="s">
        <v>40</v>
      </c>
      <c r="F19" t="s">
        <v>63</v>
      </c>
      <c r="G19" t="s">
        <v>342</v>
      </c>
      <c r="H19" t="s">
        <v>188</v>
      </c>
      <c r="I19" t="s">
        <v>343</v>
      </c>
      <c r="J19" t="s">
        <v>344</v>
      </c>
      <c r="K19" t="s">
        <v>345</v>
      </c>
      <c r="L19" t="s">
        <v>344</v>
      </c>
      <c r="M19" t="s">
        <v>346</v>
      </c>
      <c r="N19">
        <v>566861</v>
      </c>
      <c r="O19">
        <v>1655000</v>
      </c>
      <c r="P19" t="s">
        <v>347</v>
      </c>
      <c r="Q19" s="1">
        <v>45570</v>
      </c>
      <c r="R19" t="s">
        <v>348</v>
      </c>
      <c r="S19" t="s">
        <v>349</v>
      </c>
      <c r="T19" t="s">
        <v>51</v>
      </c>
      <c r="U19" t="s">
        <v>48</v>
      </c>
      <c r="V19" t="s">
        <v>350</v>
      </c>
      <c r="W19" t="s">
        <v>53</v>
      </c>
      <c r="X19" t="s">
        <v>165</v>
      </c>
      <c r="Y19" t="s">
        <v>137</v>
      </c>
      <c r="Z19" t="s">
        <v>138</v>
      </c>
      <c r="AA19" t="s">
        <v>351</v>
      </c>
      <c r="AB19">
        <v>5</v>
      </c>
      <c r="AC19" t="s">
        <v>58</v>
      </c>
      <c r="AD19" t="s">
        <v>352</v>
      </c>
      <c r="AE19" t="s">
        <v>141</v>
      </c>
      <c r="AF19" t="s">
        <v>61</v>
      </c>
      <c r="AG19">
        <v>1324000</v>
      </c>
      <c r="AH19" s="13">
        <v>26480</v>
      </c>
      <c r="AL19" t="s">
        <v>5913</v>
      </c>
      <c r="AM19" s="13">
        <v>26480</v>
      </c>
      <c r="AN19" s="16">
        <f>Table9[[#This Row],[Premium]]-Table9[[#This Row],[Tms prem]]</f>
        <v>0</v>
      </c>
    </row>
    <row r="20" spans="1:40" x14ac:dyDescent="0.25">
      <c r="A20">
        <v>22</v>
      </c>
      <c r="B20" t="s">
        <v>37</v>
      </c>
      <c r="C20" t="s">
        <v>353</v>
      </c>
      <c r="D20" t="s">
        <v>39</v>
      </c>
      <c r="E20" t="s">
        <v>40</v>
      </c>
      <c r="F20" t="s">
        <v>354</v>
      </c>
      <c r="G20" t="s">
        <v>355</v>
      </c>
      <c r="H20" t="s">
        <v>43</v>
      </c>
      <c r="I20" t="s">
        <v>356</v>
      </c>
      <c r="J20" t="s">
        <v>357</v>
      </c>
      <c r="K20" t="s">
        <v>358</v>
      </c>
      <c r="L20" t="s">
        <v>357</v>
      </c>
      <c r="M20" t="s">
        <v>359</v>
      </c>
      <c r="N20">
        <v>590122</v>
      </c>
      <c r="O20">
        <v>1350000</v>
      </c>
      <c r="P20" t="s">
        <v>360</v>
      </c>
      <c r="Q20" s="1">
        <v>45570</v>
      </c>
      <c r="R20" t="s">
        <v>361</v>
      </c>
      <c r="S20" t="s">
        <v>362</v>
      </c>
      <c r="T20" t="s">
        <v>196</v>
      </c>
      <c r="U20" t="s">
        <v>363</v>
      </c>
      <c r="V20" t="s">
        <v>364</v>
      </c>
      <c r="W20" t="s">
        <v>365</v>
      </c>
      <c r="X20" t="s">
        <v>199</v>
      </c>
      <c r="Y20" t="s">
        <v>107</v>
      </c>
      <c r="Z20" t="s">
        <v>200</v>
      </c>
      <c r="AA20" t="s">
        <v>366</v>
      </c>
      <c r="AB20">
        <v>5</v>
      </c>
      <c r="AC20" t="s">
        <v>78</v>
      </c>
      <c r="AD20" t="s">
        <v>367</v>
      </c>
      <c r="AE20" t="s">
        <v>141</v>
      </c>
      <c r="AF20" t="s">
        <v>61</v>
      </c>
      <c r="AG20">
        <v>1080000</v>
      </c>
      <c r="AH20" s="13">
        <v>21600</v>
      </c>
      <c r="AL20" t="s">
        <v>5914</v>
      </c>
      <c r="AM20" s="13">
        <v>21600</v>
      </c>
      <c r="AN20" s="16">
        <f>Table9[[#This Row],[Premium]]-Table9[[#This Row],[Tms prem]]</f>
        <v>0</v>
      </c>
    </row>
    <row r="21" spans="1:40" x14ac:dyDescent="0.25">
      <c r="A21">
        <v>23</v>
      </c>
      <c r="B21" t="s">
        <v>37</v>
      </c>
      <c r="C21" t="s">
        <v>368</v>
      </c>
      <c r="D21" t="s">
        <v>39</v>
      </c>
      <c r="E21" t="s">
        <v>40</v>
      </c>
      <c r="F21" t="s">
        <v>316</v>
      </c>
      <c r="G21" t="s">
        <v>369</v>
      </c>
      <c r="H21" t="s">
        <v>128</v>
      </c>
      <c r="I21" t="s">
        <v>370</v>
      </c>
      <c r="J21" t="s">
        <v>371</v>
      </c>
      <c r="K21" t="s">
        <v>372</v>
      </c>
      <c r="L21" t="s">
        <v>373</v>
      </c>
      <c r="M21" t="s">
        <v>374</v>
      </c>
      <c r="N21">
        <v>849587</v>
      </c>
      <c r="O21">
        <v>1335000</v>
      </c>
      <c r="P21" t="s">
        <v>375</v>
      </c>
      <c r="Q21" s="1">
        <v>45570</v>
      </c>
      <c r="R21" t="s">
        <v>376</v>
      </c>
      <c r="S21" t="s">
        <v>377</v>
      </c>
      <c r="T21" t="s">
        <v>51</v>
      </c>
      <c r="U21" t="s">
        <v>48</v>
      </c>
      <c r="V21" t="s">
        <v>325</v>
      </c>
      <c r="W21" t="s">
        <v>53</v>
      </c>
      <c r="X21" t="s">
        <v>311</v>
      </c>
      <c r="Y21" t="s">
        <v>137</v>
      </c>
      <c r="Z21" t="s">
        <v>378</v>
      </c>
      <c r="AA21" t="s">
        <v>379</v>
      </c>
      <c r="AB21">
        <v>7</v>
      </c>
      <c r="AC21" t="s">
        <v>58</v>
      </c>
      <c r="AD21" t="s">
        <v>380</v>
      </c>
      <c r="AE21" t="s">
        <v>141</v>
      </c>
      <c r="AF21" t="s">
        <v>61</v>
      </c>
      <c r="AG21">
        <v>1068000</v>
      </c>
      <c r="AH21" s="13">
        <v>21360</v>
      </c>
      <c r="AL21" t="s">
        <v>5915</v>
      </c>
      <c r="AM21" s="13">
        <v>21360</v>
      </c>
      <c r="AN21" s="16">
        <f>Table9[[#This Row],[Premium]]-Table9[[#This Row],[Tms prem]]</f>
        <v>0</v>
      </c>
    </row>
    <row r="22" spans="1:40" x14ac:dyDescent="0.25">
      <c r="A22">
        <v>24</v>
      </c>
      <c r="B22" t="s">
        <v>37</v>
      </c>
      <c r="C22" t="s">
        <v>381</v>
      </c>
      <c r="D22" t="s">
        <v>39</v>
      </c>
      <c r="E22" t="s">
        <v>40</v>
      </c>
      <c r="F22" t="s">
        <v>63</v>
      </c>
      <c r="G22" t="s">
        <v>382</v>
      </c>
      <c r="H22" t="s">
        <v>83</v>
      </c>
      <c r="I22" t="s">
        <v>383</v>
      </c>
      <c r="J22" t="s">
        <v>384</v>
      </c>
      <c r="K22" t="s">
        <v>384</v>
      </c>
      <c r="L22" t="s">
        <v>384</v>
      </c>
      <c r="M22" t="s">
        <v>385</v>
      </c>
      <c r="N22">
        <v>685181</v>
      </c>
      <c r="O22">
        <v>1521000</v>
      </c>
      <c r="P22" t="s">
        <v>386</v>
      </c>
      <c r="Q22" s="1">
        <v>45570</v>
      </c>
      <c r="R22" t="s">
        <v>387</v>
      </c>
      <c r="S22" t="s">
        <v>388</v>
      </c>
      <c r="T22" t="s">
        <v>51</v>
      </c>
      <c r="U22" t="s">
        <v>48</v>
      </c>
      <c r="V22" t="s">
        <v>389</v>
      </c>
      <c r="W22" t="s">
        <v>53</v>
      </c>
      <c r="X22" t="s">
        <v>390</v>
      </c>
      <c r="Y22" t="s">
        <v>92</v>
      </c>
      <c r="Z22" t="s">
        <v>93</v>
      </c>
      <c r="AA22" t="s">
        <v>391</v>
      </c>
      <c r="AB22">
        <v>5</v>
      </c>
      <c r="AC22" t="s">
        <v>78</v>
      </c>
      <c r="AD22" t="s">
        <v>392</v>
      </c>
      <c r="AE22" t="s">
        <v>141</v>
      </c>
      <c r="AF22" t="s">
        <v>61</v>
      </c>
      <c r="AG22">
        <v>1216800</v>
      </c>
      <c r="AH22" s="13">
        <v>24336</v>
      </c>
      <c r="AL22" t="s">
        <v>5916</v>
      </c>
      <c r="AM22" s="13">
        <v>24336</v>
      </c>
      <c r="AN22" s="16">
        <f>Table9[[#This Row],[Premium]]-Table9[[#This Row],[Tms prem]]</f>
        <v>0</v>
      </c>
    </row>
    <row r="23" spans="1:40" x14ac:dyDescent="0.25">
      <c r="A23">
        <v>25</v>
      </c>
      <c r="B23" t="s">
        <v>37</v>
      </c>
      <c r="C23" t="s">
        <v>393</v>
      </c>
      <c r="D23" t="s">
        <v>39</v>
      </c>
      <c r="E23" t="s">
        <v>40</v>
      </c>
      <c r="F23" t="s">
        <v>394</v>
      </c>
      <c r="G23" t="s">
        <v>395</v>
      </c>
      <c r="H23" t="s">
        <v>83</v>
      </c>
      <c r="I23" t="s">
        <v>396</v>
      </c>
      <c r="J23" t="s">
        <v>397</v>
      </c>
      <c r="K23" t="s">
        <v>397</v>
      </c>
      <c r="L23" t="s">
        <v>397</v>
      </c>
      <c r="M23" t="s">
        <v>398</v>
      </c>
      <c r="N23">
        <v>769146</v>
      </c>
      <c r="O23">
        <v>1760000</v>
      </c>
      <c r="P23" t="s">
        <v>399</v>
      </c>
      <c r="Q23" s="1">
        <v>45570</v>
      </c>
      <c r="R23" t="s">
        <v>400</v>
      </c>
      <c r="S23" t="s">
        <v>401</v>
      </c>
      <c r="T23" t="s">
        <v>51</v>
      </c>
      <c r="U23" t="s">
        <v>48</v>
      </c>
      <c r="V23" t="s">
        <v>402</v>
      </c>
      <c r="W23" t="s">
        <v>53</v>
      </c>
      <c r="X23" t="s">
        <v>403</v>
      </c>
      <c r="Y23" t="s">
        <v>92</v>
      </c>
      <c r="Z23" t="s">
        <v>93</v>
      </c>
      <c r="AA23" t="s">
        <v>404</v>
      </c>
      <c r="AB23">
        <v>5</v>
      </c>
      <c r="AC23" t="s">
        <v>78</v>
      </c>
      <c r="AD23" t="s">
        <v>405</v>
      </c>
      <c r="AE23" t="s">
        <v>406</v>
      </c>
      <c r="AF23" t="s">
        <v>61</v>
      </c>
      <c r="AG23">
        <v>1408000</v>
      </c>
      <c r="AH23" s="13">
        <v>28160</v>
      </c>
      <c r="AL23" t="s">
        <v>5917</v>
      </c>
      <c r="AM23" s="13">
        <v>28160</v>
      </c>
      <c r="AN23" s="16">
        <f>Table9[[#This Row],[Premium]]-Table9[[#This Row],[Tms prem]]</f>
        <v>0</v>
      </c>
    </row>
    <row r="24" spans="1:40" x14ac:dyDescent="0.25">
      <c r="A24">
        <v>27</v>
      </c>
      <c r="B24" t="s">
        <v>37</v>
      </c>
      <c r="C24" t="s">
        <v>420</v>
      </c>
      <c r="D24" t="s">
        <v>39</v>
      </c>
      <c r="E24" t="s">
        <v>40</v>
      </c>
      <c r="F24" t="s">
        <v>301</v>
      </c>
      <c r="G24" t="s">
        <v>421</v>
      </c>
      <c r="H24" t="s">
        <v>422</v>
      </c>
      <c r="I24" t="s">
        <v>423</v>
      </c>
      <c r="J24" t="s">
        <v>48</v>
      </c>
      <c r="K24" t="s">
        <v>424</v>
      </c>
      <c r="L24" t="s">
        <v>48</v>
      </c>
      <c r="M24" t="s">
        <v>425</v>
      </c>
      <c r="N24">
        <v>1013218</v>
      </c>
      <c r="O24">
        <v>2650000</v>
      </c>
      <c r="P24" t="s">
        <v>426</v>
      </c>
      <c r="Q24" s="1">
        <v>45570</v>
      </c>
      <c r="R24" t="s">
        <v>427</v>
      </c>
      <c r="S24" t="s">
        <v>428</v>
      </c>
      <c r="T24" t="s">
        <v>51</v>
      </c>
      <c r="U24" t="s">
        <v>48</v>
      </c>
      <c r="V24" t="s">
        <v>429</v>
      </c>
      <c r="W24" t="s">
        <v>53</v>
      </c>
      <c r="X24" t="s">
        <v>430</v>
      </c>
      <c r="Y24" t="s">
        <v>137</v>
      </c>
      <c r="Z24" t="s">
        <v>138</v>
      </c>
      <c r="AA24" t="s">
        <v>431</v>
      </c>
      <c r="AB24">
        <v>5</v>
      </c>
      <c r="AC24" t="s">
        <v>58</v>
      </c>
      <c r="AD24" t="s">
        <v>432</v>
      </c>
      <c r="AE24" t="s">
        <v>96</v>
      </c>
      <c r="AF24" t="s">
        <v>61</v>
      </c>
      <c r="AG24">
        <v>2120000</v>
      </c>
      <c r="AH24" s="13">
        <v>42400</v>
      </c>
      <c r="AL24" t="s">
        <v>5918</v>
      </c>
      <c r="AM24" s="13">
        <v>42400</v>
      </c>
      <c r="AN24" s="16">
        <f>Table9[[#This Row],[Premium]]-Table9[[#This Row],[Tms prem]]</f>
        <v>0</v>
      </c>
    </row>
    <row r="25" spans="1:40" x14ac:dyDescent="0.25">
      <c r="A25">
        <v>28</v>
      </c>
      <c r="B25" t="s">
        <v>37</v>
      </c>
      <c r="C25" t="s">
        <v>433</v>
      </c>
      <c r="D25" t="s">
        <v>39</v>
      </c>
      <c r="E25" t="s">
        <v>40</v>
      </c>
      <c r="F25" t="s">
        <v>434</v>
      </c>
      <c r="G25" t="s">
        <v>435</v>
      </c>
      <c r="H25" t="s">
        <v>128</v>
      </c>
      <c r="I25" t="s">
        <v>436</v>
      </c>
      <c r="J25" t="s">
        <v>437</v>
      </c>
      <c r="K25" t="s">
        <v>48</v>
      </c>
      <c r="L25" t="s">
        <v>438</v>
      </c>
      <c r="M25" t="s">
        <v>439</v>
      </c>
      <c r="N25">
        <v>1156549</v>
      </c>
      <c r="O25">
        <v>2933000</v>
      </c>
      <c r="P25" t="s">
        <v>440</v>
      </c>
      <c r="Q25" s="1">
        <v>45570</v>
      </c>
      <c r="R25" t="s">
        <v>441</v>
      </c>
      <c r="S25" t="s">
        <v>442</v>
      </c>
      <c r="T25" t="s">
        <v>51</v>
      </c>
      <c r="U25" t="s">
        <v>48</v>
      </c>
      <c r="V25" t="s">
        <v>52</v>
      </c>
      <c r="W25" t="s">
        <v>53</v>
      </c>
      <c r="X25" t="s">
        <v>267</v>
      </c>
      <c r="Y25" t="s">
        <v>137</v>
      </c>
      <c r="Z25" t="s">
        <v>138</v>
      </c>
      <c r="AA25" t="s">
        <v>443</v>
      </c>
      <c r="AB25">
        <v>5</v>
      </c>
      <c r="AC25" t="s">
        <v>78</v>
      </c>
      <c r="AD25" t="s">
        <v>444</v>
      </c>
      <c r="AE25" t="s">
        <v>141</v>
      </c>
      <c r="AF25" t="s">
        <v>61</v>
      </c>
      <c r="AG25">
        <v>2346400</v>
      </c>
      <c r="AH25" s="13">
        <v>46928</v>
      </c>
      <c r="AL25" t="s">
        <v>5919</v>
      </c>
      <c r="AM25" s="13">
        <v>46928</v>
      </c>
      <c r="AN25" s="16">
        <f>Table9[[#This Row],[Premium]]-Table9[[#This Row],[Tms prem]]</f>
        <v>0</v>
      </c>
    </row>
    <row r="26" spans="1:40" x14ac:dyDescent="0.25">
      <c r="A26">
        <v>29</v>
      </c>
      <c r="B26" t="s">
        <v>37</v>
      </c>
      <c r="C26" t="s">
        <v>445</v>
      </c>
      <c r="D26" t="s">
        <v>39</v>
      </c>
      <c r="E26" t="s">
        <v>40</v>
      </c>
      <c r="F26" t="s">
        <v>446</v>
      </c>
      <c r="G26" t="s">
        <v>447</v>
      </c>
      <c r="H26" t="s">
        <v>188</v>
      </c>
      <c r="I26" t="s">
        <v>448</v>
      </c>
      <c r="J26" t="s">
        <v>449</v>
      </c>
      <c r="K26" t="s">
        <v>48</v>
      </c>
      <c r="L26" t="s">
        <v>450</v>
      </c>
      <c r="M26" t="s">
        <v>451</v>
      </c>
      <c r="N26">
        <v>1134684</v>
      </c>
      <c r="O26">
        <v>2595000</v>
      </c>
      <c r="P26" t="s">
        <v>452</v>
      </c>
      <c r="Q26" s="1">
        <v>45570</v>
      </c>
      <c r="R26" t="s">
        <v>453</v>
      </c>
      <c r="S26" t="s">
        <v>454</v>
      </c>
      <c r="T26" t="s">
        <v>51</v>
      </c>
      <c r="U26" t="s">
        <v>48</v>
      </c>
      <c r="V26" t="s">
        <v>455</v>
      </c>
      <c r="W26" t="s">
        <v>53</v>
      </c>
      <c r="X26" t="s">
        <v>267</v>
      </c>
      <c r="Y26" t="s">
        <v>137</v>
      </c>
      <c r="Z26" t="s">
        <v>138</v>
      </c>
      <c r="AA26" t="s">
        <v>456</v>
      </c>
      <c r="AB26">
        <v>5</v>
      </c>
      <c r="AC26" t="s">
        <v>58</v>
      </c>
      <c r="AD26" t="s">
        <v>457</v>
      </c>
      <c r="AE26" t="s">
        <v>298</v>
      </c>
      <c r="AF26" t="s">
        <v>61</v>
      </c>
      <c r="AG26">
        <v>2076000</v>
      </c>
      <c r="AH26" s="13">
        <v>41520</v>
      </c>
      <c r="AL26" t="s">
        <v>5920</v>
      </c>
      <c r="AM26" s="13">
        <v>41520</v>
      </c>
      <c r="AN26" s="16">
        <f>Table9[[#This Row],[Premium]]-Table9[[#This Row],[Tms prem]]</f>
        <v>0</v>
      </c>
    </row>
    <row r="27" spans="1:40" x14ac:dyDescent="0.25">
      <c r="A27">
        <v>30</v>
      </c>
      <c r="B27" t="s">
        <v>37</v>
      </c>
      <c r="C27" t="s">
        <v>458</v>
      </c>
      <c r="D27" t="s">
        <v>39</v>
      </c>
      <c r="E27" t="s">
        <v>40</v>
      </c>
      <c r="F27" t="s">
        <v>41</v>
      </c>
      <c r="G27" t="s">
        <v>459</v>
      </c>
      <c r="H27" t="s">
        <v>43</v>
      </c>
      <c r="I27" t="s">
        <v>460</v>
      </c>
      <c r="J27" t="s">
        <v>48</v>
      </c>
      <c r="K27" t="s">
        <v>461</v>
      </c>
      <c r="L27" t="s">
        <v>48</v>
      </c>
      <c r="M27" t="s">
        <v>462</v>
      </c>
      <c r="N27">
        <v>1533867</v>
      </c>
      <c r="O27">
        <v>2703000</v>
      </c>
      <c r="P27" t="s">
        <v>463</v>
      </c>
      <c r="Q27" s="1">
        <v>45570</v>
      </c>
      <c r="R27" t="s">
        <v>464</v>
      </c>
      <c r="S27" t="s">
        <v>465</v>
      </c>
      <c r="T27" t="s">
        <v>51</v>
      </c>
      <c r="U27" t="s">
        <v>48</v>
      </c>
      <c r="V27" t="s">
        <v>416</v>
      </c>
      <c r="W27" t="s">
        <v>53</v>
      </c>
      <c r="X27" t="s">
        <v>466</v>
      </c>
      <c r="Y27" t="s">
        <v>137</v>
      </c>
      <c r="Z27" t="s">
        <v>378</v>
      </c>
      <c r="AA27" t="s">
        <v>467</v>
      </c>
      <c r="AB27">
        <v>7</v>
      </c>
      <c r="AC27" t="s">
        <v>58</v>
      </c>
      <c r="AD27" t="s">
        <v>468</v>
      </c>
      <c r="AE27" t="s">
        <v>141</v>
      </c>
      <c r="AF27" t="s">
        <v>61</v>
      </c>
      <c r="AG27">
        <v>2162400</v>
      </c>
      <c r="AH27" s="13">
        <v>43248</v>
      </c>
      <c r="AL27" t="s">
        <v>5921</v>
      </c>
      <c r="AM27" s="13">
        <v>43248</v>
      </c>
      <c r="AN27" s="16">
        <f>Table9[[#This Row],[Premium]]-Table9[[#This Row],[Tms prem]]</f>
        <v>0</v>
      </c>
    </row>
    <row r="28" spans="1:40" x14ac:dyDescent="0.25">
      <c r="A28">
        <v>31</v>
      </c>
      <c r="B28" t="s">
        <v>37</v>
      </c>
      <c r="C28" t="s">
        <v>469</v>
      </c>
      <c r="D28" t="s">
        <v>39</v>
      </c>
      <c r="E28" t="s">
        <v>40</v>
      </c>
      <c r="F28" t="s">
        <v>470</v>
      </c>
      <c r="G28" t="s">
        <v>471</v>
      </c>
      <c r="H28" t="s">
        <v>83</v>
      </c>
      <c r="I28" t="s">
        <v>472</v>
      </c>
      <c r="J28" t="s">
        <v>473</v>
      </c>
      <c r="K28" t="s">
        <v>473</v>
      </c>
      <c r="L28" t="s">
        <v>473</v>
      </c>
      <c r="M28" t="s">
        <v>474</v>
      </c>
      <c r="N28">
        <v>1292266</v>
      </c>
      <c r="O28">
        <v>2865000</v>
      </c>
      <c r="P28" t="s">
        <v>475</v>
      </c>
      <c r="Q28" s="1">
        <v>45570</v>
      </c>
      <c r="R28" t="s">
        <v>476</v>
      </c>
      <c r="S28" t="s">
        <v>477</v>
      </c>
      <c r="T28" t="s">
        <v>51</v>
      </c>
      <c r="U28" t="s">
        <v>48</v>
      </c>
      <c r="V28" t="s">
        <v>478</v>
      </c>
      <c r="W28" t="s">
        <v>53</v>
      </c>
      <c r="X28" t="s">
        <v>121</v>
      </c>
      <c r="Y28" t="s">
        <v>152</v>
      </c>
      <c r="Z28" t="s">
        <v>153</v>
      </c>
      <c r="AA28" t="s">
        <v>479</v>
      </c>
      <c r="AB28">
        <v>5</v>
      </c>
      <c r="AC28" t="s">
        <v>78</v>
      </c>
      <c r="AD28" t="s">
        <v>480</v>
      </c>
      <c r="AE28" t="s">
        <v>481</v>
      </c>
      <c r="AF28" t="s">
        <v>61</v>
      </c>
      <c r="AG28">
        <v>2292000</v>
      </c>
      <c r="AH28" s="13">
        <v>45840</v>
      </c>
      <c r="AL28" t="s">
        <v>5922</v>
      </c>
      <c r="AM28" s="13">
        <v>45840</v>
      </c>
      <c r="AN28" s="16">
        <f>Table9[[#This Row],[Premium]]-Table9[[#This Row],[Tms prem]]</f>
        <v>0</v>
      </c>
    </row>
    <row r="29" spans="1:40" x14ac:dyDescent="0.25">
      <c r="A29">
        <v>32</v>
      </c>
      <c r="B29" t="s">
        <v>37</v>
      </c>
      <c r="C29" t="s">
        <v>482</v>
      </c>
      <c r="D29" t="s">
        <v>39</v>
      </c>
      <c r="E29" t="s">
        <v>40</v>
      </c>
      <c r="F29" t="s">
        <v>483</v>
      </c>
      <c r="G29" t="s">
        <v>484</v>
      </c>
      <c r="H29" t="s">
        <v>83</v>
      </c>
      <c r="I29" t="s">
        <v>485</v>
      </c>
      <c r="J29" t="s">
        <v>486</v>
      </c>
      <c r="K29" t="s">
        <v>486</v>
      </c>
      <c r="L29" t="s">
        <v>486</v>
      </c>
      <c r="M29" t="s">
        <v>487</v>
      </c>
      <c r="N29">
        <v>1425134</v>
      </c>
      <c r="O29">
        <v>3903000</v>
      </c>
      <c r="P29" t="s">
        <v>488</v>
      </c>
      <c r="Q29" s="1">
        <v>45570</v>
      </c>
      <c r="R29" t="s">
        <v>489</v>
      </c>
      <c r="S29" t="s">
        <v>490</v>
      </c>
      <c r="T29" t="s">
        <v>51</v>
      </c>
      <c r="U29" t="s">
        <v>48</v>
      </c>
      <c r="V29" t="s">
        <v>491</v>
      </c>
      <c r="W29" t="s">
        <v>53</v>
      </c>
      <c r="X29" t="s">
        <v>492</v>
      </c>
      <c r="Y29" t="s">
        <v>137</v>
      </c>
      <c r="Z29" t="s">
        <v>138</v>
      </c>
      <c r="AA29" t="s">
        <v>493</v>
      </c>
      <c r="AB29">
        <v>5</v>
      </c>
      <c r="AC29" t="s">
        <v>78</v>
      </c>
      <c r="AD29" t="s">
        <v>494</v>
      </c>
      <c r="AE29" t="s">
        <v>141</v>
      </c>
      <c r="AF29" t="s">
        <v>61</v>
      </c>
      <c r="AG29">
        <v>3122400</v>
      </c>
      <c r="AH29" s="13">
        <v>62448</v>
      </c>
      <c r="AL29" t="s">
        <v>5923</v>
      </c>
      <c r="AM29" s="13">
        <v>62448</v>
      </c>
      <c r="AN29" s="16">
        <f>Table9[[#This Row],[Premium]]-Table9[[#This Row],[Tms prem]]</f>
        <v>0</v>
      </c>
    </row>
    <row r="30" spans="1:40" x14ac:dyDescent="0.25">
      <c r="A30">
        <v>33</v>
      </c>
      <c r="B30" t="s">
        <v>37</v>
      </c>
      <c r="C30" t="s">
        <v>495</v>
      </c>
      <c r="D30" t="s">
        <v>39</v>
      </c>
      <c r="E30" t="s">
        <v>40</v>
      </c>
      <c r="F30" t="s">
        <v>496</v>
      </c>
      <c r="G30" t="s">
        <v>497</v>
      </c>
      <c r="H30" t="s">
        <v>43</v>
      </c>
      <c r="I30" t="s">
        <v>498</v>
      </c>
      <c r="J30" t="s">
        <v>499</v>
      </c>
      <c r="K30" t="s">
        <v>500</v>
      </c>
      <c r="L30" t="s">
        <v>501</v>
      </c>
      <c r="M30" t="s">
        <v>502</v>
      </c>
      <c r="N30">
        <v>1371960</v>
      </c>
      <c r="O30">
        <v>5449000</v>
      </c>
      <c r="P30" t="s">
        <v>503</v>
      </c>
      <c r="Q30" s="1">
        <v>45570</v>
      </c>
      <c r="R30" t="s">
        <v>504</v>
      </c>
      <c r="S30" t="s">
        <v>505</v>
      </c>
      <c r="T30" t="s">
        <v>51</v>
      </c>
      <c r="U30" t="s">
        <v>48</v>
      </c>
      <c r="V30" t="s">
        <v>506</v>
      </c>
      <c r="W30" t="s">
        <v>53</v>
      </c>
      <c r="X30" t="s">
        <v>254</v>
      </c>
      <c r="Y30" t="s">
        <v>137</v>
      </c>
      <c r="Z30" t="s">
        <v>507</v>
      </c>
      <c r="AA30" t="s">
        <v>508</v>
      </c>
      <c r="AB30">
        <v>4</v>
      </c>
      <c r="AC30" t="s">
        <v>78</v>
      </c>
      <c r="AD30" t="s">
        <v>509</v>
      </c>
      <c r="AE30" t="s">
        <v>141</v>
      </c>
      <c r="AF30" t="s">
        <v>155</v>
      </c>
      <c r="AG30">
        <v>4359200</v>
      </c>
      <c r="AH30" s="13">
        <v>76286</v>
      </c>
      <c r="AL30" t="s">
        <v>5924</v>
      </c>
      <c r="AM30" s="13">
        <v>76286</v>
      </c>
      <c r="AN30" s="16">
        <f>Table9[[#This Row],[Premium]]-Table9[[#This Row],[Tms prem]]</f>
        <v>0</v>
      </c>
    </row>
    <row r="31" spans="1:40" x14ac:dyDescent="0.25">
      <c r="A31">
        <v>34</v>
      </c>
      <c r="B31" t="s">
        <v>37</v>
      </c>
      <c r="C31" t="s">
        <v>510</v>
      </c>
      <c r="D31" t="s">
        <v>39</v>
      </c>
      <c r="E31" t="s">
        <v>40</v>
      </c>
      <c r="F31" t="s">
        <v>511</v>
      </c>
      <c r="G31" t="s">
        <v>512</v>
      </c>
      <c r="H31" t="s">
        <v>188</v>
      </c>
      <c r="I31" t="s">
        <v>513</v>
      </c>
      <c r="J31" t="s">
        <v>514</v>
      </c>
      <c r="K31" t="s">
        <v>515</v>
      </c>
      <c r="L31" t="s">
        <v>516</v>
      </c>
      <c r="M31" t="s">
        <v>517</v>
      </c>
      <c r="N31">
        <v>2021485</v>
      </c>
      <c r="O31">
        <v>5270000</v>
      </c>
      <c r="P31" t="s">
        <v>518</v>
      </c>
      <c r="Q31" s="1">
        <v>45570</v>
      </c>
      <c r="R31" t="s">
        <v>519</v>
      </c>
      <c r="S31" t="s">
        <v>520</v>
      </c>
      <c r="T31" t="s">
        <v>51</v>
      </c>
      <c r="U31" t="s">
        <v>48</v>
      </c>
      <c r="V31" t="s">
        <v>521</v>
      </c>
      <c r="W31" t="s">
        <v>53</v>
      </c>
      <c r="X31" t="s">
        <v>522</v>
      </c>
      <c r="Y31" t="s">
        <v>107</v>
      </c>
      <c r="Z31" t="s">
        <v>200</v>
      </c>
      <c r="AA31" t="s">
        <v>523</v>
      </c>
      <c r="AB31">
        <v>5</v>
      </c>
      <c r="AC31" t="s">
        <v>48</v>
      </c>
      <c r="AD31" t="s">
        <v>48</v>
      </c>
      <c r="AE31" t="s">
        <v>48</v>
      </c>
      <c r="AF31" t="s">
        <v>61</v>
      </c>
      <c r="AG31">
        <v>4216000</v>
      </c>
      <c r="AH31" s="13">
        <v>84320</v>
      </c>
      <c r="AL31" t="s">
        <v>5925</v>
      </c>
      <c r="AM31" s="13">
        <v>84320</v>
      </c>
      <c r="AN31" s="16">
        <f>Table9[[#This Row],[Premium]]-Table9[[#This Row],[Tms prem]]</f>
        <v>0</v>
      </c>
    </row>
    <row r="32" spans="1:40" x14ac:dyDescent="0.25">
      <c r="A32">
        <v>35</v>
      </c>
      <c r="B32" t="s">
        <v>37</v>
      </c>
      <c r="C32" t="s">
        <v>524</v>
      </c>
      <c r="D32" t="s">
        <v>39</v>
      </c>
      <c r="E32" t="s">
        <v>40</v>
      </c>
      <c r="F32" t="s">
        <v>525</v>
      </c>
      <c r="G32" t="s">
        <v>526</v>
      </c>
      <c r="H32" t="s">
        <v>83</v>
      </c>
      <c r="I32" t="s">
        <v>527</v>
      </c>
      <c r="J32" t="s">
        <v>514</v>
      </c>
      <c r="K32" t="s">
        <v>528</v>
      </c>
      <c r="L32" t="s">
        <v>529</v>
      </c>
      <c r="M32" t="s">
        <v>530</v>
      </c>
      <c r="N32">
        <v>629716</v>
      </c>
      <c r="O32">
        <v>2000000</v>
      </c>
      <c r="P32" t="s">
        <v>531</v>
      </c>
      <c r="Q32" s="1">
        <v>45570</v>
      </c>
      <c r="R32" t="s">
        <v>532</v>
      </c>
      <c r="S32" t="s">
        <v>533</v>
      </c>
      <c r="T32" t="s">
        <v>196</v>
      </c>
      <c r="U32" t="s">
        <v>534</v>
      </c>
      <c r="V32" t="s">
        <v>535</v>
      </c>
      <c r="W32" t="s">
        <v>536</v>
      </c>
      <c r="X32" t="s">
        <v>537</v>
      </c>
      <c r="Y32" t="s">
        <v>538</v>
      </c>
      <c r="Z32" t="s">
        <v>108</v>
      </c>
      <c r="AA32" t="s">
        <v>539</v>
      </c>
      <c r="AB32">
        <v>3</v>
      </c>
      <c r="AC32" t="s">
        <v>540</v>
      </c>
      <c r="AD32" t="s">
        <v>541</v>
      </c>
      <c r="AE32" t="s">
        <v>542</v>
      </c>
      <c r="AF32" t="s">
        <v>155</v>
      </c>
      <c r="AG32">
        <v>1700000</v>
      </c>
      <c r="AH32" s="13">
        <v>29750</v>
      </c>
      <c r="AL32" t="s">
        <v>5926</v>
      </c>
      <c r="AM32" s="13">
        <v>29750</v>
      </c>
      <c r="AN32" s="16">
        <f>Table9[[#This Row],[Premium]]-Table9[[#This Row],[Tms prem]]</f>
        <v>0</v>
      </c>
    </row>
    <row r="33" spans="1:40" x14ac:dyDescent="0.25">
      <c r="A33">
        <v>36</v>
      </c>
      <c r="B33" t="s">
        <v>37</v>
      </c>
      <c r="C33" t="s">
        <v>543</v>
      </c>
      <c r="D33" t="s">
        <v>39</v>
      </c>
      <c r="E33" t="s">
        <v>40</v>
      </c>
      <c r="F33" t="s">
        <v>434</v>
      </c>
      <c r="G33" t="s">
        <v>544</v>
      </c>
      <c r="H33" t="s">
        <v>128</v>
      </c>
      <c r="I33" t="s">
        <v>545</v>
      </c>
      <c r="J33" t="s">
        <v>546</v>
      </c>
      <c r="K33" t="s">
        <v>48</v>
      </c>
      <c r="L33" t="s">
        <v>546</v>
      </c>
      <c r="M33" t="s">
        <v>547</v>
      </c>
      <c r="N33">
        <v>1840431</v>
      </c>
      <c r="O33">
        <v>3490000</v>
      </c>
      <c r="P33" t="s">
        <v>548</v>
      </c>
      <c r="Q33" s="1">
        <v>45570</v>
      </c>
      <c r="R33" t="s">
        <v>549</v>
      </c>
      <c r="S33" t="s">
        <v>550</v>
      </c>
      <c r="T33" t="s">
        <v>51</v>
      </c>
      <c r="U33" t="s">
        <v>48</v>
      </c>
      <c r="V33" t="s">
        <v>551</v>
      </c>
      <c r="W33" t="s">
        <v>552</v>
      </c>
      <c r="X33" t="s">
        <v>553</v>
      </c>
      <c r="Y33" t="s">
        <v>538</v>
      </c>
      <c r="Z33" t="s">
        <v>554</v>
      </c>
      <c r="AA33" t="s">
        <v>555</v>
      </c>
      <c r="AB33">
        <v>5</v>
      </c>
      <c r="AC33" t="s">
        <v>556</v>
      </c>
      <c r="AD33" t="s">
        <v>557</v>
      </c>
      <c r="AE33" t="s">
        <v>542</v>
      </c>
      <c r="AF33" t="s">
        <v>61</v>
      </c>
      <c r="AG33">
        <v>2966500</v>
      </c>
      <c r="AH33" s="13">
        <v>59330</v>
      </c>
      <c r="AL33" t="s">
        <v>5927</v>
      </c>
      <c r="AM33" s="13">
        <v>59330</v>
      </c>
      <c r="AN33" s="16">
        <f>Table9[[#This Row],[Premium]]-Table9[[#This Row],[Tms prem]]</f>
        <v>0</v>
      </c>
    </row>
    <row r="34" spans="1:40" x14ac:dyDescent="0.25">
      <c r="A34">
        <v>37</v>
      </c>
      <c r="B34" t="s">
        <v>37</v>
      </c>
      <c r="C34" t="s">
        <v>558</v>
      </c>
      <c r="D34" t="s">
        <v>39</v>
      </c>
      <c r="E34" t="s">
        <v>40</v>
      </c>
      <c r="F34" t="s">
        <v>63</v>
      </c>
      <c r="G34" t="s">
        <v>559</v>
      </c>
      <c r="H34" t="s">
        <v>43</v>
      </c>
      <c r="I34" t="s">
        <v>560</v>
      </c>
      <c r="J34" t="s">
        <v>561</v>
      </c>
      <c r="K34" t="s">
        <v>562</v>
      </c>
      <c r="L34" t="s">
        <v>563</v>
      </c>
      <c r="M34" t="s">
        <v>564</v>
      </c>
      <c r="N34">
        <v>328717</v>
      </c>
      <c r="O34">
        <v>1830000</v>
      </c>
      <c r="P34" t="s">
        <v>565</v>
      </c>
      <c r="Q34" s="1">
        <v>45571</v>
      </c>
      <c r="R34" t="s">
        <v>566</v>
      </c>
      <c r="S34" t="s">
        <v>567</v>
      </c>
      <c r="T34" t="s">
        <v>51</v>
      </c>
      <c r="U34" t="s">
        <v>48</v>
      </c>
      <c r="V34" t="s">
        <v>568</v>
      </c>
      <c r="W34" t="s">
        <v>53</v>
      </c>
      <c r="X34" t="s">
        <v>569</v>
      </c>
      <c r="Y34" t="s">
        <v>137</v>
      </c>
      <c r="Z34" t="s">
        <v>507</v>
      </c>
      <c r="AA34" t="s">
        <v>570</v>
      </c>
      <c r="AB34">
        <v>4</v>
      </c>
      <c r="AC34" t="s">
        <v>78</v>
      </c>
      <c r="AD34" t="s">
        <v>571</v>
      </c>
      <c r="AE34" t="s">
        <v>481</v>
      </c>
      <c r="AF34" t="s">
        <v>61</v>
      </c>
      <c r="AG34">
        <v>1464000</v>
      </c>
      <c r="AH34" s="13">
        <v>29280</v>
      </c>
      <c r="AL34" t="s">
        <v>5928</v>
      </c>
      <c r="AM34" s="13">
        <v>29280</v>
      </c>
      <c r="AN34" s="16">
        <f>Table9[[#This Row],[Premium]]-Table9[[#This Row],[Tms prem]]</f>
        <v>0</v>
      </c>
    </row>
    <row r="35" spans="1:40" x14ac:dyDescent="0.25">
      <c r="A35">
        <v>38</v>
      </c>
      <c r="B35" t="s">
        <v>37</v>
      </c>
      <c r="C35" t="s">
        <v>572</v>
      </c>
      <c r="D35" t="s">
        <v>39</v>
      </c>
      <c r="E35" t="s">
        <v>40</v>
      </c>
      <c r="F35" t="s">
        <v>63</v>
      </c>
      <c r="G35" t="s">
        <v>573</v>
      </c>
      <c r="H35" t="s">
        <v>65</v>
      </c>
      <c r="I35" t="s">
        <v>574</v>
      </c>
      <c r="J35" t="s">
        <v>575</v>
      </c>
      <c r="K35" t="s">
        <v>48</v>
      </c>
      <c r="L35" t="s">
        <v>576</v>
      </c>
      <c r="M35" t="s">
        <v>577</v>
      </c>
      <c r="N35">
        <v>887205</v>
      </c>
      <c r="O35">
        <v>1975000</v>
      </c>
      <c r="P35" t="s">
        <v>578</v>
      </c>
      <c r="Q35" s="1">
        <v>45571</v>
      </c>
      <c r="R35" t="s">
        <v>579</v>
      </c>
      <c r="S35" t="s">
        <v>580</v>
      </c>
      <c r="T35" t="s">
        <v>51</v>
      </c>
      <c r="U35" t="s">
        <v>48</v>
      </c>
      <c r="V35" t="s">
        <v>581</v>
      </c>
      <c r="W35" t="s">
        <v>53</v>
      </c>
      <c r="X35" t="s">
        <v>311</v>
      </c>
      <c r="Y35" t="s">
        <v>137</v>
      </c>
      <c r="Z35" t="s">
        <v>378</v>
      </c>
      <c r="AA35" t="s">
        <v>582</v>
      </c>
      <c r="AB35">
        <v>7</v>
      </c>
      <c r="AC35" t="s">
        <v>58</v>
      </c>
      <c r="AD35" t="s">
        <v>583</v>
      </c>
      <c r="AE35" t="s">
        <v>481</v>
      </c>
      <c r="AF35" t="s">
        <v>61</v>
      </c>
      <c r="AG35">
        <v>1580000</v>
      </c>
      <c r="AH35" s="13">
        <v>31600</v>
      </c>
      <c r="AL35" t="s">
        <v>5929</v>
      </c>
      <c r="AM35" s="13">
        <v>31600</v>
      </c>
      <c r="AN35" s="16">
        <f>Table9[[#This Row],[Premium]]-Table9[[#This Row],[Tms prem]]</f>
        <v>0</v>
      </c>
    </row>
    <row r="36" spans="1:40" x14ac:dyDescent="0.25">
      <c r="A36">
        <v>39</v>
      </c>
      <c r="B36" t="s">
        <v>37</v>
      </c>
      <c r="C36" t="s">
        <v>584</v>
      </c>
      <c r="D36" t="s">
        <v>39</v>
      </c>
      <c r="E36" t="s">
        <v>40</v>
      </c>
      <c r="F36" t="s">
        <v>585</v>
      </c>
      <c r="G36" t="s">
        <v>586</v>
      </c>
      <c r="H36" t="s">
        <v>233</v>
      </c>
      <c r="I36" t="s">
        <v>587</v>
      </c>
      <c r="J36" t="s">
        <v>48</v>
      </c>
      <c r="K36" t="s">
        <v>588</v>
      </c>
      <c r="L36" t="s">
        <v>589</v>
      </c>
      <c r="M36" t="s">
        <v>590</v>
      </c>
      <c r="N36">
        <v>771918</v>
      </c>
      <c r="O36">
        <v>1830000</v>
      </c>
      <c r="P36" t="s">
        <v>591</v>
      </c>
      <c r="Q36" s="1">
        <v>45571</v>
      </c>
      <c r="R36" t="s">
        <v>592</v>
      </c>
      <c r="S36" t="s">
        <v>593</v>
      </c>
      <c r="T36" t="s">
        <v>51</v>
      </c>
      <c r="U36" t="s">
        <v>48</v>
      </c>
      <c r="V36" t="s">
        <v>594</v>
      </c>
      <c r="W36" t="s">
        <v>53</v>
      </c>
      <c r="X36" t="s">
        <v>595</v>
      </c>
      <c r="Y36" t="s">
        <v>137</v>
      </c>
      <c r="Z36" t="s">
        <v>138</v>
      </c>
      <c r="AA36" t="s">
        <v>596</v>
      </c>
      <c r="AB36">
        <v>5</v>
      </c>
      <c r="AC36" t="s">
        <v>58</v>
      </c>
      <c r="AD36" t="s">
        <v>597</v>
      </c>
      <c r="AE36" t="s">
        <v>481</v>
      </c>
      <c r="AF36" t="s">
        <v>61</v>
      </c>
      <c r="AG36">
        <v>1464000</v>
      </c>
      <c r="AH36" s="13">
        <v>29280</v>
      </c>
      <c r="AL36" t="s">
        <v>5930</v>
      </c>
      <c r="AM36" s="13">
        <v>29280</v>
      </c>
      <c r="AN36" s="16">
        <f>Table9[[#This Row],[Premium]]-Table9[[#This Row],[Tms prem]]</f>
        <v>0</v>
      </c>
    </row>
    <row r="37" spans="1:40" x14ac:dyDescent="0.25">
      <c r="A37">
        <v>41</v>
      </c>
      <c r="B37" t="s">
        <v>37</v>
      </c>
      <c r="C37" t="s">
        <v>609</v>
      </c>
      <c r="D37" t="s">
        <v>39</v>
      </c>
      <c r="E37" t="s">
        <v>40</v>
      </c>
      <c r="F37" t="s">
        <v>610</v>
      </c>
      <c r="G37" t="s">
        <v>611</v>
      </c>
      <c r="H37" t="s">
        <v>422</v>
      </c>
      <c r="I37" t="s">
        <v>612</v>
      </c>
      <c r="J37" t="s">
        <v>48</v>
      </c>
      <c r="K37" t="s">
        <v>613</v>
      </c>
      <c r="L37" t="s">
        <v>48</v>
      </c>
      <c r="M37" t="s">
        <v>614</v>
      </c>
      <c r="N37">
        <v>1424967</v>
      </c>
      <c r="O37">
        <v>5270000</v>
      </c>
      <c r="P37" t="s">
        <v>615</v>
      </c>
      <c r="Q37" s="1">
        <v>45571</v>
      </c>
      <c r="R37" t="s">
        <v>616</v>
      </c>
      <c r="S37" t="s">
        <v>617</v>
      </c>
      <c r="T37" t="s">
        <v>51</v>
      </c>
      <c r="U37" t="s">
        <v>48</v>
      </c>
      <c r="V37" t="s">
        <v>618</v>
      </c>
      <c r="W37" t="s">
        <v>53</v>
      </c>
      <c r="X37" t="s">
        <v>569</v>
      </c>
      <c r="Y37" t="s">
        <v>137</v>
      </c>
      <c r="Z37" t="s">
        <v>138</v>
      </c>
      <c r="AA37" t="s">
        <v>619</v>
      </c>
      <c r="AB37">
        <v>5</v>
      </c>
      <c r="AC37" t="s">
        <v>48</v>
      </c>
      <c r="AD37" t="s">
        <v>48</v>
      </c>
      <c r="AE37" t="s">
        <v>48</v>
      </c>
      <c r="AF37" t="s">
        <v>155</v>
      </c>
      <c r="AG37">
        <v>4216000</v>
      </c>
      <c r="AH37" s="13">
        <v>73780</v>
      </c>
      <c r="AL37" t="s">
        <v>5931</v>
      </c>
      <c r="AM37" s="13">
        <v>73780</v>
      </c>
      <c r="AN37" s="16">
        <f>Table9[[#This Row],[Premium]]-Table9[[#This Row],[Tms prem]]</f>
        <v>0</v>
      </c>
    </row>
    <row r="38" spans="1:40" x14ac:dyDescent="0.25">
      <c r="A38">
        <v>42</v>
      </c>
      <c r="B38" t="s">
        <v>37</v>
      </c>
      <c r="C38" t="s">
        <v>620</v>
      </c>
      <c r="D38" t="s">
        <v>39</v>
      </c>
      <c r="E38" t="s">
        <v>40</v>
      </c>
      <c r="F38" t="s">
        <v>621</v>
      </c>
      <c r="G38" t="s">
        <v>622</v>
      </c>
      <c r="H38" t="s">
        <v>83</v>
      </c>
      <c r="I38" t="s">
        <v>623</v>
      </c>
      <c r="J38" t="s">
        <v>48</v>
      </c>
      <c r="K38" t="s">
        <v>624</v>
      </c>
      <c r="L38" t="s">
        <v>48</v>
      </c>
      <c r="M38" t="s">
        <v>625</v>
      </c>
      <c r="N38">
        <v>1608642</v>
      </c>
      <c r="O38">
        <v>5303000</v>
      </c>
      <c r="P38" t="s">
        <v>626</v>
      </c>
      <c r="Q38" s="1">
        <v>45571</v>
      </c>
      <c r="R38" t="s">
        <v>627</v>
      </c>
      <c r="S38" t="s">
        <v>628</v>
      </c>
      <c r="T38" t="s">
        <v>51</v>
      </c>
      <c r="U38" t="s">
        <v>48</v>
      </c>
      <c r="V38" t="s">
        <v>521</v>
      </c>
      <c r="W38" t="s">
        <v>53</v>
      </c>
      <c r="X38" t="s">
        <v>629</v>
      </c>
      <c r="Y38" t="s">
        <v>137</v>
      </c>
      <c r="Z38" t="s">
        <v>138</v>
      </c>
      <c r="AA38" t="s">
        <v>630</v>
      </c>
      <c r="AB38">
        <v>5</v>
      </c>
      <c r="AC38" t="s">
        <v>58</v>
      </c>
      <c r="AD38" t="s">
        <v>631</v>
      </c>
      <c r="AE38" t="s">
        <v>481</v>
      </c>
      <c r="AF38" t="s">
        <v>61</v>
      </c>
      <c r="AG38">
        <v>4242400</v>
      </c>
      <c r="AH38" s="13">
        <v>84848</v>
      </c>
      <c r="AL38" t="s">
        <v>5932</v>
      </c>
      <c r="AM38" s="13">
        <v>84848</v>
      </c>
      <c r="AN38" s="16">
        <f>Table9[[#This Row],[Premium]]-Table9[[#This Row],[Tms prem]]</f>
        <v>0</v>
      </c>
    </row>
    <row r="39" spans="1:40" x14ac:dyDescent="0.25">
      <c r="A39">
        <v>43</v>
      </c>
      <c r="B39" t="s">
        <v>37</v>
      </c>
      <c r="C39" t="s">
        <v>632</v>
      </c>
      <c r="D39" t="s">
        <v>39</v>
      </c>
      <c r="E39" t="s">
        <v>40</v>
      </c>
      <c r="F39" t="s">
        <v>511</v>
      </c>
      <c r="G39" t="s">
        <v>633</v>
      </c>
      <c r="H39" t="s">
        <v>422</v>
      </c>
      <c r="I39" t="s">
        <v>634</v>
      </c>
      <c r="J39" t="s">
        <v>635</v>
      </c>
      <c r="K39" t="s">
        <v>635</v>
      </c>
      <c r="L39" t="s">
        <v>636</v>
      </c>
      <c r="M39" t="s">
        <v>637</v>
      </c>
      <c r="N39">
        <v>2226509</v>
      </c>
      <c r="O39">
        <v>5270000</v>
      </c>
      <c r="P39" t="s">
        <v>638</v>
      </c>
      <c r="Q39" s="1">
        <v>45571</v>
      </c>
      <c r="R39" t="s">
        <v>639</v>
      </c>
      <c r="S39" t="s">
        <v>640</v>
      </c>
      <c r="T39" t="s">
        <v>51</v>
      </c>
      <c r="U39" t="s">
        <v>48</v>
      </c>
      <c r="V39" t="s">
        <v>618</v>
      </c>
      <c r="W39" t="s">
        <v>53</v>
      </c>
      <c r="X39" t="s">
        <v>641</v>
      </c>
      <c r="Y39" t="s">
        <v>137</v>
      </c>
      <c r="Z39" t="s">
        <v>138</v>
      </c>
      <c r="AA39" t="s">
        <v>642</v>
      </c>
      <c r="AB39">
        <v>5</v>
      </c>
      <c r="AC39" t="s">
        <v>78</v>
      </c>
      <c r="AD39" t="s">
        <v>48</v>
      </c>
      <c r="AE39" t="s">
        <v>48</v>
      </c>
      <c r="AF39" t="s">
        <v>155</v>
      </c>
      <c r="AG39">
        <v>4216000</v>
      </c>
      <c r="AH39" s="13">
        <v>73780</v>
      </c>
      <c r="AL39" t="s">
        <v>5933</v>
      </c>
      <c r="AM39" s="13">
        <v>73780</v>
      </c>
      <c r="AN39" s="16">
        <f>Table9[[#This Row],[Premium]]-Table9[[#This Row],[Tms prem]]</f>
        <v>0</v>
      </c>
    </row>
    <row r="40" spans="1:40" x14ac:dyDescent="0.25">
      <c r="A40">
        <v>44</v>
      </c>
      <c r="B40" t="s">
        <v>37</v>
      </c>
      <c r="C40" t="s">
        <v>643</v>
      </c>
      <c r="D40" t="s">
        <v>39</v>
      </c>
      <c r="E40" t="s">
        <v>40</v>
      </c>
      <c r="F40" t="s">
        <v>644</v>
      </c>
      <c r="G40" t="s">
        <v>645</v>
      </c>
      <c r="H40" t="s">
        <v>83</v>
      </c>
      <c r="I40" t="s">
        <v>646</v>
      </c>
      <c r="J40" t="s">
        <v>647</v>
      </c>
      <c r="K40" t="s">
        <v>648</v>
      </c>
      <c r="L40" t="s">
        <v>647</v>
      </c>
      <c r="M40" t="s">
        <v>649</v>
      </c>
      <c r="N40">
        <v>634615</v>
      </c>
      <c r="O40">
        <v>1150000</v>
      </c>
      <c r="P40" t="s">
        <v>650</v>
      </c>
      <c r="Q40" s="1">
        <v>45571</v>
      </c>
      <c r="R40" t="s">
        <v>651</v>
      </c>
      <c r="S40" t="s">
        <v>652</v>
      </c>
      <c r="T40" t="s">
        <v>196</v>
      </c>
      <c r="U40" t="s">
        <v>653</v>
      </c>
      <c r="V40" t="s">
        <v>654</v>
      </c>
      <c r="W40" t="s">
        <v>536</v>
      </c>
      <c r="X40" t="s">
        <v>538</v>
      </c>
      <c r="Y40" t="s">
        <v>538</v>
      </c>
      <c r="Z40" t="s">
        <v>554</v>
      </c>
      <c r="AA40" t="s">
        <v>655</v>
      </c>
      <c r="AB40">
        <v>5</v>
      </c>
      <c r="AC40" t="s">
        <v>540</v>
      </c>
      <c r="AD40" t="s">
        <v>656</v>
      </c>
      <c r="AE40" t="s">
        <v>657</v>
      </c>
      <c r="AF40" t="s">
        <v>155</v>
      </c>
      <c r="AG40">
        <v>977500</v>
      </c>
      <c r="AH40" s="13">
        <v>17106</v>
      </c>
      <c r="AL40" t="s">
        <v>5934</v>
      </c>
      <c r="AM40" s="13">
        <v>17106</v>
      </c>
      <c r="AN40" s="16">
        <f>Table9[[#This Row],[Premium]]-Table9[[#This Row],[Tms prem]]</f>
        <v>0</v>
      </c>
    </row>
    <row r="41" spans="1:40" x14ac:dyDescent="0.25">
      <c r="A41">
        <v>46</v>
      </c>
      <c r="B41" t="s">
        <v>37</v>
      </c>
      <c r="C41" t="s">
        <v>673</v>
      </c>
      <c r="D41" t="s">
        <v>39</v>
      </c>
      <c r="E41" t="s">
        <v>40</v>
      </c>
      <c r="F41" t="s">
        <v>63</v>
      </c>
      <c r="G41" t="s">
        <v>674</v>
      </c>
      <c r="H41" t="s">
        <v>43</v>
      </c>
      <c r="I41" t="s">
        <v>675</v>
      </c>
      <c r="J41" t="s">
        <v>676</v>
      </c>
      <c r="K41" t="s">
        <v>677</v>
      </c>
      <c r="L41" t="s">
        <v>678</v>
      </c>
      <c r="M41" t="s">
        <v>679</v>
      </c>
      <c r="N41">
        <v>513303</v>
      </c>
      <c r="O41">
        <v>1335000</v>
      </c>
      <c r="P41" t="s">
        <v>680</v>
      </c>
      <c r="Q41" s="1">
        <v>45572</v>
      </c>
      <c r="R41" t="s">
        <v>681</v>
      </c>
      <c r="S41" t="s">
        <v>682</v>
      </c>
      <c r="T41" t="s">
        <v>51</v>
      </c>
      <c r="U41" t="s">
        <v>48</v>
      </c>
      <c r="V41" t="s">
        <v>683</v>
      </c>
      <c r="W41" t="s">
        <v>53</v>
      </c>
      <c r="X41" t="s">
        <v>684</v>
      </c>
      <c r="Y41" t="s">
        <v>137</v>
      </c>
      <c r="Z41" t="s">
        <v>138</v>
      </c>
      <c r="AA41" t="s">
        <v>685</v>
      </c>
      <c r="AB41">
        <v>5</v>
      </c>
      <c r="AC41" t="s">
        <v>58</v>
      </c>
      <c r="AD41" t="s">
        <v>686</v>
      </c>
      <c r="AE41" t="s">
        <v>199</v>
      </c>
      <c r="AF41" t="s">
        <v>61</v>
      </c>
      <c r="AG41">
        <v>1068000</v>
      </c>
      <c r="AH41" s="13">
        <v>21360</v>
      </c>
      <c r="AL41" t="s">
        <v>5935</v>
      </c>
      <c r="AM41" s="13">
        <v>21360</v>
      </c>
      <c r="AN41" s="16">
        <f>Table9[[#This Row],[Premium]]-Table9[[#This Row],[Tms prem]]</f>
        <v>0</v>
      </c>
    </row>
    <row r="42" spans="1:40" x14ac:dyDescent="0.25">
      <c r="A42">
        <v>47</v>
      </c>
      <c r="B42" t="s">
        <v>37</v>
      </c>
      <c r="C42" t="s">
        <v>687</v>
      </c>
      <c r="D42" t="s">
        <v>39</v>
      </c>
      <c r="E42" t="s">
        <v>40</v>
      </c>
      <c r="F42" t="s">
        <v>63</v>
      </c>
      <c r="G42" t="s">
        <v>688</v>
      </c>
      <c r="H42" t="s">
        <v>43</v>
      </c>
      <c r="I42" t="s">
        <v>689</v>
      </c>
      <c r="J42" t="s">
        <v>690</v>
      </c>
      <c r="K42" t="s">
        <v>690</v>
      </c>
      <c r="L42" t="s">
        <v>691</v>
      </c>
      <c r="M42" t="s">
        <v>692</v>
      </c>
      <c r="N42">
        <v>681058</v>
      </c>
      <c r="O42">
        <v>1335000</v>
      </c>
      <c r="P42" t="s">
        <v>693</v>
      </c>
      <c r="Q42" s="1">
        <v>45572</v>
      </c>
      <c r="R42" t="s">
        <v>694</v>
      </c>
      <c r="S42" t="s">
        <v>695</v>
      </c>
      <c r="T42" t="s">
        <v>51</v>
      </c>
      <c r="U42" t="s">
        <v>48</v>
      </c>
      <c r="V42" t="s">
        <v>696</v>
      </c>
      <c r="W42" t="s">
        <v>53</v>
      </c>
      <c r="X42" t="s">
        <v>91</v>
      </c>
      <c r="Y42" t="s">
        <v>697</v>
      </c>
      <c r="Z42" t="s">
        <v>698</v>
      </c>
      <c r="AA42" t="s">
        <v>699</v>
      </c>
      <c r="AB42">
        <v>6</v>
      </c>
      <c r="AC42" t="s">
        <v>78</v>
      </c>
      <c r="AD42" t="s">
        <v>700</v>
      </c>
      <c r="AE42" t="s">
        <v>701</v>
      </c>
      <c r="AF42" t="s">
        <v>61</v>
      </c>
      <c r="AG42">
        <v>1068000</v>
      </c>
      <c r="AH42" s="13">
        <v>21360</v>
      </c>
      <c r="AL42" t="s">
        <v>5936</v>
      </c>
      <c r="AM42" s="13">
        <v>21360</v>
      </c>
      <c r="AN42" s="16">
        <f>Table9[[#This Row],[Premium]]-Table9[[#This Row],[Tms prem]]</f>
        <v>0</v>
      </c>
    </row>
    <row r="43" spans="1:40" x14ac:dyDescent="0.25">
      <c r="A43">
        <v>48</v>
      </c>
      <c r="B43" t="s">
        <v>37</v>
      </c>
      <c r="C43" t="s">
        <v>702</v>
      </c>
      <c r="D43" t="s">
        <v>39</v>
      </c>
      <c r="E43" t="s">
        <v>40</v>
      </c>
      <c r="F43" t="s">
        <v>703</v>
      </c>
      <c r="G43" t="s">
        <v>704</v>
      </c>
      <c r="H43" t="s">
        <v>705</v>
      </c>
      <c r="I43" t="s">
        <v>706</v>
      </c>
      <c r="J43" t="s">
        <v>707</v>
      </c>
      <c r="K43" t="s">
        <v>707</v>
      </c>
      <c r="L43" t="s">
        <v>707</v>
      </c>
      <c r="M43" t="s">
        <v>708</v>
      </c>
      <c r="N43">
        <v>700556</v>
      </c>
      <c r="O43">
        <v>1830000</v>
      </c>
      <c r="P43" t="s">
        <v>709</v>
      </c>
      <c r="Q43" s="1">
        <v>45572</v>
      </c>
      <c r="R43" t="s">
        <v>710</v>
      </c>
      <c r="S43" t="s">
        <v>711</v>
      </c>
      <c r="T43" t="s">
        <v>51</v>
      </c>
      <c r="U43" t="s">
        <v>48</v>
      </c>
      <c r="V43" t="s">
        <v>568</v>
      </c>
      <c r="W43" t="s">
        <v>53</v>
      </c>
      <c r="X43" t="s">
        <v>165</v>
      </c>
      <c r="Y43" t="s">
        <v>137</v>
      </c>
      <c r="Z43" t="s">
        <v>138</v>
      </c>
      <c r="AA43" t="s">
        <v>712</v>
      </c>
      <c r="AB43">
        <v>5</v>
      </c>
      <c r="AC43" t="s">
        <v>78</v>
      </c>
      <c r="AD43" t="s">
        <v>713</v>
      </c>
      <c r="AE43" t="s">
        <v>481</v>
      </c>
      <c r="AF43" t="s">
        <v>61</v>
      </c>
      <c r="AG43">
        <v>1464000</v>
      </c>
      <c r="AH43" s="13">
        <v>29280</v>
      </c>
      <c r="AL43" t="s">
        <v>5937</v>
      </c>
      <c r="AM43" s="13">
        <v>29280</v>
      </c>
      <c r="AN43" s="16">
        <f>Table9[[#This Row],[Premium]]-Table9[[#This Row],[Tms prem]]</f>
        <v>0</v>
      </c>
    </row>
    <row r="44" spans="1:40" x14ac:dyDescent="0.25">
      <c r="A44">
        <v>49</v>
      </c>
      <c r="B44" t="s">
        <v>37</v>
      </c>
      <c r="C44" t="s">
        <v>714</v>
      </c>
      <c r="D44" t="s">
        <v>39</v>
      </c>
      <c r="E44" t="s">
        <v>40</v>
      </c>
      <c r="F44" t="s">
        <v>715</v>
      </c>
      <c r="G44" t="s">
        <v>271</v>
      </c>
      <c r="H44" t="s">
        <v>83</v>
      </c>
      <c r="I44" t="s">
        <v>716</v>
      </c>
      <c r="J44" t="s">
        <v>717</v>
      </c>
      <c r="K44" t="s">
        <v>717</v>
      </c>
      <c r="L44" t="s">
        <v>718</v>
      </c>
      <c r="M44" t="s">
        <v>719</v>
      </c>
      <c r="N44">
        <v>1218290</v>
      </c>
      <c r="O44">
        <v>2703000</v>
      </c>
      <c r="P44" t="s">
        <v>720</v>
      </c>
      <c r="Q44" s="1">
        <v>45572</v>
      </c>
      <c r="R44" t="s">
        <v>721</v>
      </c>
      <c r="S44" t="s">
        <v>722</v>
      </c>
      <c r="T44" t="s">
        <v>51</v>
      </c>
      <c r="U44" t="s">
        <v>48</v>
      </c>
      <c r="V44" t="s">
        <v>416</v>
      </c>
      <c r="W44" t="s">
        <v>53</v>
      </c>
      <c r="X44" t="s">
        <v>595</v>
      </c>
      <c r="Y44" t="s">
        <v>92</v>
      </c>
      <c r="Z44" t="s">
        <v>93</v>
      </c>
      <c r="AA44" t="s">
        <v>723</v>
      </c>
      <c r="AB44">
        <v>5</v>
      </c>
      <c r="AC44" t="s">
        <v>78</v>
      </c>
      <c r="AD44" t="s">
        <v>724</v>
      </c>
      <c r="AE44" t="s">
        <v>725</v>
      </c>
      <c r="AF44" t="s">
        <v>61</v>
      </c>
      <c r="AG44">
        <v>2162400</v>
      </c>
      <c r="AH44" s="13">
        <v>43248</v>
      </c>
      <c r="AL44" t="s">
        <v>5938</v>
      </c>
      <c r="AM44" s="13">
        <v>43248</v>
      </c>
      <c r="AN44" s="16">
        <f>Table9[[#This Row],[Premium]]-Table9[[#This Row],[Tms prem]]</f>
        <v>0</v>
      </c>
    </row>
    <row r="45" spans="1:40" x14ac:dyDescent="0.25">
      <c r="A45">
        <v>50</v>
      </c>
      <c r="B45" t="s">
        <v>37</v>
      </c>
      <c r="C45" t="s">
        <v>726</v>
      </c>
      <c r="D45" t="s">
        <v>39</v>
      </c>
      <c r="E45" t="s">
        <v>40</v>
      </c>
      <c r="F45" t="s">
        <v>727</v>
      </c>
      <c r="G45" t="s">
        <v>728</v>
      </c>
      <c r="H45" t="s">
        <v>83</v>
      </c>
      <c r="I45" t="s">
        <v>729</v>
      </c>
      <c r="J45" t="s">
        <v>730</v>
      </c>
      <c r="K45" t="s">
        <v>730</v>
      </c>
      <c r="L45" t="s">
        <v>730</v>
      </c>
      <c r="M45" t="s">
        <v>731</v>
      </c>
      <c r="N45">
        <v>1186052</v>
      </c>
      <c r="O45">
        <v>4891000</v>
      </c>
      <c r="P45" t="s">
        <v>732</v>
      </c>
      <c r="Q45" s="1">
        <v>45574</v>
      </c>
      <c r="R45" t="s">
        <v>733</v>
      </c>
      <c r="S45" t="s">
        <v>734</v>
      </c>
      <c r="T45" t="s">
        <v>51</v>
      </c>
      <c r="U45" t="s">
        <v>48</v>
      </c>
      <c r="V45" t="s">
        <v>735</v>
      </c>
      <c r="W45" t="s">
        <v>552</v>
      </c>
      <c r="X45" t="s">
        <v>668</v>
      </c>
      <c r="Y45" t="s">
        <v>669</v>
      </c>
      <c r="Z45" t="s">
        <v>507</v>
      </c>
      <c r="AA45" t="s">
        <v>736</v>
      </c>
      <c r="AB45">
        <v>3</v>
      </c>
      <c r="AC45" t="s">
        <v>556</v>
      </c>
      <c r="AD45" t="s">
        <v>737</v>
      </c>
      <c r="AE45" t="s">
        <v>657</v>
      </c>
      <c r="AF45" t="s">
        <v>155</v>
      </c>
      <c r="AG45">
        <v>4157350</v>
      </c>
      <c r="AH45" s="13">
        <v>72754</v>
      </c>
      <c r="AL45" t="s">
        <v>5939</v>
      </c>
      <c r="AM45" s="13">
        <v>72754</v>
      </c>
      <c r="AN45" s="16">
        <f>Table9[[#This Row],[Premium]]-Table9[[#This Row],[Tms prem]]</f>
        <v>0</v>
      </c>
    </row>
    <row r="46" spans="1:40" x14ac:dyDescent="0.25">
      <c r="A46">
        <v>51</v>
      </c>
      <c r="B46" t="s">
        <v>37</v>
      </c>
      <c r="C46" t="s">
        <v>738</v>
      </c>
      <c r="D46" t="s">
        <v>39</v>
      </c>
      <c r="E46" t="s">
        <v>40</v>
      </c>
      <c r="F46" t="s">
        <v>63</v>
      </c>
      <c r="G46" t="s">
        <v>739</v>
      </c>
      <c r="H46" t="s">
        <v>43</v>
      </c>
      <c r="I46" t="s">
        <v>740</v>
      </c>
      <c r="J46" t="s">
        <v>741</v>
      </c>
      <c r="K46" t="s">
        <v>742</v>
      </c>
      <c r="L46" t="s">
        <v>741</v>
      </c>
      <c r="M46" t="s">
        <v>743</v>
      </c>
      <c r="N46">
        <v>635211</v>
      </c>
      <c r="O46">
        <v>1886000</v>
      </c>
      <c r="P46" t="s">
        <v>744</v>
      </c>
      <c r="Q46" s="1">
        <v>45574</v>
      </c>
      <c r="R46" t="s">
        <v>745</v>
      </c>
      <c r="S46" t="s">
        <v>746</v>
      </c>
      <c r="T46" t="s">
        <v>51</v>
      </c>
      <c r="U46" t="s">
        <v>48</v>
      </c>
      <c r="V46" t="s">
        <v>73</v>
      </c>
      <c r="W46" t="s">
        <v>552</v>
      </c>
      <c r="X46" t="s">
        <v>747</v>
      </c>
      <c r="Y46" t="s">
        <v>669</v>
      </c>
      <c r="Z46" t="s">
        <v>507</v>
      </c>
      <c r="AA46" t="s">
        <v>748</v>
      </c>
      <c r="AB46">
        <v>3</v>
      </c>
      <c r="AC46" t="s">
        <v>556</v>
      </c>
      <c r="AD46" t="s">
        <v>749</v>
      </c>
      <c r="AE46" t="s">
        <v>657</v>
      </c>
      <c r="AF46" t="s">
        <v>61</v>
      </c>
      <c r="AG46">
        <v>1603100</v>
      </c>
      <c r="AH46" s="13">
        <v>32062</v>
      </c>
      <c r="AL46" t="s">
        <v>5940</v>
      </c>
      <c r="AM46" s="13">
        <v>32062</v>
      </c>
      <c r="AN46" s="16">
        <f>Table9[[#This Row],[Premium]]-Table9[[#This Row],[Tms prem]]</f>
        <v>0</v>
      </c>
    </row>
    <row r="47" spans="1:40" x14ac:dyDescent="0.25">
      <c r="A47">
        <v>52</v>
      </c>
      <c r="B47" t="s">
        <v>37</v>
      </c>
      <c r="C47" t="s">
        <v>750</v>
      </c>
      <c r="D47" t="s">
        <v>39</v>
      </c>
      <c r="E47" t="s">
        <v>40</v>
      </c>
      <c r="F47" t="s">
        <v>751</v>
      </c>
      <c r="G47" t="s">
        <v>752</v>
      </c>
      <c r="H47" t="s">
        <v>83</v>
      </c>
      <c r="I47" t="s">
        <v>753</v>
      </c>
      <c r="J47" t="s">
        <v>48</v>
      </c>
      <c r="K47" t="s">
        <v>754</v>
      </c>
      <c r="L47" t="s">
        <v>48</v>
      </c>
      <c r="M47" t="s">
        <v>755</v>
      </c>
      <c r="N47">
        <v>1220249</v>
      </c>
      <c r="O47">
        <v>3844000</v>
      </c>
      <c r="P47" t="s">
        <v>756</v>
      </c>
      <c r="Q47" s="1">
        <v>45574</v>
      </c>
      <c r="R47" t="s">
        <v>757</v>
      </c>
      <c r="S47" t="s">
        <v>758</v>
      </c>
      <c r="T47" t="s">
        <v>51</v>
      </c>
      <c r="U47" t="s">
        <v>48</v>
      </c>
      <c r="V47" t="s">
        <v>429</v>
      </c>
      <c r="W47" t="s">
        <v>552</v>
      </c>
      <c r="X47" t="s">
        <v>759</v>
      </c>
      <c r="Y47" t="s">
        <v>669</v>
      </c>
      <c r="Z47" t="s">
        <v>507</v>
      </c>
      <c r="AA47" t="s">
        <v>760</v>
      </c>
      <c r="AB47">
        <v>3</v>
      </c>
      <c r="AC47" t="s">
        <v>540</v>
      </c>
      <c r="AD47" t="s">
        <v>761</v>
      </c>
      <c r="AE47" t="s">
        <v>657</v>
      </c>
      <c r="AF47" t="s">
        <v>61</v>
      </c>
      <c r="AG47">
        <v>3267400</v>
      </c>
      <c r="AH47" s="13">
        <v>65348</v>
      </c>
      <c r="AL47" t="s">
        <v>5941</v>
      </c>
      <c r="AM47" s="13">
        <v>65348</v>
      </c>
      <c r="AN47" s="16">
        <f>Table9[[#This Row],[Premium]]-Table9[[#This Row],[Tms prem]]</f>
        <v>0</v>
      </c>
    </row>
    <row r="48" spans="1:40" x14ac:dyDescent="0.25">
      <c r="A48">
        <v>53</v>
      </c>
      <c r="B48" t="s">
        <v>37</v>
      </c>
      <c r="C48" t="s">
        <v>762</v>
      </c>
      <c r="D48" t="s">
        <v>39</v>
      </c>
      <c r="E48" t="s">
        <v>40</v>
      </c>
      <c r="F48" t="s">
        <v>763</v>
      </c>
      <c r="G48" t="s">
        <v>764</v>
      </c>
      <c r="H48" t="s">
        <v>83</v>
      </c>
      <c r="I48" t="s">
        <v>765</v>
      </c>
      <c r="J48" t="s">
        <v>766</v>
      </c>
      <c r="K48" t="s">
        <v>766</v>
      </c>
      <c r="L48" t="s">
        <v>766</v>
      </c>
      <c r="M48" t="s">
        <v>767</v>
      </c>
      <c r="N48">
        <v>697539</v>
      </c>
      <c r="O48">
        <v>2219000</v>
      </c>
      <c r="P48" t="s">
        <v>768</v>
      </c>
      <c r="Q48" s="1">
        <v>45574</v>
      </c>
      <c r="R48" t="s">
        <v>769</v>
      </c>
      <c r="S48" t="s">
        <v>770</v>
      </c>
      <c r="T48" t="s">
        <v>51</v>
      </c>
      <c r="U48" t="s">
        <v>48</v>
      </c>
      <c r="V48" t="s">
        <v>135</v>
      </c>
      <c r="W48" t="s">
        <v>552</v>
      </c>
      <c r="X48" t="s">
        <v>771</v>
      </c>
      <c r="Y48" t="s">
        <v>669</v>
      </c>
      <c r="Z48" t="s">
        <v>507</v>
      </c>
      <c r="AA48" t="s">
        <v>772</v>
      </c>
      <c r="AB48">
        <v>3</v>
      </c>
      <c r="AC48" t="s">
        <v>58</v>
      </c>
      <c r="AD48" t="s">
        <v>773</v>
      </c>
      <c r="AE48" t="s">
        <v>657</v>
      </c>
      <c r="AF48" t="s">
        <v>61</v>
      </c>
      <c r="AG48">
        <v>1886150</v>
      </c>
      <c r="AH48" s="13">
        <v>37723</v>
      </c>
      <c r="AL48" t="s">
        <v>5942</v>
      </c>
      <c r="AM48" s="13">
        <v>37723</v>
      </c>
      <c r="AN48" s="16">
        <f>Table9[[#This Row],[Premium]]-Table9[[#This Row],[Tms prem]]</f>
        <v>0</v>
      </c>
    </row>
    <row r="49" spans="1:40" x14ac:dyDescent="0.25">
      <c r="A49">
        <v>54</v>
      </c>
      <c r="B49" t="s">
        <v>37</v>
      </c>
      <c r="C49" t="s">
        <v>774</v>
      </c>
      <c r="D49" t="s">
        <v>39</v>
      </c>
      <c r="E49" t="s">
        <v>40</v>
      </c>
      <c r="F49" t="s">
        <v>63</v>
      </c>
      <c r="G49" t="s">
        <v>775</v>
      </c>
      <c r="H49" t="s">
        <v>43</v>
      </c>
      <c r="I49" t="s">
        <v>776</v>
      </c>
      <c r="J49" t="s">
        <v>777</v>
      </c>
      <c r="K49" t="s">
        <v>778</v>
      </c>
      <c r="L49" t="s">
        <v>779</v>
      </c>
      <c r="M49" t="s">
        <v>780</v>
      </c>
      <c r="N49">
        <v>697591</v>
      </c>
      <c r="O49">
        <v>1675000</v>
      </c>
      <c r="P49" t="s">
        <v>781</v>
      </c>
      <c r="Q49" s="1">
        <v>45574</v>
      </c>
      <c r="R49" t="s">
        <v>782</v>
      </c>
      <c r="S49" t="s">
        <v>783</v>
      </c>
      <c r="T49" t="s">
        <v>51</v>
      </c>
      <c r="U49" t="s">
        <v>48</v>
      </c>
      <c r="V49" t="s">
        <v>784</v>
      </c>
      <c r="W49" t="s">
        <v>552</v>
      </c>
      <c r="X49" t="s">
        <v>785</v>
      </c>
      <c r="Y49" t="s">
        <v>669</v>
      </c>
      <c r="Z49" t="s">
        <v>326</v>
      </c>
      <c r="AA49" t="s">
        <v>786</v>
      </c>
      <c r="AB49">
        <v>5</v>
      </c>
      <c r="AC49" t="s">
        <v>556</v>
      </c>
      <c r="AD49" t="s">
        <v>787</v>
      </c>
      <c r="AE49" t="s">
        <v>657</v>
      </c>
      <c r="AF49" t="s">
        <v>61</v>
      </c>
      <c r="AG49">
        <v>1423750</v>
      </c>
      <c r="AH49" s="13">
        <v>28475</v>
      </c>
      <c r="AL49" t="s">
        <v>5943</v>
      </c>
      <c r="AM49" s="13">
        <v>28475</v>
      </c>
      <c r="AN49" s="16">
        <f>Table9[[#This Row],[Premium]]-Table9[[#This Row],[Tms prem]]</f>
        <v>0</v>
      </c>
    </row>
    <row r="50" spans="1:40" x14ac:dyDescent="0.25">
      <c r="A50">
        <v>55</v>
      </c>
      <c r="B50" t="s">
        <v>37</v>
      </c>
      <c r="C50" t="s">
        <v>788</v>
      </c>
      <c r="D50" t="s">
        <v>39</v>
      </c>
      <c r="E50" t="s">
        <v>40</v>
      </c>
      <c r="F50" t="s">
        <v>789</v>
      </c>
      <c r="G50" t="s">
        <v>790</v>
      </c>
      <c r="H50" t="s">
        <v>83</v>
      </c>
      <c r="I50" t="s">
        <v>791</v>
      </c>
      <c r="J50" t="s">
        <v>48</v>
      </c>
      <c r="K50" t="s">
        <v>792</v>
      </c>
      <c r="L50" t="s">
        <v>48</v>
      </c>
      <c r="M50" t="s">
        <v>793</v>
      </c>
      <c r="N50">
        <v>1030344</v>
      </c>
      <c r="O50">
        <v>2100000</v>
      </c>
      <c r="P50" t="s">
        <v>794</v>
      </c>
      <c r="Q50" s="1">
        <v>45574</v>
      </c>
      <c r="R50" t="s">
        <v>795</v>
      </c>
      <c r="S50" t="s">
        <v>796</v>
      </c>
      <c r="T50" t="s">
        <v>196</v>
      </c>
      <c r="U50" t="s">
        <v>797</v>
      </c>
      <c r="V50" t="s">
        <v>784</v>
      </c>
      <c r="W50" t="s">
        <v>53</v>
      </c>
      <c r="X50" t="s">
        <v>798</v>
      </c>
      <c r="Y50" t="s">
        <v>669</v>
      </c>
      <c r="Z50" t="s">
        <v>326</v>
      </c>
      <c r="AA50" t="s">
        <v>799</v>
      </c>
      <c r="AB50">
        <v>5</v>
      </c>
      <c r="AC50" t="s">
        <v>556</v>
      </c>
      <c r="AD50" t="s">
        <v>800</v>
      </c>
      <c r="AE50" t="s">
        <v>657</v>
      </c>
      <c r="AF50" t="s">
        <v>155</v>
      </c>
      <c r="AG50">
        <v>1785000</v>
      </c>
      <c r="AH50" s="13">
        <v>31238</v>
      </c>
      <c r="AL50" t="s">
        <v>5944</v>
      </c>
      <c r="AM50" s="13">
        <v>31238</v>
      </c>
      <c r="AN50" s="16">
        <f>Table9[[#This Row],[Premium]]-Table9[[#This Row],[Tms prem]]</f>
        <v>0</v>
      </c>
    </row>
    <row r="51" spans="1:40" x14ac:dyDescent="0.25">
      <c r="A51">
        <v>56</v>
      </c>
      <c r="B51" t="s">
        <v>37</v>
      </c>
      <c r="C51" t="s">
        <v>801</v>
      </c>
      <c r="D51" t="s">
        <v>39</v>
      </c>
      <c r="E51" t="s">
        <v>40</v>
      </c>
      <c r="F51" t="s">
        <v>63</v>
      </c>
      <c r="G51" t="s">
        <v>802</v>
      </c>
      <c r="H51" t="s">
        <v>83</v>
      </c>
      <c r="I51" t="s">
        <v>803</v>
      </c>
      <c r="J51" t="s">
        <v>804</v>
      </c>
      <c r="K51" t="s">
        <v>804</v>
      </c>
      <c r="L51" t="s">
        <v>805</v>
      </c>
      <c r="M51" t="s">
        <v>806</v>
      </c>
      <c r="N51">
        <v>650068</v>
      </c>
      <c r="O51">
        <v>1335000</v>
      </c>
      <c r="P51" t="s">
        <v>807</v>
      </c>
      <c r="Q51" s="1">
        <v>45575</v>
      </c>
      <c r="R51" t="s">
        <v>808</v>
      </c>
      <c r="S51" t="s">
        <v>809</v>
      </c>
      <c r="T51" t="s">
        <v>51</v>
      </c>
      <c r="U51" t="s">
        <v>48</v>
      </c>
      <c r="V51" t="s">
        <v>810</v>
      </c>
      <c r="W51" t="s">
        <v>53</v>
      </c>
      <c r="X51" t="s">
        <v>227</v>
      </c>
      <c r="Y51" t="s">
        <v>92</v>
      </c>
      <c r="Z51" t="s">
        <v>811</v>
      </c>
      <c r="AA51" t="s">
        <v>812</v>
      </c>
      <c r="AB51">
        <v>7</v>
      </c>
      <c r="AC51" t="s">
        <v>58</v>
      </c>
      <c r="AD51" t="s">
        <v>813</v>
      </c>
      <c r="AE51" t="s">
        <v>725</v>
      </c>
      <c r="AF51" t="s">
        <v>61</v>
      </c>
      <c r="AG51">
        <v>1068000</v>
      </c>
      <c r="AH51" s="13">
        <v>21360</v>
      </c>
      <c r="AL51" t="s">
        <v>5945</v>
      </c>
      <c r="AM51" s="13">
        <v>21360</v>
      </c>
      <c r="AN51" s="16">
        <f>Table9[[#This Row],[Premium]]-Table9[[#This Row],[Tms prem]]</f>
        <v>0</v>
      </c>
    </row>
    <row r="52" spans="1:40" x14ac:dyDescent="0.25">
      <c r="A52">
        <v>57</v>
      </c>
      <c r="B52" t="s">
        <v>37</v>
      </c>
      <c r="C52" t="s">
        <v>814</v>
      </c>
      <c r="D52" t="s">
        <v>39</v>
      </c>
      <c r="E52" t="s">
        <v>40</v>
      </c>
      <c r="F52" t="s">
        <v>63</v>
      </c>
      <c r="G52" t="s">
        <v>815</v>
      </c>
      <c r="H52" t="s">
        <v>83</v>
      </c>
      <c r="I52" t="s">
        <v>816</v>
      </c>
      <c r="J52" t="s">
        <v>817</v>
      </c>
      <c r="K52" t="s">
        <v>817</v>
      </c>
      <c r="L52" t="s">
        <v>818</v>
      </c>
      <c r="M52" t="s">
        <v>819</v>
      </c>
      <c r="N52">
        <v>723469</v>
      </c>
      <c r="O52">
        <v>1521000</v>
      </c>
      <c r="P52" t="s">
        <v>820</v>
      </c>
      <c r="Q52" s="1">
        <v>45575</v>
      </c>
      <c r="R52" t="s">
        <v>821</v>
      </c>
      <c r="S52" t="s">
        <v>822</v>
      </c>
      <c r="T52" t="s">
        <v>51</v>
      </c>
      <c r="U52" t="s">
        <v>48</v>
      </c>
      <c r="V52" t="s">
        <v>73</v>
      </c>
      <c r="W52" t="s">
        <v>53</v>
      </c>
      <c r="X52" t="s">
        <v>823</v>
      </c>
      <c r="Y52" t="s">
        <v>152</v>
      </c>
      <c r="Z52" t="s">
        <v>824</v>
      </c>
      <c r="AA52" t="s">
        <v>825</v>
      </c>
      <c r="AB52">
        <v>6</v>
      </c>
      <c r="AC52" t="s">
        <v>78</v>
      </c>
      <c r="AD52" t="s">
        <v>826</v>
      </c>
      <c r="AE52" t="s">
        <v>406</v>
      </c>
      <c r="AF52" t="s">
        <v>61</v>
      </c>
      <c r="AG52">
        <v>1216800</v>
      </c>
      <c r="AH52" s="13">
        <v>24336</v>
      </c>
      <c r="AL52" t="s">
        <v>5946</v>
      </c>
      <c r="AM52" s="13">
        <v>24336</v>
      </c>
      <c r="AN52" s="16">
        <f>Table9[[#This Row],[Premium]]-Table9[[#This Row],[Tms prem]]</f>
        <v>0</v>
      </c>
    </row>
    <row r="53" spans="1:40" x14ac:dyDescent="0.25">
      <c r="A53">
        <v>58</v>
      </c>
      <c r="B53" t="s">
        <v>37</v>
      </c>
      <c r="C53" t="s">
        <v>827</v>
      </c>
      <c r="D53" t="s">
        <v>39</v>
      </c>
      <c r="E53" t="s">
        <v>40</v>
      </c>
      <c r="F53" t="s">
        <v>828</v>
      </c>
      <c r="G53" t="s">
        <v>829</v>
      </c>
      <c r="H53" t="s">
        <v>233</v>
      </c>
      <c r="I53" t="s">
        <v>830</v>
      </c>
      <c r="J53" t="s">
        <v>831</v>
      </c>
      <c r="K53" t="s">
        <v>831</v>
      </c>
      <c r="L53" t="s">
        <v>831</v>
      </c>
      <c r="M53" t="s">
        <v>832</v>
      </c>
      <c r="N53">
        <v>842632</v>
      </c>
      <c r="O53">
        <v>3000000</v>
      </c>
      <c r="P53" t="s">
        <v>833</v>
      </c>
      <c r="Q53" s="1">
        <v>45575</v>
      </c>
      <c r="R53" t="s">
        <v>834</v>
      </c>
      <c r="S53" t="s">
        <v>835</v>
      </c>
      <c r="T53" t="s">
        <v>196</v>
      </c>
      <c r="U53" t="s">
        <v>836</v>
      </c>
      <c r="V53" t="s">
        <v>837</v>
      </c>
      <c r="W53" t="s">
        <v>536</v>
      </c>
      <c r="X53" t="s">
        <v>492</v>
      </c>
      <c r="Y53" t="s">
        <v>137</v>
      </c>
      <c r="Z53" t="s">
        <v>138</v>
      </c>
      <c r="AA53" t="s">
        <v>838</v>
      </c>
      <c r="AB53">
        <v>5</v>
      </c>
      <c r="AC53" t="s">
        <v>78</v>
      </c>
      <c r="AD53" t="s">
        <v>839</v>
      </c>
      <c r="AE53" t="s">
        <v>107</v>
      </c>
      <c r="AF53" t="s">
        <v>61</v>
      </c>
      <c r="AG53">
        <v>2400000</v>
      </c>
      <c r="AH53" s="13">
        <v>48000</v>
      </c>
      <c r="AL53" t="s">
        <v>5947</v>
      </c>
      <c r="AM53" s="13">
        <v>48000</v>
      </c>
      <c r="AN53" s="16">
        <f>Table9[[#This Row],[Premium]]-Table9[[#This Row],[Tms prem]]</f>
        <v>0</v>
      </c>
    </row>
    <row r="54" spans="1:40" x14ac:dyDescent="0.25">
      <c r="A54">
        <v>59</v>
      </c>
      <c r="B54" t="s">
        <v>37</v>
      </c>
      <c r="C54" t="s">
        <v>840</v>
      </c>
      <c r="D54" t="s">
        <v>39</v>
      </c>
      <c r="E54" t="s">
        <v>40</v>
      </c>
      <c r="F54" t="s">
        <v>841</v>
      </c>
      <c r="G54" t="s">
        <v>842</v>
      </c>
      <c r="H54" t="s">
        <v>422</v>
      </c>
      <c r="I54" t="s">
        <v>843</v>
      </c>
      <c r="J54" t="s">
        <v>48</v>
      </c>
      <c r="K54" t="s">
        <v>844</v>
      </c>
      <c r="L54" t="s">
        <v>48</v>
      </c>
      <c r="M54" t="s">
        <v>845</v>
      </c>
      <c r="N54">
        <v>948523</v>
      </c>
      <c r="O54">
        <v>2467000</v>
      </c>
      <c r="P54" t="s">
        <v>846</v>
      </c>
      <c r="Q54" s="1">
        <v>45575</v>
      </c>
      <c r="R54" t="s">
        <v>847</v>
      </c>
      <c r="S54" t="s">
        <v>848</v>
      </c>
      <c r="T54" t="s">
        <v>51</v>
      </c>
      <c r="U54" t="s">
        <v>48</v>
      </c>
      <c r="V54" t="s">
        <v>179</v>
      </c>
      <c r="W54" t="s">
        <v>53</v>
      </c>
      <c r="X54" t="s">
        <v>849</v>
      </c>
      <c r="Y54" t="s">
        <v>137</v>
      </c>
      <c r="Z54" t="s">
        <v>138</v>
      </c>
      <c r="AA54" t="s">
        <v>850</v>
      </c>
      <c r="AB54">
        <v>5</v>
      </c>
      <c r="AC54" t="s">
        <v>78</v>
      </c>
      <c r="AD54" t="s">
        <v>851</v>
      </c>
      <c r="AE54" t="s">
        <v>107</v>
      </c>
      <c r="AF54" t="s">
        <v>61</v>
      </c>
      <c r="AG54">
        <v>1973600</v>
      </c>
      <c r="AH54" s="13">
        <v>39472</v>
      </c>
      <c r="AL54" t="s">
        <v>5948</v>
      </c>
      <c r="AM54" s="13">
        <v>39472</v>
      </c>
      <c r="AN54" s="16">
        <f>Table9[[#This Row],[Premium]]-Table9[[#This Row],[Tms prem]]</f>
        <v>0</v>
      </c>
    </row>
    <row r="55" spans="1:40" x14ac:dyDescent="0.25">
      <c r="A55">
        <v>60</v>
      </c>
      <c r="B55" t="s">
        <v>37</v>
      </c>
      <c r="C55" t="s">
        <v>852</v>
      </c>
      <c r="D55" t="s">
        <v>39</v>
      </c>
      <c r="E55" t="s">
        <v>40</v>
      </c>
      <c r="F55" t="s">
        <v>853</v>
      </c>
      <c r="G55" t="s">
        <v>854</v>
      </c>
      <c r="H55" t="s">
        <v>43</v>
      </c>
      <c r="I55" t="s">
        <v>855</v>
      </c>
      <c r="J55" t="s">
        <v>856</v>
      </c>
      <c r="K55" t="s">
        <v>857</v>
      </c>
      <c r="L55" t="s">
        <v>856</v>
      </c>
      <c r="M55" t="s">
        <v>858</v>
      </c>
      <c r="N55">
        <v>943743</v>
      </c>
      <c r="O55">
        <v>2100000</v>
      </c>
      <c r="P55" t="s">
        <v>859</v>
      </c>
      <c r="Q55" s="1">
        <v>45575</v>
      </c>
      <c r="R55" t="s">
        <v>860</v>
      </c>
      <c r="S55" t="s">
        <v>861</v>
      </c>
      <c r="T55" t="s">
        <v>196</v>
      </c>
      <c r="U55" t="s">
        <v>862</v>
      </c>
      <c r="V55" t="s">
        <v>863</v>
      </c>
      <c r="W55" t="s">
        <v>53</v>
      </c>
      <c r="X55" t="s">
        <v>864</v>
      </c>
      <c r="Y55" t="s">
        <v>137</v>
      </c>
      <c r="Z55" t="s">
        <v>138</v>
      </c>
      <c r="AA55" t="s">
        <v>865</v>
      </c>
      <c r="AB55">
        <v>5</v>
      </c>
      <c r="AC55" t="s">
        <v>78</v>
      </c>
      <c r="AD55" t="s">
        <v>866</v>
      </c>
      <c r="AE55" t="s">
        <v>406</v>
      </c>
      <c r="AF55" t="s">
        <v>61</v>
      </c>
      <c r="AG55">
        <v>1680000</v>
      </c>
      <c r="AH55" s="13">
        <v>33600</v>
      </c>
      <c r="AL55" t="s">
        <v>5949</v>
      </c>
      <c r="AM55" s="13">
        <v>33600</v>
      </c>
      <c r="AN55" s="16">
        <f>Table9[[#This Row],[Premium]]-Table9[[#This Row],[Tms prem]]</f>
        <v>0</v>
      </c>
    </row>
    <row r="56" spans="1:40" x14ac:dyDescent="0.25">
      <c r="A56">
        <v>62</v>
      </c>
      <c r="B56" t="s">
        <v>37</v>
      </c>
      <c r="C56" t="s">
        <v>883</v>
      </c>
      <c r="D56" t="s">
        <v>39</v>
      </c>
      <c r="E56" t="s">
        <v>40</v>
      </c>
      <c r="F56" t="s">
        <v>884</v>
      </c>
      <c r="G56" t="s">
        <v>885</v>
      </c>
      <c r="H56" t="s">
        <v>188</v>
      </c>
      <c r="I56" t="s">
        <v>886</v>
      </c>
      <c r="J56" t="s">
        <v>48</v>
      </c>
      <c r="K56" t="s">
        <v>48</v>
      </c>
      <c r="L56" t="s">
        <v>48</v>
      </c>
      <c r="M56" t="s">
        <v>887</v>
      </c>
      <c r="N56">
        <v>1134977</v>
      </c>
      <c r="O56">
        <v>2675000</v>
      </c>
      <c r="P56" t="s">
        <v>888</v>
      </c>
      <c r="Q56" s="1">
        <v>45575</v>
      </c>
      <c r="R56" t="s">
        <v>889</v>
      </c>
      <c r="S56" t="s">
        <v>890</v>
      </c>
      <c r="T56" t="s">
        <v>51</v>
      </c>
      <c r="U56" t="s">
        <v>48</v>
      </c>
      <c r="V56" t="s">
        <v>416</v>
      </c>
      <c r="W56" t="s">
        <v>53</v>
      </c>
      <c r="X56" t="s">
        <v>311</v>
      </c>
      <c r="Y56" t="s">
        <v>137</v>
      </c>
      <c r="Z56" t="s">
        <v>138</v>
      </c>
      <c r="AA56" t="s">
        <v>891</v>
      </c>
      <c r="AB56">
        <v>5</v>
      </c>
      <c r="AC56" t="s">
        <v>58</v>
      </c>
      <c r="AD56" t="s">
        <v>892</v>
      </c>
      <c r="AE56" t="s">
        <v>141</v>
      </c>
      <c r="AF56" t="s">
        <v>61</v>
      </c>
      <c r="AG56">
        <v>2140000</v>
      </c>
      <c r="AH56" s="13">
        <v>42800</v>
      </c>
      <c r="AL56" t="s">
        <v>5950</v>
      </c>
      <c r="AM56" s="13">
        <v>42800</v>
      </c>
      <c r="AN56" s="16">
        <f>Table9[[#This Row],[Premium]]-Table9[[#This Row],[Tms prem]]</f>
        <v>0</v>
      </c>
    </row>
    <row r="57" spans="1:40" x14ac:dyDescent="0.25">
      <c r="A57">
        <v>63</v>
      </c>
      <c r="B57" t="s">
        <v>37</v>
      </c>
      <c r="C57" t="s">
        <v>893</v>
      </c>
      <c r="D57" t="s">
        <v>39</v>
      </c>
      <c r="E57" t="s">
        <v>40</v>
      </c>
      <c r="F57" t="s">
        <v>894</v>
      </c>
      <c r="G57" t="s">
        <v>895</v>
      </c>
      <c r="H57" t="s">
        <v>896</v>
      </c>
      <c r="I57" t="s">
        <v>897</v>
      </c>
      <c r="J57" t="s">
        <v>48</v>
      </c>
      <c r="K57" t="s">
        <v>898</v>
      </c>
      <c r="L57" t="s">
        <v>48</v>
      </c>
      <c r="M57" t="s">
        <v>899</v>
      </c>
      <c r="N57">
        <v>1218534</v>
      </c>
      <c r="O57">
        <v>4322000</v>
      </c>
      <c r="P57" t="s">
        <v>900</v>
      </c>
      <c r="Q57" s="1">
        <v>45575</v>
      </c>
      <c r="R57" t="s">
        <v>901</v>
      </c>
      <c r="S57" t="s">
        <v>902</v>
      </c>
      <c r="T57" t="s">
        <v>51</v>
      </c>
      <c r="U57" t="s">
        <v>48</v>
      </c>
      <c r="V57" t="s">
        <v>903</v>
      </c>
      <c r="W57" t="s">
        <v>53</v>
      </c>
      <c r="X57" t="s">
        <v>151</v>
      </c>
      <c r="Y57" t="s">
        <v>152</v>
      </c>
      <c r="Z57" t="s">
        <v>153</v>
      </c>
      <c r="AA57" t="s">
        <v>904</v>
      </c>
      <c r="AB57">
        <v>5</v>
      </c>
      <c r="AC57" t="s">
        <v>48</v>
      </c>
      <c r="AD57" t="s">
        <v>48</v>
      </c>
      <c r="AE57" t="s">
        <v>48</v>
      </c>
      <c r="AF57" t="s">
        <v>61</v>
      </c>
      <c r="AG57">
        <v>3457600</v>
      </c>
      <c r="AH57" s="13">
        <v>69152</v>
      </c>
      <c r="AL57" t="s">
        <v>5951</v>
      </c>
      <c r="AM57" s="13">
        <v>69152</v>
      </c>
      <c r="AN57" s="16">
        <f>Table9[[#This Row],[Premium]]-Table9[[#This Row],[Tms prem]]</f>
        <v>0</v>
      </c>
    </row>
    <row r="58" spans="1:40" x14ac:dyDescent="0.25">
      <c r="A58">
        <v>64</v>
      </c>
      <c r="B58" t="s">
        <v>37</v>
      </c>
      <c r="C58" t="s">
        <v>905</v>
      </c>
      <c r="D58" t="s">
        <v>39</v>
      </c>
      <c r="E58" t="s">
        <v>40</v>
      </c>
      <c r="F58" t="s">
        <v>906</v>
      </c>
      <c r="G58" t="s">
        <v>907</v>
      </c>
      <c r="H58" t="s">
        <v>83</v>
      </c>
      <c r="I58" t="s">
        <v>908</v>
      </c>
      <c r="J58" t="s">
        <v>514</v>
      </c>
      <c r="K58" t="s">
        <v>909</v>
      </c>
      <c r="L58" t="s">
        <v>910</v>
      </c>
      <c r="M58" t="s">
        <v>911</v>
      </c>
      <c r="N58">
        <v>492258</v>
      </c>
      <c r="O58">
        <v>3420000</v>
      </c>
      <c r="P58" t="s">
        <v>912</v>
      </c>
      <c r="Q58" s="1">
        <v>45575</v>
      </c>
      <c r="R58" t="s">
        <v>913</v>
      </c>
      <c r="S58" t="s">
        <v>914</v>
      </c>
      <c r="T58" t="s">
        <v>51</v>
      </c>
      <c r="U58" t="s">
        <v>48</v>
      </c>
      <c r="V58" t="s">
        <v>915</v>
      </c>
      <c r="W58" t="s">
        <v>552</v>
      </c>
      <c r="X58" t="s">
        <v>542</v>
      </c>
      <c r="Y58" t="s">
        <v>538</v>
      </c>
      <c r="Z58" t="s">
        <v>108</v>
      </c>
      <c r="AA58" t="s">
        <v>916</v>
      </c>
      <c r="AB58">
        <v>3</v>
      </c>
      <c r="AC58" t="s">
        <v>556</v>
      </c>
      <c r="AD58" t="s">
        <v>917</v>
      </c>
      <c r="AE58" t="s">
        <v>918</v>
      </c>
      <c r="AF58" t="s">
        <v>155</v>
      </c>
      <c r="AG58">
        <v>2907000</v>
      </c>
      <c r="AH58" s="13">
        <v>50873</v>
      </c>
      <c r="AL58" t="s">
        <v>5952</v>
      </c>
      <c r="AM58" s="13">
        <v>50873</v>
      </c>
      <c r="AN58" s="16">
        <f>Table9[[#This Row],[Premium]]-Table9[[#This Row],[Tms prem]]</f>
        <v>0</v>
      </c>
    </row>
    <row r="59" spans="1:40" x14ac:dyDescent="0.25">
      <c r="A59">
        <v>65</v>
      </c>
      <c r="B59" t="s">
        <v>37</v>
      </c>
      <c r="C59" t="s">
        <v>919</v>
      </c>
      <c r="D59" t="s">
        <v>39</v>
      </c>
      <c r="E59" t="s">
        <v>40</v>
      </c>
      <c r="F59" t="s">
        <v>789</v>
      </c>
      <c r="G59" t="s">
        <v>920</v>
      </c>
      <c r="H59" t="s">
        <v>83</v>
      </c>
      <c r="I59" t="s">
        <v>921</v>
      </c>
      <c r="J59" t="s">
        <v>48</v>
      </c>
      <c r="K59" t="s">
        <v>922</v>
      </c>
      <c r="L59" t="s">
        <v>48</v>
      </c>
      <c r="M59" t="s">
        <v>923</v>
      </c>
      <c r="N59">
        <v>828369</v>
      </c>
      <c r="O59">
        <v>3560000</v>
      </c>
      <c r="P59" t="s">
        <v>924</v>
      </c>
      <c r="Q59" s="1">
        <v>45575</v>
      </c>
      <c r="R59" t="s">
        <v>925</v>
      </c>
      <c r="S59" t="s">
        <v>926</v>
      </c>
      <c r="T59" t="s">
        <v>196</v>
      </c>
      <c r="U59" t="s">
        <v>927</v>
      </c>
      <c r="V59" t="s">
        <v>416</v>
      </c>
      <c r="W59" t="s">
        <v>53</v>
      </c>
      <c r="X59" t="s">
        <v>668</v>
      </c>
      <c r="Y59" t="s">
        <v>669</v>
      </c>
      <c r="Z59" t="s">
        <v>507</v>
      </c>
      <c r="AA59" t="s">
        <v>928</v>
      </c>
      <c r="AB59">
        <v>3</v>
      </c>
      <c r="AC59" t="s">
        <v>556</v>
      </c>
      <c r="AD59" t="s">
        <v>929</v>
      </c>
      <c r="AE59" t="s">
        <v>538</v>
      </c>
      <c r="AF59" t="s">
        <v>155</v>
      </c>
      <c r="AG59">
        <v>3026000</v>
      </c>
      <c r="AH59" s="13">
        <v>52955</v>
      </c>
      <c r="AL59" t="s">
        <v>5953</v>
      </c>
      <c r="AM59" s="13">
        <v>52955</v>
      </c>
      <c r="AN59" s="16">
        <f>Table9[[#This Row],[Premium]]-Table9[[#This Row],[Tms prem]]</f>
        <v>0</v>
      </c>
    </row>
    <row r="60" spans="1:40" x14ac:dyDescent="0.25">
      <c r="A60">
        <v>66</v>
      </c>
      <c r="B60" t="s">
        <v>37</v>
      </c>
      <c r="C60" t="s">
        <v>930</v>
      </c>
      <c r="D60" t="s">
        <v>39</v>
      </c>
      <c r="E60" t="s">
        <v>40</v>
      </c>
      <c r="F60" t="s">
        <v>525</v>
      </c>
      <c r="G60" t="s">
        <v>931</v>
      </c>
      <c r="H60" t="s">
        <v>83</v>
      </c>
      <c r="I60" t="s">
        <v>932</v>
      </c>
      <c r="J60" t="s">
        <v>933</v>
      </c>
      <c r="K60" t="s">
        <v>933</v>
      </c>
      <c r="L60" t="s">
        <v>934</v>
      </c>
      <c r="M60" t="s">
        <v>935</v>
      </c>
      <c r="N60">
        <v>1205966</v>
      </c>
      <c r="O60">
        <v>2700000</v>
      </c>
      <c r="P60" t="s">
        <v>936</v>
      </c>
      <c r="Q60" s="1">
        <v>45575</v>
      </c>
      <c r="R60" t="s">
        <v>937</v>
      </c>
      <c r="S60" t="s">
        <v>938</v>
      </c>
      <c r="T60" t="s">
        <v>196</v>
      </c>
      <c r="U60" t="s">
        <v>939</v>
      </c>
      <c r="V60" t="s">
        <v>940</v>
      </c>
      <c r="W60" t="s">
        <v>53</v>
      </c>
      <c r="X60" t="s">
        <v>668</v>
      </c>
      <c r="Y60" t="s">
        <v>669</v>
      </c>
      <c r="Z60" t="s">
        <v>138</v>
      </c>
      <c r="AA60" t="s">
        <v>941</v>
      </c>
      <c r="AB60">
        <v>4</v>
      </c>
      <c r="AC60" t="s">
        <v>540</v>
      </c>
      <c r="AD60" t="s">
        <v>942</v>
      </c>
      <c r="AE60" t="s">
        <v>538</v>
      </c>
      <c r="AF60" t="s">
        <v>155</v>
      </c>
      <c r="AG60">
        <v>2295000</v>
      </c>
      <c r="AH60" s="13">
        <v>40163</v>
      </c>
      <c r="AL60" t="s">
        <v>5954</v>
      </c>
      <c r="AM60" s="13">
        <v>40163</v>
      </c>
      <c r="AN60" s="16">
        <f>Table9[[#This Row],[Premium]]-Table9[[#This Row],[Tms prem]]</f>
        <v>0</v>
      </c>
    </row>
    <row r="61" spans="1:40" x14ac:dyDescent="0.25">
      <c r="A61">
        <v>67</v>
      </c>
      <c r="B61" t="s">
        <v>37</v>
      </c>
      <c r="C61" t="s">
        <v>943</v>
      </c>
      <c r="D61" t="s">
        <v>39</v>
      </c>
      <c r="E61" t="s">
        <v>40</v>
      </c>
      <c r="F61" t="s">
        <v>944</v>
      </c>
      <c r="G61" t="s">
        <v>945</v>
      </c>
      <c r="H61" t="s">
        <v>83</v>
      </c>
      <c r="I61" t="s">
        <v>946</v>
      </c>
      <c r="J61" t="s">
        <v>48</v>
      </c>
      <c r="K61" t="s">
        <v>947</v>
      </c>
      <c r="L61" t="s">
        <v>48</v>
      </c>
      <c r="M61" t="s">
        <v>948</v>
      </c>
      <c r="N61">
        <v>1310383</v>
      </c>
      <c r="O61">
        <v>2480000</v>
      </c>
      <c r="P61" t="s">
        <v>949</v>
      </c>
      <c r="Q61" s="1">
        <v>45575</v>
      </c>
      <c r="R61" t="s">
        <v>950</v>
      </c>
      <c r="S61" t="s">
        <v>951</v>
      </c>
      <c r="T61" t="s">
        <v>196</v>
      </c>
      <c r="U61" t="s">
        <v>48</v>
      </c>
      <c r="V61" t="s">
        <v>135</v>
      </c>
      <c r="W61" t="s">
        <v>552</v>
      </c>
      <c r="X61" t="s">
        <v>952</v>
      </c>
      <c r="Y61" t="s">
        <v>669</v>
      </c>
      <c r="Z61" t="s">
        <v>326</v>
      </c>
      <c r="AA61" t="s">
        <v>953</v>
      </c>
      <c r="AB61">
        <v>5</v>
      </c>
      <c r="AC61" t="s">
        <v>556</v>
      </c>
      <c r="AD61" t="s">
        <v>954</v>
      </c>
      <c r="AE61" t="s">
        <v>538</v>
      </c>
      <c r="AF61" t="s">
        <v>155</v>
      </c>
      <c r="AG61">
        <v>2108000</v>
      </c>
      <c r="AH61" s="13">
        <v>36890</v>
      </c>
      <c r="AL61" t="s">
        <v>5955</v>
      </c>
      <c r="AM61" s="13">
        <v>36890</v>
      </c>
      <c r="AN61" s="16">
        <f>Table9[[#This Row],[Premium]]-Table9[[#This Row],[Tms prem]]</f>
        <v>0</v>
      </c>
    </row>
    <row r="62" spans="1:40" x14ac:dyDescent="0.25">
      <c r="A62">
        <v>68</v>
      </c>
      <c r="B62" t="s">
        <v>37</v>
      </c>
      <c r="C62" t="s">
        <v>955</v>
      </c>
      <c r="D62" t="s">
        <v>39</v>
      </c>
      <c r="E62" t="s">
        <v>40</v>
      </c>
      <c r="F62" t="s">
        <v>63</v>
      </c>
      <c r="G62" t="s">
        <v>956</v>
      </c>
      <c r="H62" t="s">
        <v>83</v>
      </c>
      <c r="I62" t="s">
        <v>957</v>
      </c>
      <c r="J62" t="s">
        <v>958</v>
      </c>
      <c r="K62" t="s">
        <v>958</v>
      </c>
      <c r="L62" t="s">
        <v>959</v>
      </c>
      <c r="M62" t="s">
        <v>960</v>
      </c>
      <c r="N62">
        <v>979000</v>
      </c>
      <c r="O62">
        <v>1780000</v>
      </c>
      <c r="P62" t="s">
        <v>961</v>
      </c>
      <c r="Q62" t="s">
        <v>962</v>
      </c>
      <c r="R62" t="s">
        <v>963</v>
      </c>
      <c r="S62" t="s">
        <v>964</v>
      </c>
      <c r="T62" t="s">
        <v>51</v>
      </c>
      <c r="U62" t="s">
        <v>48</v>
      </c>
      <c r="V62" t="s">
        <v>965</v>
      </c>
      <c r="W62" t="s">
        <v>53</v>
      </c>
      <c r="X62" t="s">
        <v>151</v>
      </c>
      <c r="Y62" t="s">
        <v>966</v>
      </c>
      <c r="Z62" t="s">
        <v>967</v>
      </c>
      <c r="AA62" t="s">
        <v>968</v>
      </c>
      <c r="AB62">
        <v>5</v>
      </c>
      <c r="AC62" t="s">
        <v>78</v>
      </c>
      <c r="AD62" t="s">
        <v>969</v>
      </c>
      <c r="AE62" t="s">
        <v>970</v>
      </c>
      <c r="AF62" t="s">
        <v>61</v>
      </c>
      <c r="AG62">
        <v>1424000</v>
      </c>
      <c r="AH62" s="13">
        <v>28480</v>
      </c>
      <c r="AL62" s="15" t="s">
        <v>5890</v>
      </c>
      <c r="AM62">
        <v>28480</v>
      </c>
      <c r="AN62" s="16">
        <f>Table9[[#This Row],[Premium]]-Table9[[#This Row],[Tms prem]]</f>
        <v>0</v>
      </c>
    </row>
    <row r="63" spans="1:40" x14ac:dyDescent="0.25">
      <c r="A63">
        <v>69</v>
      </c>
      <c r="B63" t="s">
        <v>37</v>
      </c>
      <c r="C63" t="s">
        <v>971</v>
      </c>
      <c r="D63" t="s">
        <v>39</v>
      </c>
      <c r="E63" t="s">
        <v>40</v>
      </c>
      <c r="F63" t="s">
        <v>972</v>
      </c>
      <c r="G63" t="s">
        <v>973</v>
      </c>
      <c r="H63" t="s">
        <v>188</v>
      </c>
      <c r="I63" t="s">
        <v>974</v>
      </c>
      <c r="J63" t="s">
        <v>975</v>
      </c>
      <c r="K63" t="s">
        <v>975</v>
      </c>
      <c r="L63" t="s">
        <v>976</v>
      </c>
      <c r="M63" t="s">
        <v>977</v>
      </c>
      <c r="N63">
        <v>4086750</v>
      </c>
      <c r="O63">
        <v>5449000</v>
      </c>
      <c r="P63" t="s">
        <v>978</v>
      </c>
      <c r="Q63" t="s">
        <v>979</v>
      </c>
      <c r="R63" t="s">
        <v>980</v>
      </c>
      <c r="S63" t="s">
        <v>981</v>
      </c>
      <c r="T63" t="s">
        <v>51</v>
      </c>
      <c r="U63" t="s">
        <v>48</v>
      </c>
      <c r="V63" t="s">
        <v>982</v>
      </c>
      <c r="W63" t="s">
        <v>53</v>
      </c>
      <c r="X63" t="s">
        <v>983</v>
      </c>
      <c r="Y63" t="s">
        <v>697</v>
      </c>
      <c r="Z63" t="s">
        <v>984</v>
      </c>
      <c r="AA63" t="s">
        <v>985</v>
      </c>
      <c r="AB63">
        <v>5</v>
      </c>
      <c r="AC63" t="s">
        <v>78</v>
      </c>
      <c r="AD63" t="s">
        <v>986</v>
      </c>
      <c r="AE63" t="s">
        <v>987</v>
      </c>
      <c r="AF63" t="s">
        <v>155</v>
      </c>
      <c r="AG63">
        <v>4359200</v>
      </c>
      <c r="AH63" s="13">
        <v>76286</v>
      </c>
      <c r="AL63" s="15" t="s">
        <v>5891</v>
      </c>
      <c r="AM63">
        <v>76286</v>
      </c>
      <c r="AN63" s="16">
        <f>Table9[[#This Row],[Premium]]-Table9[[#This Row],[Tms prem]]</f>
        <v>0</v>
      </c>
    </row>
    <row r="64" spans="1:40" x14ac:dyDescent="0.25">
      <c r="A64">
        <v>70</v>
      </c>
      <c r="B64" t="s">
        <v>37</v>
      </c>
      <c r="C64" t="s">
        <v>988</v>
      </c>
      <c r="D64" t="s">
        <v>39</v>
      </c>
      <c r="E64" t="s">
        <v>40</v>
      </c>
      <c r="F64" t="s">
        <v>989</v>
      </c>
      <c r="G64" t="s">
        <v>990</v>
      </c>
      <c r="H64" t="s">
        <v>83</v>
      </c>
      <c r="I64" t="s">
        <v>991</v>
      </c>
      <c r="J64" t="s">
        <v>992</v>
      </c>
      <c r="K64" t="s">
        <v>992</v>
      </c>
      <c r="L64" t="s">
        <v>993</v>
      </c>
      <c r="M64" t="s">
        <v>994</v>
      </c>
      <c r="N64">
        <v>1590000</v>
      </c>
      <c r="O64">
        <v>2650000</v>
      </c>
      <c r="P64" t="s">
        <v>995</v>
      </c>
      <c r="Q64" t="s">
        <v>996</v>
      </c>
      <c r="R64" t="s">
        <v>997</v>
      </c>
      <c r="S64" t="s">
        <v>998</v>
      </c>
      <c r="T64" t="s">
        <v>51</v>
      </c>
      <c r="U64" t="s">
        <v>48</v>
      </c>
      <c r="V64" t="s">
        <v>999</v>
      </c>
      <c r="W64" t="s">
        <v>53</v>
      </c>
      <c r="X64" t="s">
        <v>1000</v>
      </c>
      <c r="Y64" t="s">
        <v>966</v>
      </c>
      <c r="Z64" t="s">
        <v>967</v>
      </c>
      <c r="AA64" t="s">
        <v>1001</v>
      </c>
      <c r="AB64">
        <v>5</v>
      </c>
      <c r="AC64" t="s">
        <v>78</v>
      </c>
      <c r="AD64" t="s">
        <v>1002</v>
      </c>
      <c r="AE64" t="s">
        <v>1003</v>
      </c>
      <c r="AF64" t="s">
        <v>61</v>
      </c>
      <c r="AG64">
        <v>2120000</v>
      </c>
      <c r="AH64" s="13">
        <v>42400</v>
      </c>
      <c r="AL64" s="15" t="s">
        <v>5892</v>
      </c>
      <c r="AM64">
        <v>42400</v>
      </c>
      <c r="AN64" s="16">
        <f>Table9[[#This Row],[Premium]]-Table9[[#This Row],[Tms prem]]</f>
        <v>0</v>
      </c>
    </row>
    <row r="65" spans="1:40" x14ac:dyDescent="0.25">
      <c r="A65">
        <v>71</v>
      </c>
      <c r="B65" t="s">
        <v>37</v>
      </c>
      <c r="C65" t="s">
        <v>1004</v>
      </c>
      <c r="D65" t="s">
        <v>39</v>
      </c>
      <c r="E65" t="s">
        <v>40</v>
      </c>
      <c r="F65" t="s">
        <v>63</v>
      </c>
      <c r="G65" t="s">
        <v>1005</v>
      </c>
      <c r="H65" t="s">
        <v>83</v>
      </c>
      <c r="I65" t="s">
        <v>1006</v>
      </c>
      <c r="J65" t="s">
        <v>1007</v>
      </c>
      <c r="K65" t="s">
        <v>1007</v>
      </c>
      <c r="L65" t="s">
        <v>1008</v>
      </c>
      <c r="M65" t="s">
        <v>1009</v>
      </c>
      <c r="N65">
        <v>886500</v>
      </c>
      <c r="O65">
        <v>1970000</v>
      </c>
      <c r="P65" t="s">
        <v>1010</v>
      </c>
      <c r="Q65" t="s">
        <v>1011</v>
      </c>
      <c r="R65" t="s">
        <v>1012</v>
      </c>
      <c r="S65" t="s">
        <v>1013</v>
      </c>
      <c r="T65" t="s">
        <v>51</v>
      </c>
      <c r="U65" t="s">
        <v>48</v>
      </c>
      <c r="V65" t="s">
        <v>581</v>
      </c>
      <c r="W65" t="s">
        <v>53</v>
      </c>
      <c r="X65" t="s">
        <v>180</v>
      </c>
      <c r="Y65" t="s">
        <v>966</v>
      </c>
      <c r="Z65" t="s">
        <v>967</v>
      </c>
      <c r="AA65" t="s">
        <v>1014</v>
      </c>
      <c r="AB65">
        <v>5</v>
      </c>
      <c r="AC65" t="s">
        <v>78</v>
      </c>
      <c r="AD65" t="s">
        <v>1015</v>
      </c>
      <c r="AE65" t="s">
        <v>1016</v>
      </c>
      <c r="AF65" t="s">
        <v>61</v>
      </c>
      <c r="AG65">
        <v>1576000</v>
      </c>
      <c r="AH65" s="13">
        <v>31520</v>
      </c>
      <c r="AL65" s="15" t="s">
        <v>5893</v>
      </c>
      <c r="AM65">
        <v>31520</v>
      </c>
      <c r="AN65" s="16">
        <f>Table9[[#This Row],[Premium]]-Table9[[#This Row],[Tms prem]]</f>
        <v>0</v>
      </c>
    </row>
    <row r="66" spans="1:40" x14ac:dyDescent="0.25">
      <c r="A66">
        <v>72</v>
      </c>
      <c r="B66" t="s">
        <v>37</v>
      </c>
      <c r="C66" t="s">
        <v>1017</v>
      </c>
      <c r="D66" t="s">
        <v>39</v>
      </c>
      <c r="E66" t="s">
        <v>40</v>
      </c>
      <c r="F66" t="s">
        <v>1018</v>
      </c>
      <c r="G66" t="s">
        <v>1019</v>
      </c>
      <c r="H66" t="s">
        <v>188</v>
      </c>
      <c r="I66" t="s">
        <v>1020</v>
      </c>
      <c r="J66" t="s">
        <v>1021</v>
      </c>
      <c r="K66" t="s">
        <v>1021</v>
      </c>
      <c r="L66" t="s">
        <v>1021</v>
      </c>
      <c r="M66" t="s">
        <v>1022</v>
      </c>
      <c r="N66">
        <v>2469250</v>
      </c>
      <c r="O66">
        <v>2905000</v>
      </c>
      <c r="P66" t="s">
        <v>1023</v>
      </c>
      <c r="Q66" t="s">
        <v>1024</v>
      </c>
      <c r="R66" t="s">
        <v>1025</v>
      </c>
      <c r="S66" t="s">
        <v>1026</v>
      </c>
      <c r="T66" t="s">
        <v>51</v>
      </c>
      <c r="U66" t="s">
        <v>48</v>
      </c>
      <c r="V66" t="s">
        <v>52</v>
      </c>
      <c r="W66" t="s">
        <v>53</v>
      </c>
      <c r="X66" t="s">
        <v>417</v>
      </c>
      <c r="Y66" t="s">
        <v>1027</v>
      </c>
      <c r="Z66" t="s">
        <v>1028</v>
      </c>
      <c r="AA66" t="s">
        <v>1029</v>
      </c>
      <c r="AB66">
        <v>5</v>
      </c>
      <c r="AC66" t="s">
        <v>78</v>
      </c>
      <c r="AD66" t="s">
        <v>1030</v>
      </c>
      <c r="AE66" t="s">
        <v>55</v>
      </c>
      <c r="AF66" t="s">
        <v>61</v>
      </c>
      <c r="AG66">
        <v>2324000</v>
      </c>
      <c r="AH66" s="13">
        <v>46480</v>
      </c>
      <c r="AL66" s="15" t="s">
        <v>5894</v>
      </c>
      <c r="AM66">
        <v>46480</v>
      </c>
      <c r="AN66" s="16">
        <f>Table9[[#This Row],[Premium]]-Table9[[#This Row],[Tms prem]]</f>
        <v>0</v>
      </c>
    </row>
    <row r="67" spans="1:40" x14ac:dyDescent="0.25">
      <c r="A67">
        <v>73</v>
      </c>
      <c r="B67" t="s">
        <v>37</v>
      </c>
      <c r="C67" t="s">
        <v>1031</v>
      </c>
      <c r="D67" t="s">
        <v>39</v>
      </c>
      <c r="E67" t="s">
        <v>40</v>
      </c>
      <c r="F67" t="s">
        <v>63</v>
      </c>
      <c r="G67" t="s">
        <v>1032</v>
      </c>
      <c r="H67" t="s">
        <v>188</v>
      </c>
      <c r="I67" t="s">
        <v>1033</v>
      </c>
      <c r="J67" t="s">
        <v>48</v>
      </c>
      <c r="K67" t="s">
        <v>1034</v>
      </c>
      <c r="L67" t="s">
        <v>48</v>
      </c>
      <c r="M67" t="s">
        <v>1035</v>
      </c>
      <c r="N67">
        <v>1379000</v>
      </c>
      <c r="O67">
        <v>1970000</v>
      </c>
      <c r="P67" t="s">
        <v>1036</v>
      </c>
      <c r="Q67" t="s">
        <v>1024</v>
      </c>
      <c r="R67" t="s">
        <v>1037</v>
      </c>
      <c r="S67" t="s">
        <v>1038</v>
      </c>
      <c r="T67" t="s">
        <v>51</v>
      </c>
      <c r="U67" t="s">
        <v>48</v>
      </c>
      <c r="V67" t="s">
        <v>1039</v>
      </c>
      <c r="W67" t="s">
        <v>53</v>
      </c>
      <c r="X67" t="s">
        <v>1040</v>
      </c>
      <c r="Y67" t="s">
        <v>1027</v>
      </c>
      <c r="Z67" t="s">
        <v>1028</v>
      </c>
      <c r="AA67" t="s">
        <v>1041</v>
      </c>
      <c r="AB67">
        <v>5</v>
      </c>
      <c r="AC67" t="s">
        <v>58</v>
      </c>
      <c r="AD67" t="s">
        <v>1042</v>
      </c>
      <c r="AE67" t="s">
        <v>641</v>
      </c>
      <c r="AF67" t="s">
        <v>61</v>
      </c>
      <c r="AG67">
        <v>1576000</v>
      </c>
      <c r="AH67" s="13">
        <v>31520</v>
      </c>
      <c r="AL67" s="15" t="s">
        <v>5895</v>
      </c>
      <c r="AM67">
        <v>31520</v>
      </c>
      <c r="AN67" s="16">
        <f>Table9[[#This Row],[Premium]]-Table9[[#This Row],[Tms prem]]</f>
        <v>0</v>
      </c>
    </row>
    <row r="68" spans="1:40" x14ac:dyDescent="0.25">
      <c r="A68">
        <v>75</v>
      </c>
      <c r="B68" t="s">
        <v>37</v>
      </c>
      <c r="C68" t="s">
        <v>1064</v>
      </c>
      <c r="D68" t="s">
        <v>39</v>
      </c>
      <c r="E68" t="s">
        <v>40</v>
      </c>
      <c r="F68" t="s">
        <v>944</v>
      </c>
      <c r="G68" t="s">
        <v>1065</v>
      </c>
      <c r="H68" t="s">
        <v>65</v>
      </c>
      <c r="I68" t="s">
        <v>1066</v>
      </c>
      <c r="J68" t="s">
        <v>1067</v>
      </c>
      <c r="K68" t="s">
        <v>48</v>
      </c>
      <c r="L68" t="s">
        <v>1068</v>
      </c>
      <c r="M68" t="s">
        <v>1069</v>
      </c>
      <c r="N68">
        <v>1127826</v>
      </c>
      <c r="O68">
        <v>2331000</v>
      </c>
      <c r="P68" t="s">
        <v>1070</v>
      </c>
      <c r="Q68" s="1">
        <v>45573</v>
      </c>
      <c r="R68" t="s">
        <v>1071</v>
      </c>
      <c r="S68" t="s">
        <v>1072</v>
      </c>
      <c r="T68" t="s">
        <v>48</v>
      </c>
      <c r="U68" t="s">
        <v>1073</v>
      </c>
      <c r="V68" t="s">
        <v>1074</v>
      </c>
      <c r="W68" t="s">
        <v>1054</v>
      </c>
      <c r="X68" t="s">
        <v>1075</v>
      </c>
      <c r="Y68" t="s">
        <v>1075</v>
      </c>
      <c r="Z68" t="s">
        <v>200</v>
      </c>
      <c r="AA68" t="s">
        <v>1076</v>
      </c>
      <c r="AB68">
        <v>7</v>
      </c>
      <c r="AC68" t="s">
        <v>78</v>
      </c>
      <c r="AD68" t="s">
        <v>1077</v>
      </c>
      <c r="AE68" t="s">
        <v>1078</v>
      </c>
      <c r="AF68" t="s">
        <v>1079</v>
      </c>
      <c r="AG68">
        <v>1748250</v>
      </c>
      <c r="AH68" s="13">
        <v>43706</v>
      </c>
      <c r="AI68" t="s">
        <v>1080</v>
      </c>
      <c r="AJ68" t="s">
        <v>1063</v>
      </c>
      <c r="AL68" t="s">
        <v>5956</v>
      </c>
      <c r="AM68" s="13">
        <v>43706</v>
      </c>
      <c r="AN68" s="16">
        <f>Table9[[#This Row],[Premium]]-Table9[[#This Row],[Tms prem]]</f>
        <v>0</v>
      </c>
    </row>
    <row r="69" spans="1:40" x14ac:dyDescent="0.25">
      <c r="A69">
        <v>79</v>
      </c>
      <c r="B69" t="s">
        <v>37</v>
      </c>
      <c r="C69" t="s">
        <v>1132</v>
      </c>
      <c r="D69" t="s">
        <v>39</v>
      </c>
      <c r="E69" t="s">
        <v>40</v>
      </c>
      <c r="F69" t="s">
        <v>853</v>
      </c>
      <c r="G69" t="s">
        <v>1133</v>
      </c>
      <c r="H69" t="s">
        <v>43</v>
      </c>
      <c r="I69" t="s">
        <v>1134</v>
      </c>
      <c r="J69" t="s">
        <v>1135</v>
      </c>
      <c r="K69" t="s">
        <v>1136</v>
      </c>
      <c r="L69" t="s">
        <v>1135</v>
      </c>
      <c r="M69" t="s">
        <v>1137</v>
      </c>
      <c r="N69">
        <v>337048</v>
      </c>
      <c r="O69">
        <v>800000</v>
      </c>
      <c r="P69" t="s">
        <v>1138</v>
      </c>
      <c r="Q69" s="1">
        <v>45576</v>
      </c>
      <c r="R69" t="s">
        <v>1139</v>
      </c>
      <c r="S69" t="s">
        <v>1140</v>
      </c>
      <c r="T69" t="s">
        <v>196</v>
      </c>
      <c r="U69" t="s">
        <v>1141</v>
      </c>
      <c r="V69" t="s">
        <v>1142</v>
      </c>
      <c r="W69" t="s">
        <v>1054</v>
      </c>
      <c r="X69" t="s">
        <v>1143</v>
      </c>
      <c r="Y69" t="s">
        <v>137</v>
      </c>
      <c r="Z69" t="s">
        <v>138</v>
      </c>
      <c r="AA69" t="s">
        <v>1144</v>
      </c>
      <c r="AB69">
        <v>5</v>
      </c>
      <c r="AC69" t="s">
        <v>78</v>
      </c>
      <c r="AD69" t="s">
        <v>1145</v>
      </c>
      <c r="AE69" t="s">
        <v>864</v>
      </c>
      <c r="AF69" t="s">
        <v>61</v>
      </c>
      <c r="AG69">
        <v>640000</v>
      </c>
      <c r="AH69" s="13">
        <v>12800</v>
      </c>
      <c r="AL69" t="s">
        <v>5957</v>
      </c>
      <c r="AM69" s="13">
        <v>12800</v>
      </c>
      <c r="AN69" s="16">
        <f>Table9[[#This Row],[Premium]]-Table9[[#This Row],[Tms prem]]</f>
        <v>0</v>
      </c>
    </row>
    <row r="70" spans="1:40" x14ac:dyDescent="0.25">
      <c r="A70">
        <v>80</v>
      </c>
      <c r="B70" t="s">
        <v>37</v>
      </c>
      <c r="C70" t="s">
        <v>1146</v>
      </c>
      <c r="D70" t="s">
        <v>39</v>
      </c>
      <c r="E70" t="s">
        <v>40</v>
      </c>
      <c r="F70" t="s">
        <v>63</v>
      </c>
      <c r="G70" t="s">
        <v>1147</v>
      </c>
      <c r="H70" t="s">
        <v>83</v>
      </c>
      <c r="I70" t="s">
        <v>1148</v>
      </c>
      <c r="J70" t="s">
        <v>1149</v>
      </c>
      <c r="K70" t="s">
        <v>1149</v>
      </c>
      <c r="L70" t="s">
        <v>1149</v>
      </c>
      <c r="M70" t="s">
        <v>1150</v>
      </c>
      <c r="N70">
        <v>445127</v>
      </c>
      <c r="O70">
        <v>1655000</v>
      </c>
      <c r="P70" t="s">
        <v>1151</v>
      </c>
      <c r="Q70" s="1">
        <v>45576</v>
      </c>
      <c r="R70" t="s">
        <v>1152</v>
      </c>
      <c r="S70" t="s">
        <v>1153</v>
      </c>
      <c r="T70" t="s">
        <v>51</v>
      </c>
      <c r="U70" t="s">
        <v>48</v>
      </c>
      <c r="V70" t="s">
        <v>1154</v>
      </c>
      <c r="W70" t="s">
        <v>53</v>
      </c>
      <c r="X70" t="s">
        <v>1155</v>
      </c>
      <c r="Y70" t="s">
        <v>152</v>
      </c>
      <c r="Z70" t="s">
        <v>1156</v>
      </c>
      <c r="AA70" t="s">
        <v>1157</v>
      </c>
      <c r="AB70">
        <v>7</v>
      </c>
      <c r="AC70" t="s">
        <v>58</v>
      </c>
      <c r="AD70" t="s">
        <v>1158</v>
      </c>
      <c r="AE70" t="s">
        <v>406</v>
      </c>
      <c r="AF70" t="s">
        <v>61</v>
      </c>
      <c r="AG70">
        <v>1324000</v>
      </c>
      <c r="AH70" s="13">
        <v>26480</v>
      </c>
      <c r="AL70" t="s">
        <v>5958</v>
      </c>
      <c r="AM70" s="13">
        <v>26480</v>
      </c>
      <c r="AN70" s="16">
        <f>Table9[[#This Row],[Premium]]-Table9[[#This Row],[Tms prem]]</f>
        <v>0</v>
      </c>
    </row>
    <row r="71" spans="1:40" x14ac:dyDescent="0.25">
      <c r="A71">
        <v>81</v>
      </c>
      <c r="B71" t="s">
        <v>37</v>
      </c>
      <c r="C71" t="s">
        <v>1159</v>
      </c>
      <c r="D71" t="s">
        <v>39</v>
      </c>
      <c r="E71" t="s">
        <v>40</v>
      </c>
      <c r="F71" t="s">
        <v>63</v>
      </c>
      <c r="G71" t="s">
        <v>1160</v>
      </c>
      <c r="H71" t="s">
        <v>43</v>
      </c>
      <c r="I71" t="s">
        <v>1161</v>
      </c>
      <c r="J71" t="s">
        <v>1162</v>
      </c>
      <c r="K71" t="s">
        <v>1163</v>
      </c>
      <c r="L71" t="s">
        <v>1162</v>
      </c>
      <c r="M71" t="s">
        <v>1164</v>
      </c>
      <c r="N71">
        <v>550270</v>
      </c>
      <c r="O71">
        <v>1335000</v>
      </c>
      <c r="P71" t="s">
        <v>1165</v>
      </c>
      <c r="Q71" s="1">
        <v>45576</v>
      </c>
      <c r="R71" t="s">
        <v>1166</v>
      </c>
      <c r="S71" t="s">
        <v>1167</v>
      </c>
      <c r="T71" t="s">
        <v>51</v>
      </c>
      <c r="U71" t="s">
        <v>48</v>
      </c>
      <c r="V71" t="s">
        <v>325</v>
      </c>
      <c r="W71" t="s">
        <v>53</v>
      </c>
      <c r="X71" t="s">
        <v>1168</v>
      </c>
      <c r="Y71" t="s">
        <v>137</v>
      </c>
      <c r="Z71" t="s">
        <v>138</v>
      </c>
      <c r="AA71" t="s">
        <v>1169</v>
      </c>
      <c r="AB71">
        <v>5</v>
      </c>
      <c r="AC71" t="s">
        <v>78</v>
      </c>
      <c r="AD71" t="s">
        <v>1170</v>
      </c>
      <c r="AE71" t="s">
        <v>406</v>
      </c>
      <c r="AF71" t="s">
        <v>61</v>
      </c>
      <c r="AG71">
        <v>1068000</v>
      </c>
      <c r="AH71" s="13">
        <v>21360</v>
      </c>
      <c r="AL71" t="s">
        <v>5959</v>
      </c>
      <c r="AM71" s="13">
        <v>21360</v>
      </c>
      <c r="AN71" s="16">
        <f>Table9[[#This Row],[Premium]]-Table9[[#This Row],[Tms prem]]</f>
        <v>0</v>
      </c>
    </row>
    <row r="72" spans="1:40" x14ac:dyDescent="0.25">
      <c r="A72">
        <v>83</v>
      </c>
      <c r="B72" t="s">
        <v>37</v>
      </c>
      <c r="C72" t="s">
        <v>1186</v>
      </c>
      <c r="D72" t="s">
        <v>39</v>
      </c>
      <c r="E72" t="s">
        <v>40</v>
      </c>
      <c r="F72" t="s">
        <v>585</v>
      </c>
      <c r="G72" t="s">
        <v>1187</v>
      </c>
      <c r="H72" t="s">
        <v>233</v>
      </c>
      <c r="I72" t="s">
        <v>1188</v>
      </c>
      <c r="J72" t="s">
        <v>1189</v>
      </c>
      <c r="K72" t="s">
        <v>1189</v>
      </c>
      <c r="L72" t="s">
        <v>1189</v>
      </c>
      <c r="M72" t="s">
        <v>1190</v>
      </c>
      <c r="N72">
        <v>602993</v>
      </c>
      <c r="O72">
        <v>1335000</v>
      </c>
      <c r="P72" t="s">
        <v>1191</v>
      </c>
      <c r="Q72" s="1">
        <v>45576</v>
      </c>
      <c r="R72" t="s">
        <v>1192</v>
      </c>
      <c r="S72" t="s">
        <v>1193</v>
      </c>
      <c r="T72" t="s">
        <v>51</v>
      </c>
      <c r="U72" t="s">
        <v>48</v>
      </c>
      <c r="V72" t="s">
        <v>325</v>
      </c>
      <c r="W72" t="s">
        <v>53</v>
      </c>
      <c r="X72" t="s">
        <v>987</v>
      </c>
      <c r="Y72" t="s">
        <v>92</v>
      </c>
      <c r="Z72" t="s">
        <v>93</v>
      </c>
      <c r="AA72" t="s">
        <v>1194</v>
      </c>
      <c r="AB72">
        <v>5</v>
      </c>
      <c r="AC72" t="s">
        <v>78</v>
      </c>
      <c r="AD72" t="s">
        <v>1195</v>
      </c>
      <c r="AE72" t="s">
        <v>864</v>
      </c>
      <c r="AF72" t="s">
        <v>61</v>
      </c>
      <c r="AG72">
        <v>1068000</v>
      </c>
      <c r="AH72" s="13">
        <v>21360</v>
      </c>
      <c r="AL72" t="s">
        <v>5960</v>
      </c>
      <c r="AM72" s="13">
        <v>21360</v>
      </c>
      <c r="AN72" s="16">
        <f>Table9[[#This Row],[Premium]]-Table9[[#This Row],[Tms prem]]</f>
        <v>0</v>
      </c>
    </row>
    <row r="73" spans="1:40" x14ac:dyDescent="0.25">
      <c r="A73">
        <v>84</v>
      </c>
      <c r="B73" t="s">
        <v>37</v>
      </c>
      <c r="C73" t="s">
        <v>1196</v>
      </c>
      <c r="D73" t="s">
        <v>39</v>
      </c>
      <c r="E73" t="s">
        <v>40</v>
      </c>
      <c r="F73" t="s">
        <v>204</v>
      </c>
      <c r="G73" t="s">
        <v>1197</v>
      </c>
      <c r="H73" t="s">
        <v>1198</v>
      </c>
      <c r="I73" t="s">
        <v>1199</v>
      </c>
      <c r="J73" t="s">
        <v>48</v>
      </c>
      <c r="K73" t="s">
        <v>1200</v>
      </c>
      <c r="L73" t="s">
        <v>48</v>
      </c>
      <c r="M73" t="s">
        <v>1201</v>
      </c>
      <c r="N73">
        <v>632438</v>
      </c>
      <c r="O73">
        <v>1730000</v>
      </c>
      <c r="P73" t="s">
        <v>1202</v>
      </c>
      <c r="Q73" s="1">
        <v>45576</v>
      </c>
      <c r="R73" t="s">
        <v>1203</v>
      </c>
      <c r="S73" t="s">
        <v>1204</v>
      </c>
      <c r="T73" t="s">
        <v>51</v>
      </c>
      <c r="U73" t="s">
        <v>48</v>
      </c>
      <c r="V73" t="s">
        <v>1205</v>
      </c>
      <c r="W73" t="s">
        <v>53</v>
      </c>
      <c r="X73" t="s">
        <v>165</v>
      </c>
      <c r="Y73" t="s">
        <v>137</v>
      </c>
      <c r="Z73" t="s">
        <v>138</v>
      </c>
      <c r="AA73" t="s">
        <v>1206</v>
      </c>
      <c r="AB73">
        <v>5</v>
      </c>
      <c r="AC73" t="s">
        <v>78</v>
      </c>
      <c r="AD73" t="s">
        <v>1207</v>
      </c>
      <c r="AE73" t="s">
        <v>141</v>
      </c>
      <c r="AF73" t="s">
        <v>61</v>
      </c>
      <c r="AG73">
        <v>1384000</v>
      </c>
      <c r="AH73" s="13">
        <v>27680</v>
      </c>
      <c r="AL73" t="s">
        <v>5961</v>
      </c>
      <c r="AM73" s="13">
        <v>27680</v>
      </c>
      <c r="AN73" s="16">
        <f>Table9[[#This Row],[Premium]]-Table9[[#This Row],[Tms prem]]</f>
        <v>0</v>
      </c>
    </row>
    <row r="74" spans="1:40" x14ac:dyDescent="0.25">
      <c r="A74">
        <v>85</v>
      </c>
      <c r="B74" t="s">
        <v>37</v>
      </c>
      <c r="C74" t="s">
        <v>1208</v>
      </c>
      <c r="D74" t="s">
        <v>39</v>
      </c>
      <c r="E74" t="s">
        <v>40</v>
      </c>
      <c r="F74" t="s">
        <v>1209</v>
      </c>
      <c r="G74" t="s">
        <v>1210</v>
      </c>
      <c r="H74" t="s">
        <v>188</v>
      </c>
      <c r="I74" t="s">
        <v>1211</v>
      </c>
      <c r="J74" t="s">
        <v>1212</v>
      </c>
      <c r="K74" t="s">
        <v>1212</v>
      </c>
      <c r="L74" t="s">
        <v>1213</v>
      </c>
      <c r="M74" t="s">
        <v>1214</v>
      </c>
      <c r="N74">
        <v>425826</v>
      </c>
      <c r="O74">
        <v>1912906</v>
      </c>
      <c r="P74" t="s">
        <v>1215</v>
      </c>
      <c r="Q74" s="1">
        <v>45576</v>
      </c>
      <c r="R74" t="s">
        <v>1216</v>
      </c>
      <c r="S74" t="s">
        <v>1217</v>
      </c>
      <c r="T74" t="s">
        <v>196</v>
      </c>
      <c r="U74" t="s">
        <v>48</v>
      </c>
      <c r="V74" t="s">
        <v>1039</v>
      </c>
      <c r="W74" t="s">
        <v>53</v>
      </c>
      <c r="X74" t="s">
        <v>492</v>
      </c>
      <c r="Y74" t="s">
        <v>137</v>
      </c>
      <c r="Z74" t="s">
        <v>507</v>
      </c>
      <c r="AA74" t="s">
        <v>1218</v>
      </c>
      <c r="AB74">
        <v>4</v>
      </c>
      <c r="AC74" t="s">
        <v>58</v>
      </c>
      <c r="AD74" t="s">
        <v>1219</v>
      </c>
      <c r="AE74" t="s">
        <v>864</v>
      </c>
      <c r="AF74" t="s">
        <v>61</v>
      </c>
      <c r="AG74">
        <v>1530324.8</v>
      </c>
      <c r="AH74" s="13">
        <v>30606</v>
      </c>
      <c r="AL74" t="s">
        <v>5962</v>
      </c>
      <c r="AM74" s="13">
        <v>30606</v>
      </c>
      <c r="AN74" s="16">
        <f>Table9[[#This Row],[Premium]]-Table9[[#This Row],[Tms prem]]</f>
        <v>0</v>
      </c>
    </row>
    <row r="75" spans="1:40" x14ac:dyDescent="0.25">
      <c r="A75">
        <v>86</v>
      </c>
      <c r="B75" t="s">
        <v>37</v>
      </c>
      <c r="C75" t="s">
        <v>1220</v>
      </c>
      <c r="D75" t="s">
        <v>39</v>
      </c>
      <c r="E75" t="s">
        <v>40</v>
      </c>
      <c r="F75" t="s">
        <v>204</v>
      </c>
      <c r="G75" t="s">
        <v>1221</v>
      </c>
      <c r="H75" t="s">
        <v>233</v>
      </c>
      <c r="I75" t="s">
        <v>1222</v>
      </c>
      <c r="J75" t="s">
        <v>1223</v>
      </c>
      <c r="K75" t="s">
        <v>1223</v>
      </c>
      <c r="L75" t="s">
        <v>1223</v>
      </c>
      <c r="M75" t="s">
        <v>1224</v>
      </c>
      <c r="N75">
        <v>950025</v>
      </c>
      <c r="O75">
        <v>1780000</v>
      </c>
      <c r="P75" t="s">
        <v>1225</v>
      </c>
      <c r="Q75" s="1">
        <v>45576</v>
      </c>
      <c r="R75" t="s">
        <v>1226</v>
      </c>
      <c r="S75" t="s">
        <v>1227</v>
      </c>
      <c r="T75" t="s">
        <v>51</v>
      </c>
      <c r="U75" t="s">
        <v>48</v>
      </c>
      <c r="V75" t="s">
        <v>1228</v>
      </c>
      <c r="W75" t="s">
        <v>53</v>
      </c>
      <c r="X75" t="s">
        <v>1155</v>
      </c>
      <c r="Y75" t="s">
        <v>92</v>
      </c>
      <c r="Z75" t="s">
        <v>1229</v>
      </c>
      <c r="AA75" t="s">
        <v>1230</v>
      </c>
      <c r="AB75">
        <v>6</v>
      </c>
      <c r="AC75" t="s">
        <v>78</v>
      </c>
      <c r="AD75" t="s">
        <v>1231</v>
      </c>
      <c r="AE75" t="s">
        <v>107</v>
      </c>
      <c r="AF75" t="s">
        <v>61</v>
      </c>
      <c r="AG75">
        <v>1424000</v>
      </c>
      <c r="AH75" s="13">
        <v>28480</v>
      </c>
      <c r="AL75" t="s">
        <v>5963</v>
      </c>
      <c r="AM75" s="13">
        <v>28480</v>
      </c>
      <c r="AN75" s="16">
        <f>Table9[[#This Row],[Premium]]-Table9[[#This Row],[Tms prem]]</f>
        <v>0</v>
      </c>
    </row>
    <row r="76" spans="1:40" x14ac:dyDescent="0.25">
      <c r="A76">
        <v>87</v>
      </c>
      <c r="B76" t="s">
        <v>37</v>
      </c>
      <c r="C76" t="s">
        <v>1232</v>
      </c>
      <c r="D76" t="s">
        <v>39</v>
      </c>
      <c r="E76" t="s">
        <v>40</v>
      </c>
      <c r="F76" t="s">
        <v>525</v>
      </c>
      <c r="G76" t="s">
        <v>1233</v>
      </c>
      <c r="H76" t="s">
        <v>233</v>
      </c>
      <c r="I76" t="s">
        <v>1234</v>
      </c>
      <c r="J76" t="s">
        <v>1235</v>
      </c>
      <c r="K76" t="s">
        <v>1235</v>
      </c>
      <c r="L76" t="s">
        <v>1235</v>
      </c>
      <c r="M76" t="s">
        <v>1236</v>
      </c>
      <c r="N76">
        <v>831393</v>
      </c>
      <c r="O76">
        <v>1850000</v>
      </c>
      <c r="P76" t="s">
        <v>1237</v>
      </c>
      <c r="Q76" s="1">
        <v>45576</v>
      </c>
      <c r="R76" t="s">
        <v>1238</v>
      </c>
      <c r="S76" t="s">
        <v>1239</v>
      </c>
      <c r="T76" t="s">
        <v>196</v>
      </c>
      <c r="U76" t="s">
        <v>1240</v>
      </c>
      <c r="V76" t="s">
        <v>594</v>
      </c>
      <c r="W76" t="s">
        <v>536</v>
      </c>
      <c r="X76" t="s">
        <v>1143</v>
      </c>
      <c r="Y76" t="s">
        <v>137</v>
      </c>
      <c r="Z76" t="s">
        <v>138</v>
      </c>
      <c r="AA76" t="s">
        <v>1241</v>
      </c>
      <c r="AB76">
        <v>5</v>
      </c>
      <c r="AC76" t="s">
        <v>78</v>
      </c>
      <c r="AD76" t="s">
        <v>1242</v>
      </c>
      <c r="AE76" t="s">
        <v>864</v>
      </c>
      <c r="AF76" t="s">
        <v>61</v>
      </c>
      <c r="AG76">
        <v>1480000</v>
      </c>
      <c r="AH76" s="13">
        <v>29600</v>
      </c>
      <c r="AL76" t="s">
        <v>5964</v>
      </c>
      <c r="AM76" s="13">
        <v>29600</v>
      </c>
      <c r="AN76" s="16">
        <f>Table9[[#This Row],[Premium]]-Table9[[#This Row],[Tms prem]]</f>
        <v>0</v>
      </c>
    </row>
    <row r="77" spans="1:40" x14ac:dyDescent="0.25">
      <c r="A77">
        <v>89</v>
      </c>
      <c r="B77" t="s">
        <v>37</v>
      </c>
      <c r="C77" t="s">
        <v>1256</v>
      </c>
      <c r="D77" t="s">
        <v>39</v>
      </c>
      <c r="E77" t="s">
        <v>40</v>
      </c>
      <c r="F77" t="s">
        <v>1257</v>
      </c>
      <c r="G77" t="s">
        <v>1258</v>
      </c>
      <c r="H77" t="s">
        <v>188</v>
      </c>
      <c r="I77" t="s">
        <v>1259</v>
      </c>
      <c r="J77" t="s">
        <v>48</v>
      </c>
      <c r="K77" t="s">
        <v>1260</v>
      </c>
      <c r="L77" t="s">
        <v>48</v>
      </c>
      <c r="M77" t="s">
        <v>1261</v>
      </c>
      <c r="N77">
        <v>1143486</v>
      </c>
      <c r="O77">
        <v>1830000</v>
      </c>
      <c r="P77" t="s">
        <v>1262</v>
      </c>
      <c r="Q77" s="1">
        <v>45576</v>
      </c>
      <c r="R77" t="s">
        <v>1263</v>
      </c>
      <c r="S77" t="s">
        <v>1264</v>
      </c>
      <c r="T77" t="s">
        <v>293</v>
      </c>
      <c r="U77" t="s">
        <v>48</v>
      </c>
      <c r="V77" t="s">
        <v>1265</v>
      </c>
      <c r="W77" t="s">
        <v>53</v>
      </c>
      <c r="X77" t="s">
        <v>1266</v>
      </c>
      <c r="Y77" t="s">
        <v>137</v>
      </c>
      <c r="Z77" t="s">
        <v>378</v>
      </c>
      <c r="AA77" t="s">
        <v>1267</v>
      </c>
      <c r="AB77">
        <v>7</v>
      </c>
      <c r="AC77" t="s">
        <v>78</v>
      </c>
      <c r="AD77" t="s">
        <v>1268</v>
      </c>
      <c r="AE77" t="s">
        <v>107</v>
      </c>
      <c r="AF77" t="s">
        <v>299</v>
      </c>
      <c r="AG77">
        <v>1464000</v>
      </c>
      <c r="AH77" s="13">
        <v>20496</v>
      </c>
      <c r="AL77" t="s">
        <v>5965</v>
      </c>
      <c r="AM77" s="13">
        <v>20496</v>
      </c>
      <c r="AN77" s="16">
        <f>Table9[[#This Row],[Premium]]-Table9[[#This Row],[Tms prem]]</f>
        <v>0</v>
      </c>
    </row>
    <row r="78" spans="1:40" x14ac:dyDescent="0.25">
      <c r="A78">
        <v>90</v>
      </c>
      <c r="B78" t="s">
        <v>37</v>
      </c>
      <c r="C78" t="s">
        <v>1269</v>
      </c>
      <c r="D78" t="s">
        <v>39</v>
      </c>
      <c r="E78" t="s">
        <v>40</v>
      </c>
      <c r="F78" t="s">
        <v>301</v>
      </c>
      <c r="G78" t="s">
        <v>1270</v>
      </c>
      <c r="H78" t="s">
        <v>188</v>
      </c>
      <c r="I78" t="s">
        <v>1271</v>
      </c>
      <c r="J78" t="s">
        <v>1272</v>
      </c>
      <c r="K78" t="s">
        <v>1273</v>
      </c>
      <c r="L78" t="s">
        <v>1274</v>
      </c>
      <c r="M78" t="s">
        <v>1275</v>
      </c>
      <c r="N78">
        <v>1026339</v>
      </c>
      <c r="O78">
        <v>2589000</v>
      </c>
      <c r="P78" t="s">
        <v>1276</v>
      </c>
      <c r="Q78" s="1">
        <v>45576</v>
      </c>
      <c r="R78" t="s">
        <v>1277</v>
      </c>
      <c r="S78" t="s">
        <v>1278</v>
      </c>
      <c r="T78" t="s">
        <v>51</v>
      </c>
      <c r="U78" t="s">
        <v>48</v>
      </c>
      <c r="V78" t="s">
        <v>429</v>
      </c>
      <c r="W78" t="s">
        <v>53</v>
      </c>
      <c r="X78" t="s">
        <v>1279</v>
      </c>
      <c r="Y78" t="s">
        <v>137</v>
      </c>
      <c r="Z78" t="s">
        <v>138</v>
      </c>
      <c r="AA78" t="s">
        <v>1280</v>
      </c>
      <c r="AB78">
        <v>5</v>
      </c>
      <c r="AC78" t="s">
        <v>78</v>
      </c>
      <c r="AD78" t="s">
        <v>1281</v>
      </c>
      <c r="AE78" t="s">
        <v>199</v>
      </c>
      <c r="AF78" t="s">
        <v>61</v>
      </c>
      <c r="AG78">
        <v>2071200</v>
      </c>
      <c r="AH78" s="13">
        <v>41424</v>
      </c>
      <c r="AL78" t="s">
        <v>5966</v>
      </c>
      <c r="AM78" s="13">
        <v>41424</v>
      </c>
      <c r="AN78" s="16">
        <f>Table9[[#This Row],[Premium]]-Table9[[#This Row],[Tms prem]]</f>
        <v>0</v>
      </c>
    </row>
    <row r="79" spans="1:40" x14ac:dyDescent="0.25">
      <c r="A79">
        <v>91</v>
      </c>
      <c r="B79" t="s">
        <v>37</v>
      </c>
      <c r="C79" t="s">
        <v>1282</v>
      </c>
      <c r="D79" t="s">
        <v>39</v>
      </c>
      <c r="E79" t="s">
        <v>40</v>
      </c>
      <c r="F79" t="s">
        <v>1283</v>
      </c>
      <c r="G79" t="s">
        <v>1284</v>
      </c>
      <c r="H79" t="s">
        <v>128</v>
      </c>
      <c r="I79" t="s">
        <v>1285</v>
      </c>
      <c r="J79" t="s">
        <v>1286</v>
      </c>
      <c r="K79" t="s">
        <v>48</v>
      </c>
      <c r="L79" t="s">
        <v>1287</v>
      </c>
      <c r="M79" t="s">
        <v>1288</v>
      </c>
      <c r="N79">
        <v>1113706</v>
      </c>
      <c r="O79">
        <v>4077500</v>
      </c>
      <c r="P79" t="s">
        <v>1289</v>
      </c>
      <c r="Q79" s="1">
        <v>45576</v>
      </c>
      <c r="R79" t="s">
        <v>1290</v>
      </c>
      <c r="S79" t="s">
        <v>1291</v>
      </c>
      <c r="T79" t="s">
        <v>51</v>
      </c>
      <c r="U79" t="s">
        <v>48</v>
      </c>
      <c r="V79" t="s">
        <v>877</v>
      </c>
      <c r="W79" t="s">
        <v>53</v>
      </c>
      <c r="X79" t="s">
        <v>1292</v>
      </c>
      <c r="Y79" t="s">
        <v>137</v>
      </c>
      <c r="Z79" t="s">
        <v>138</v>
      </c>
      <c r="AA79" t="s">
        <v>1293</v>
      </c>
      <c r="AB79">
        <v>5</v>
      </c>
      <c r="AC79" t="s">
        <v>78</v>
      </c>
      <c r="AD79" t="s">
        <v>1294</v>
      </c>
      <c r="AE79" t="s">
        <v>406</v>
      </c>
      <c r="AF79" t="s">
        <v>155</v>
      </c>
      <c r="AG79">
        <v>3262000</v>
      </c>
      <c r="AH79" s="13">
        <v>57085</v>
      </c>
      <c r="AL79" t="s">
        <v>5967</v>
      </c>
      <c r="AM79" s="13">
        <v>57085</v>
      </c>
      <c r="AN79" s="16">
        <f>Table9[[#This Row],[Premium]]-Table9[[#This Row],[Tms prem]]</f>
        <v>0</v>
      </c>
    </row>
    <row r="80" spans="1:40" x14ac:dyDescent="0.25">
      <c r="A80">
        <v>92</v>
      </c>
      <c r="B80" t="s">
        <v>37</v>
      </c>
      <c r="C80" t="s">
        <v>1295</v>
      </c>
      <c r="D80" t="s">
        <v>39</v>
      </c>
      <c r="E80" t="s">
        <v>40</v>
      </c>
      <c r="F80" t="s">
        <v>483</v>
      </c>
      <c r="G80" t="s">
        <v>1296</v>
      </c>
      <c r="H80" t="s">
        <v>83</v>
      </c>
      <c r="I80" t="s">
        <v>1297</v>
      </c>
      <c r="J80" t="s">
        <v>1298</v>
      </c>
      <c r="K80" t="s">
        <v>1299</v>
      </c>
      <c r="L80" t="s">
        <v>1300</v>
      </c>
      <c r="M80" t="s">
        <v>1301</v>
      </c>
      <c r="N80">
        <v>1544886</v>
      </c>
      <c r="O80">
        <v>2703000</v>
      </c>
      <c r="P80" t="s">
        <v>1302</v>
      </c>
      <c r="Q80" s="1">
        <v>45576</v>
      </c>
      <c r="R80" t="s">
        <v>1303</v>
      </c>
      <c r="S80" t="s">
        <v>1304</v>
      </c>
      <c r="T80" t="s">
        <v>51</v>
      </c>
      <c r="U80" t="s">
        <v>48</v>
      </c>
      <c r="V80" t="s">
        <v>1305</v>
      </c>
      <c r="W80" t="s">
        <v>53</v>
      </c>
      <c r="X80" t="s">
        <v>311</v>
      </c>
      <c r="Y80" t="s">
        <v>152</v>
      </c>
      <c r="Z80" t="s">
        <v>1156</v>
      </c>
      <c r="AA80" t="s">
        <v>1306</v>
      </c>
      <c r="AB80">
        <v>7</v>
      </c>
      <c r="AC80" t="s">
        <v>58</v>
      </c>
      <c r="AD80" t="s">
        <v>1307</v>
      </c>
      <c r="AE80" t="s">
        <v>406</v>
      </c>
      <c r="AF80" t="s">
        <v>61</v>
      </c>
      <c r="AG80">
        <v>2162400</v>
      </c>
      <c r="AH80" s="13">
        <v>43248</v>
      </c>
      <c r="AL80" t="s">
        <v>5968</v>
      </c>
      <c r="AM80" s="13">
        <v>43248</v>
      </c>
      <c r="AN80" s="16">
        <f>Table9[[#This Row],[Premium]]-Table9[[#This Row],[Tms prem]]</f>
        <v>0</v>
      </c>
    </row>
    <row r="81" spans="1:40" x14ac:dyDescent="0.25">
      <c r="A81">
        <v>95</v>
      </c>
      <c r="B81" t="s">
        <v>37</v>
      </c>
      <c r="C81" t="s">
        <v>1338</v>
      </c>
      <c r="D81" t="s">
        <v>39</v>
      </c>
      <c r="E81" t="s">
        <v>40</v>
      </c>
      <c r="F81" t="s">
        <v>1325</v>
      </c>
      <c r="G81" t="s">
        <v>1339</v>
      </c>
      <c r="H81" t="s">
        <v>188</v>
      </c>
      <c r="I81" t="s">
        <v>1340</v>
      </c>
      <c r="J81" t="s">
        <v>514</v>
      </c>
      <c r="K81" t="s">
        <v>1341</v>
      </c>
      <c r="L81" t="s">
        <v>514</v>
      </c>
      <c r="M81" t="s">
        <v>1342</v>
      </c>
      <c r="N81">
        <v>1917036</v>
      </c>
      <c r="O81">
        <v>5390000</v>
      </c>
      <c r="P81" t="s">
        <v>1343</v>
      </c>
      <c r="Q81" s="1">
        <v>45576</v>
      </c>
      <c r="R81" t="s">
        <v>1344</v>
      </c>
      <c r="S81" t="s">
        <v>1345</v>
      </c>
      <c r="T81" t="s">
        <v>51</v>
      </c>
      <c r="U81" t="s">
        <v>48</v>
      </c>
      <c r="V81" t="s">
        <v>1334</v>
      </c>
      <c r="W81" t="s">
        <v>53</v>
      </c>
      <c r="X81" t="s">
        <v>1346</v>
      </c>
      <c r="Y81" t="s">
        <v>137</v>
      </c>
      <c r="Z81" t="s">
        <v>138</v>
      </c>
      <c r="AA81" t="s">
        <v>1347</v>
      </c>
      <c r="AB81">
        <v>5</v>
      </c>
      <c r="AC81" t="s">
        <v>58</v>
      </c>
      <c r="AD81" t="s">
        <v>1348</v>
      </c>
      <c r="AE81" t="s">
        <v>406</v>
      </c>
      <c r="AF81" t="s">
        <v>155</v>
      </c>
      <c r="AG81">
        <v>4312000</v>
      </c>
      <c r="AH81" s="13">
        <v>75460</v>
      </c>
      <c r="AL81" t="s">
        <v>5969</v>
      </c>
      <c r="AM81" s="13">
        <v>75460</v>
      </c>
      <c r="AN81" s="16">
        <f>Table9[[#This Row],[Premium]]-Table9[[#This Row],[Tms prem]]</f>
        <v>0</v>
      </c>
    </row>
    <row r="82" spans="1:40" x14ac:dyDescent="0.25">
      <c r="A82">
        <v>96</v>
      </c>
      <c r="B82" t="s">
        <v>37</v>
      </c>
      <c r="C82" t="s">
        <v>1349</v>
      </c>
      <c r="D82" t="s">
        <v>39</v>
      </c>
      <c r="E82" t="s">
        <v>40</v>
      </c>
      <c r="F82" t="s">
        <v>1350</v>
      </c>
      <c r="G82" t="s">
        <v>1351</v>
      </c>
      <c r="H82" t="s">
        <v>43</v>
      </c>
      <c r="I82" t="s">
        <v>1352</v>
      </c>
      <c r="J82" t="s">
        <v>1353</v>
      </c>
      <c r="K82" t="s">
        <v>1354</v>
      </c>
      <c r="L82" t="s">
        <v>1355</v>
      </c>
      <c r="M82" t="s">
        <v>1356</v>
      </c>
      <c r="N82">
        <v>176992</v>
      </c>
      <c r="O82">
        <v>680000</v>
      </c>
      <c r="P82" t="s">
        <v>1357</v>
      </c>
      <c r="Q82" s="1">
        <v>45583</v>
      </c>
      <c r="R82" t="s">
        <v>1358</v>
      </c>
      <c r="S82" t="s">
        <v>1359</v>
      </c>
      <c r="T82" t="s">
        <v>196</v>
      </c>
      <c r="U82" t="s">
        <v>1360</v>
      </c>
      <c r="V82" t="s">
        <v>1361</v>
      </c>
      <c r="W82" t="s">
        <v>365</v>
      </c>
      <c r="X82" t="s">
        <v>1362</v>
      </c>
      <c r="Y82" t="s">
        <v>1056</v>
      </c>
      <c r="Z82" t="s">
        <v>1363</v>
      </c>
      <c r="AA82" t="s">
        <v>1364</v>
      </c>
      <c r="AB82">
        <v>7</v>
      </c>
      <c r="AC82" t="s">
        <v>78</v>
      </c>
      <c r="AD82" t="s">
        <v>1365</v>
      </c>
      <c r="AE82" t="s">
        <v>1362</v>
      </c>
      <c r="AF82" t="s">
        <v>1061</v>
      </c>
      <c r="AG82">
        <v>442000</v>
      </c>
      <c r="AH82" s="13">
        <v>13702</v>
      </c>
      <c r="AI82" t="s">
        <v>1366</v>
      </c>
      <c r="AJ82" t="s">
        <v>1063</v>
      </c>
      <c r="AL82" t="s">
        <v>5970</v>
      </c>
      <c r="AM82" s="13">
        <v>13702</v>
      </c>
      <c r="AN82" s="16">
        <f>Table9[[#This Row],[Premium]]-Table9[[#This Row],[Tms prem]]</f>
        <v>0</v>
      </c>
    </row>
    <row r="83" spans="1:40" x14ac:dyDescent="0.25">
      <c r="A83">
        <v>97</v>
      </c>
      <c r="B83" t="s">
        <v>37</v>
      </c>
      <c r="C83" t="s">
        <v>1367</v>
      </c>
      <c r="D83" t="s">
        <v>39</v>
      </c>
      <c r="E83" t="s">
        <v>40</v>
      </c>
      <c r="F83" t="s">
        <v>1257</v>
      </c>
      <c r="G83" t="s">
        <v>1368</v>
      </c>
      <c r="H83" t="s">
        <v>188</v>
      </c>
      <c r="I83" t="s">
        <v>1369</v>
      </c>
      <c r="J83" t="s">
        <v>1370</v>
      </c>
      <c r="K83" t="s">
        <v>1370</v>
      </c>
      <c r="L83" t="s">
        <v>438</v>
      </c>
      <c r="M83" t="s">
        <v>1371</v>
      </c>
      <c r="N83">
        <v>193255</v>
      </c>
      <c r="O83">
        <v>840000</v>
      </c>
      <c r="P83" t="s">
        <v>1372</v>
      </c>
      <c r="Q83" s="1">
        <v>45566</v>
      </c>
      <c r="R83" t="s">
        <v>1373</v>
      </c>
      <c r="S83" t="s">
        <v>1374</v>
      </c>
      <c r="T83" t="s">
        <v>51</v>
      </c>
      <c r="U83" t="s">
        <v>1375</v>
      </c>
      <c r="V83" t="s">
        <v>1376</v>
      </c>
      <c r="W83" t="s">
        <v>1054</v>
      </c>
      <c r="X83" t="s">
        <v>1377</v>
      </c>
      <c r="Y83" t="s">
        <v>1378</v>
      </c>
      <c r="Z83" t="s">
        <v>1379</v>
      </c>
      <c r="AA83" t="s">
        <v>1380</v>
      </c>
      <c r="AB83">
        <v>7</v>
      </c>
      <c r="AC83" t="s">
        <v>78</v>
      </c>
      <c r="AD83" t="s">
        <v>1381</v>
      </c>
      <c r="AE83" t="s">
        <v>1377</v>
      </c>
      <c r="AF83" t="s">
        <v>1061</v>
      </c>
      <c r="AG83">
        <v>504000</v>
      </c>
      <c r="AH83" s="13">
        <v>15624</v>
      </c>
      <c r="AI83" t="s">
        <v>1382</v>
      </c>
      <c r="AJ83" t="s">
        <v>1063</v>
      </c>
      <c r="AL83" t="s">
        <v>5971</v>
      </c>
      <c r="AM83" s="13">
        <v>15624</v>
      </c>
      <c r="AN83" s="16">
        <f>Table9[[#This Row],[Premium]]-Table9[[#This Row],[Tms prem]]</f>
        <v>0</v>
      </c>
    </row>
    <row r="84" spans="1:40" x14ac:dyDescent="0.25">
      <c r="A84">
        <v>101</v>
      </c>
      <c r="B84" t="s">
        <v>37</v>
      </c>
      <c r="C84" t="s">
        <v>1431</v>
      </c>
      <c r="D84" t="s">
        <v>39</v>
      </c>
      <c r="E84" t="s">
        <v>40</v>
      </c>
      <c r="F84" t="s">
        <v>63</v>
      </c>
      <c r="G84" t="s">
        <v>1432</v>
      </c>
      <c r="H84" t="s">
        <v>43</v>
      </c>
      <c r="I84" t="s">
        <v>1433</v>
      </c>
      <c r="J84" t="s">
        <v>1434</v>
      </c>
      <c r="K84" t="s">
        <v>1435</v>
      </c>
      <c r="L84" t="s">
        <v>1436</v>
      </c>
      <c r="M84" t="s">
        <v>1437</v>
      </c>
      <c r="N84">
        <v>350572</v>
      </c>
      <c r="O84">
        <v>1335000</v>
      </c>
      <c r="P84" t="s">
        <v>1438</v>
      </c>
      <c r="Q84" s="1">
        <v>45584</v>
      </c>
      <c r="R84" t="s">
        <v>1439</v>
      </c>
      <c r="S84" t="s">
        <v>1440</v>
      </c>
      <c r="T84" t="s">
        <v>51</v>
      </c>
      <c r="U84" t="s">
        <v>48</v>
      </c>
      <c r="V84" t="s">
        <v>325</v>
      </c>
      <c r="W84" t="s">
        <v>53</v>
      </c>
      <c r="X84" t="s">
        <v>311</v>
      </c>
      <c r="Y84" t="s">
        <v>92</v>
      </c>
      <c r="Z84" t="s">
        <v>1363</v>
      </c>
      <c r="AA84" t="s">
        <v>1441</v>
      </c>
      <c r="AB84">
        <v>4</v>
      </c>
      <c r="AC84" t="s">
        <v>78</v>
      </c>
      <c r="AD84" t="s">
        <v>1442</v>
      </c>
      <c r="AE84" t="s">
        <v>629</v>
      </c>
      <c r="AF84" t="s">
        <v>61</v>
      </c>
      <c r="AG84">
        <v>1068000</v>
      </c>
      <c r="AH84" s="13">
        <v>21360</v>
      </c>
      <c r="AL84" t="s">
        <v>5972</v>
      </c>
      <c r="AM84" s="13">
        <v>21360</v>
      </c>
      <c r="AN84" s="16">
        <f>Table9[[#This Row],[Premium]]-Table9[[#This Row],[Tms prem]]</f>
        <v>0</v>
      </c>
    </row>
    <row r="85" spans="1:40" x14ac:dyDescent="0.25">
      <c r="A85">
        <v>102</v>
      </c>
      <c r="B85" t="s">
        <v>37</v>
      </c>
      <c r="C85" t="s">
        <v>1443</v>
      </c>
      <c r="D85" t="s">
        <v>39</v>
      </c>
      <c r="E85" t="s">
        <v>40</v>
      </c>
      <c r="F85" t="s">
        <v>63</v>
      </c>
      <c r="G85" t="s">
        <v>1444</v>
      </c>
      <c r="H85" t="s">
        <v>128</v>
      </c>
      <c r="I85" t="s">
        <v>1445</v>
      </c>
      <c r="J85" t="s">
        <v>1446</v>
      </c>
      <c r="K85" t="s">
        <v>48</v>
      </c>
      <c r="L85" t="s">
        <v>438</v>
      </c>
      <c r="M85" t="s">
        <v>1447</v>
      </c>
      <c r="N85">
        <v>687236</v>
      </c>
      <c r="O85">
        <v>1521000</v>
      </c>
      <c r="P85" t="s">
        <v>1448</v>
      </c>
      <c r="Q85" s="1">
        <v>45582</v>
      </c>
      <c r="R85" t="s">
        <v>1449</v>
      </c>
      <c r="S85" t="s">
        <v>1450</v>
      </c>
      <c r="T85" t="s">
        <v>51</v>
      </c>
      <c r="U85" t="s">
        <v>48</v>
      </c>
      <c r="V85" t="s">
        <v>1451</v>
      </c>
      <c r="W85" t="s">
        <v>53</v>
      </c>
      <c r="X85" t="s">
        <v>522</v>
      </c>
      <c r="Y85" t="s">
        <v>152</v>
      </c>
      <c r="Z85" t="s">
        <v>153</v>
      </c>
      <c r="AA85" t="s">
        <v>1452</v>
      </c>
      <c r="AB85">
        <v>5</v>
      </c>
      <c r="AC85" t="s">
        <v>58</v>
      </c>
      <c r="AD85" t="s">
        <v>1453</v>
      </c>
      <c r="AE85" t="s">
        <v>1454</v>
      </c>
      <c r="AF85" t="s">
        <v>61</v>
      </c>
      <c r="AG85">
        <v>1216800</v>
      </c>
      <c r="AH85" s="13">
        <v>24336</v>
      </c>
      <c r="AL85" t="s">
        <v>5973</v>
      </c>
      <c r="AM85" s="13">
        <v>24336</v>
      </c>
      <c r="AN85" s="16">
        <f>Table9[[#This Row],[Premium]]-Table9[[#This Row],[Tms prem]]</f>
        <v>0</v>
      </c>
    </row>
    <row r="86" spans="1:40" x14ac:dyDescent="0.25">
      <c r="A86">
        <v>103</v>
      </c>
      <c r="B86" t="s">
        <v>37</v>
      </c>
      <c r="C86" t="s">
        <v>1455</v>
      </c>
      <c r="D86" t="s">
        <v>39</v>
      </c>
      <c r="E86" t="s">
        <v>40</v>
      </c>
      <c r="F86" t="s">
        <v>1325</v>
      </c>
      <c r="G86" t="s">
        <v>1456</v>
      </c>
      <c r="H86" t="s">
        <v>83</v>
      </c>
      <c r="I86" t="s">
        <v>1457</v>
      </c>
      <c r="J86" t="s">
        <v>1458</v>
      </c>
      <c r="K86" t="s">
        <v>1458</v>
      </c>
      <c r="L86" t="s">
        <v>1459</v>
      </c>
      <c r="M86" t="s">
        <v>1460</v>
      </c>
      <c r="N86">
        <v>1328788</v>
      </c>
      <c r="O86">
        <v>5390000</v>
      </c>
      <c r="P86" t="s">
        <v>1461</v>
      </c>
      <c r="Q86" s="1">
        <v>45576</v>
      </c>
      <c r="R86" t="s">
        <v>1462</v>
      </c>
      <c r="S86" t="s">
        <v>1463</v>
      </c>
      <c r="T86" t="s">
        <v>51</v>
      </c>
      <c r="U86" t="s">
        <v>48</v>
      </c>
      <c r="V86" t="s">
        <v>1334</v>
      </c>
      <c r="W86" t="s">
        <v>53</v>
      </c>
      <c r="X86" t="s">
        <v>1464</v>
      </c>
      <c r="Y86" t="s">
        <v>92</v>
      </c>
      <c r="Z86" t="s">
        <v>93</v>
      </c>
      <c r="AA86" t="s">
        <v>1465</v>
      </c>
      <c r="AB86">
        <v>5</v>
      </c>
      <c r="AC86" t="s">
        <v>540</v>
      </c>
      <c r="AD86" t="s">
        <v>1466</v>
      </c>
      <c r="AE86" t="s">
        <v>406</v>
      </c>
      <c r="AF86" t="s">
        <v>155</v>
      </c>
      <c r="AG86">
        <v>4312000</v>
      </c>
      <c r="AH86" s="13">
        <v>75460</v>
      </c>
      <c r="AL86" t="s">
        <v>5974</v>
      </c>
      <c r="AM86" s="13">
        <v>75460</v>
      </c>
      <c r="AN86" s="16">
        <f>Table9[[#This Row],[Premium]]-Table9[[#This Row],[Tms prem]]</f>
        <v>0</v>
      </c>
    </row>
    <row r="87" spans="1:40" x14ac:dyDescent="0.25">
      <c r="A87">
        <v>104</v>
      </c>
      <c r="B87" t="s">
        <v>37</v>
      </c>
      <c r="C87" t="s">
        <v>1467</v>
      </c>
      <c r="D87" t="s">
        <v>39</v>
      </c>
      <c r="E87" t="s">
        <v>40</v>
      </c>
      <c r="F87" t="s">
        <v>1468</v>
      </c>
      <c r="G87" t="s">
        <v>1469</v>
      </c>
      <c r="H87" t="s">
        <v>65</v>
      </c>
      <c r="I87" t="s">
        <v>1470</v>
      </c>
      <c r="J87" t="s">
        <v>48</v>
      </c>
      <c r="K87" t="s">
        <v>1471</v>
      </c>
      <c r="L87" t="s">
        <v>48</v>
      </c>
      <c r="M87" t="s">
        <v>1472</v>
      </c>
      <c r="N87">
        <v>1119834</v>
      </c>
      <c r="O87">
        <v>3033000</v>
      </c>
      <c r="P87" t="s">
        <v>1473</v>
      </c>
      <c r="Q87" s="1">
        <v>45566</v>
      </c>
      <c r="R87" t="s">
        <v>1474</v>
      </c>
      <c r="S87" t="s">
        <v>1475</v>
      </c>
      <c r="T87" t="s">
        <v>293</v>
      </c>
      <c r="U87" t="s">
        <v>48</v>
      </c>
      <c r="V87" t="s">
        <v>1476</v>
      </c>
      <c r="W87" t="s">
        <v>53</v>
      </c>
      <c r="X87" t="s">
        <v>1266</v>
      </c>
      <c r="Y87" t="s">
        <v>966</v>
      </c>
      <c r="Z87" t="s">
        <v>967</v>
      </c>
      <c r="AA87" t="s">
        <v>1477</v>
      </c>
      <c r="AB87">
        <v>5</v>
      </c>
      <c r="AC87" t="s">
        <v>78</v>
      </c>
      <c r="AD87" t="s">
        <v>1478</v>
      </c>
      <c r="AE87" t="s">
        <v>96</v>
      </c>
      <c r="AF87" t="s">
        <v>299</v>
      </c>
      <c r="AG87">
        <v>2426400</v>
      </c>
      <c r="AH87" s="13">
        <v>33970</v>
      </c>
      <c r="AL87" t="s">
        <v>5975</v>
      </c>
      <c r="AM87" s="13">
        <v>33970</v>
      </c>
      <c r="AN87" s="16">
        <f>Table9[[#This Row],[Premium]]-Table9[[#This Row],[Tms prem]]</f>
        <v>0</v>
      </c>
    </row>
    <row r="88" spans="1:40" x14ac:dyDescent="0.25">
      <c r="A88">
        <v>105</v>
      </c>
      <c r="B88" t="s">
        <v>37</v>
      </c>
      <c r="C88" t="s">
        <v>1479</v>
      </c>
      <c r="D88" t="s">
        <v>39</v>
      </c>
      <c r="E88" t="s">
        <v>40</v>
      </c>
      <c r="F88" t="s">
        <v>1480</v>
      </c>
      <c r="G88" t="s">
        <v>1481</v>
      </c>
      <c r="H88" t="s">
        <v>188</v>
      </c>
      <c r="I88" t="s">
        <v>1482</v>
      </c>
      <c r="J88" t="s">
        <v>1483</v>
      </c>
      <c r="K88" t="s">
        <v>1483</v>
      </c>
      <c r="L88" t="s">
        <v>438</v>
      </c>
      <c r="M88" t="s">
        <v>1484</v>
      </c>
      <c r="N88">
        <v>1419285</v>
      </c>
      <c r="O88">
        <v>6311400</v>
      </c>
      <c r="P88" t="s">
        <v>1485</v>
      </c>
      <c r="Q88" s="1">
        <v>45576</v>
      </c>
      <c r="R88" t="s">
        <v>1486</v>
      </c>
      <c r="S88" t="s">
        <v>1487</v>
      </c>
      <c r="T88" t="s">
        <v>51</v>
      </c>
      <c r="U88" t="s">
        <v>48</v>
      </c>
      <c r="V88" t="s">
        <v>1488</v>
      </c>
      <c r="W88" t="s">
        <v>552</v>
      </c>
      <c r="X88" t="s">
        <v>1489</v>
      </c>
      <c r="Y88" t="s">
        <v>1490</v>
      </c>
      <c r="Z88" t="s">
        <v>1363</v>
      </c>
      <c r="AA88" t="s">
        <v>1491</v>
      </c>
      <c r="AB88">
        <v>3</v>
      </c>
      <c r="AC88" t="s">
        <v>556</v>
      </c>
      <c r="AD88" t="s">
        <v>1492</v>
      </c>
      <c r="AE88" t="s">
        <v>538</v>
      </c>
      <c r="AF88" t="s">
        <v>61</v>
      </c>
      <c r="AG88">
        <v>5364690</v>
      </c>
      <c r="AH88" s="13">
        <v>107294</v>
      </c>
      <c r="AL88" t="s">
        <v>5976</v>
      </c>
      <c r="AM88" s="13">
        <v>107294</v>
      </c>
      <c r="AN88" s="16">
        <f>Table9[[#This Row],[Premium]]-Table9[[#This Row],[Tms prem]]</f>
        <v>0</v>
      </c>
    </row>
    <row r="89" spans="1:40" x14ac:dyDescent="0.25">
      <c r="A89">
        <v>107</v>
      </c>
      <c r="B89" t="s">
        <v>37</v>
      </c>
      <c r="C89" t="s">
        <v>1507</v>
      </c>
      <c r="D89" t="s">
        <v>39</v>
      </c>
      <c r="E89" t="s">
        <v>40</v>
      </c>
      <c r="F89" t="s">
        <v>1508</v>
      </c>
      <c r="G89" t="s">
        <v>1509</v>
      </c>
      <c r="H89" t="s">
        <v>188</v>
      </c>
      <c r="I89" t="s">
        <v>1510</v>
      </c>
      <c r="J89" t="s">
        <v>1511</v>
      </c>
      <c r="K89" t="s">
        <v>1511</v>
      </c>
      <c r="L89" t="s">
        <v>438</v>
      </c>
      <c r="M89" t="s">
        <v>1512</v>
      </c>
      <c r="N89">
        <v>817794</v>
      </c>
      <c r="O89">
        <v>4300000</v>
      </c>
      <c r="P89" t="s">
        <v>1513</v>
      </c>
      <c r="Q89" s="1">
        <v>45595</v>
      </c>
      <c r="R89" t="s">
        <v>1514</v>
      </c>
      <c r="S89" t="s">
        <v>1515</v>
      </c>
      <c r="T89" t="s">
        <v>1516</v>
      </c>
      <c r="U89" t="s">
        <v>48</v>
      </c>
      <c r="V89" t="s">
        <v>1517</v>
      </c>
      <c r="W89" t="s">
        <v>1393</v>
      </c>
      <c r="X89" t="s">
        <v>1503</v>
      </c>
      <c r="Y89" t="s">
        <v>1504</v>
      </c>
      <c r="Z89" t="s">
        <v>1518</v>
      </c>
      <c r="AA89" t="s">
        <v>1519</v>
      </c>
      <c r="AB89">
        <v>5</v>
      </c>
      <c r="AC89" t="s">
        <v>78</v>
      </c>
      <c r="AD89" t="s">
        <v>1520</v>
      </c>
      <c r="AE89" t="s">
        <v>1503</v>
      </c>
      <c r="AF89" t="s">
        <v>61</v>
      </c>
      <c r="AG89">
        <v>3225000</v>
      </c>
      <c r="AH89" s="13">
        <v>64500</v>
      </c>
      <c r="AL89" t="s">
        <v>5977</v>
      </c>
      <c r="AM89" s="13">
        <v>64500</v>
      </c>
      <c r="AN89" s="16">
        <f>Table9[[#This Row],[Premium]]-Table9[[#This Row],[Tms prem]]</f>
        <v>0</v>
      </c>
    </row>
    <row r="90" spans="1:40" x14ac:dyDescent="0.25">
      <c r="A90">
        <v>108</v>
      </c>
      <c r="B90" t="s">
        <v>37</v>
      </c>
      <c r="C90" t="s">
        <v>1521</v>
      </c>
      <c r="D90" t="s">
        <v>39</v>
      </c>
      <c r="E90" t="s">
        <v>40</v>
      </c>
      <c r="F90" t="s">
        <v>763</v>
      </c>
      <c r="G90" t="s">
        <v>1522</v>
      </c>
      <c r="H90" t="s">
        <v>83</v>
      </c>
      <c r="I90" t="s">
        <v>1523</v>
      </c>
      <c r="J90" t="s">
        <v>1524</v>
      </c>
      <c r="K90" t="s">
        <v>1524</v>
      </c>
      <c r="L90" t="s">
        <v>1525</v>
      </c>
      <c r="M90" t="s">
        <v>1526</v>
      </c>
      <c r="N90">
        <v>413402</v>
      </c>
      <c r="O90">
        <v>1554000</v>
      </c>
      <c r="P90" t="s">
        <v>1527</v>
      </c>
      <c r="Q90" s="1">
        <v>45577</v>
      </c>
      <c r="R90" t="s">
        <v>1528</v>
      </c>
      <c r="S90" t="s">
        <v>1529</v>
      </c>
      <c r="T90" t="s">
        <v>51</v>
      </c>
      <c r="U90" t="s">
        <v>48</v>
      </c>
      <c r="V90" t="s">
        <v>1530</v>
      </c>
      <c r="W90" t="s">
        <v>53</v>
      </c>
      <c r="X90" t="s">
        <v>1335</v>
      </c>
      <c r="Y90" t="s">
        <v>152</v>
      </c>
      <c r="Z90" t="s">
        <v>153</v>
      </c>
      <c r="AA90" t="s">
        <v>1531</v>
      </c>
      <c r="AB90">
        <v>5</v>
      </c>
      <c r="AC90" t="s">
        <v>78</v>
      </c>
      <c r="AD90" t="s">
        <v>1532</v>
      </c>
      <c r="AE90" t="s">
        <v>1143</v>
      </c>
      <c r="AF90" t="s">
        <v>61</v>
      </c>
      <c r="AG90">
        <v>1243200</v>
      </c>
      <c r="AH90" s="13">
        <v>24864</v>
      </c>
      <c r="AL90" t="s">
        <v>5978</v>
      </c>
      <c r="AM90" s="13">
        <v>24864</v>
      </c>
      <c r="AN90" s="16">
        <f>Table9[[#This Row],[Premium]]-Table9[[#This Row],[Tms prem]]</f>
        <v>0</v>
      </c>
    </row>
    <row r="91" spans="1:40" x14ac:dyDescent="0.25">
      <c r="A91">
        <v>109</v>
      </c>
      <c r="B91" t="s">
        <v>37</v>
      </c>
      <c r="C91" t="s">
        <v>1533</v>
      </c>
      <c r="D91" t="s">
        <v>39</v>
      </c>
      <c r="E91" t="s">
        <v>40</v>
      </c>
      <c r="F91" t="s">
        <v>828</v>
      </c>
      <c r="G91" t="s">
        <v>1534</v>
      </c>
      <c r="H91" t="s">
        <v>233</v>
      </c>
      <c r="I91" t="s">
        <v>1535</v>
      </c>
      <c r="J91" t="s">
        <v>1536</v>
      </c>
      <c r="K91" t="s">
        <v>1536</v>
      </c>
      <c r="L91" t="s">
        <v>1536</v>
      </c>
      <c r="M91" t="s">
        <v>1537</v>
      </c>
      <c r="N91">
        <v>643455</v>
      </c>
      <c r="O91">
        <v>2900000</v>
      </c>
      <c r="P91" t="s">
        <v>1538</v>
      </c>
      <c r="Q91" s="1">
        <v>45595</v>
      </c>
      <c r="R91" t="s">
        <v>1539</v>
      </c>
      <c r="S91" t="s">
        <v>1540</v>
      </c>
      <c r="T91" t="s">
        <v>51</v>
      </c>
      <c r="U91" t="s">
        <v>1541</v>
      </c>
      <c r="V91" t="s">
        <v>1542</v>
      </c>
      <c r="W91" t="s">
        <v>1054</v>
      </c>
      <c r="X91" t="s">
        <v>1503</v>
      </c>
      <c r="Y91" t="s">
        <v>1504</v>
      </c>
      <c r="Z91" t="s">
        <v>1518</v>
      </c>
      <c r="AA91" t="s">
        <v>1543</v>
      </c>
      <c r="AB91">
        <v>5</v>
      </c>
      <c r="AC91" t="s">
        <v>556</v>
      </c>
      <c r="AD91" t="s">
        <v>1544</v>
      </c>
      <c r="AE91" t="s">
        <v>1503</v>
      </c>
      <c r="AF91" t="s">
        <v>61</v>
      </c>
      <c r="AG91">
        <v>2175000</v>
      </c>
      <c r="AH91" s="13">
        <v>43500</v>
      </c>
      <c r="AL91" t="s">
        <v>5979</v>
      </c>
      <c r="AM91" s="13">
        <v>43500</v>
      </c>
      <c r="AN91" s="16">
        <f>Table9[[#This Row],[Premium]]-Table9[[#This Row],[Tms prem]]</f>
        <v>0</v>
      </c>
    </row>
    <row r="92" spans="1:40" x14ac:dyDescent="0.25">
      <c r="A92">
        <v>110</v>
      </c>
      <c r="B92" t="s">
        <v>37</v>
      </c>
      <c r="C92" t="s">
        <v>1545</v>
      </c>
      <c r="D92" t="s">
        <v>39</v>
      </c>
      <c r="E92" t="s">
        <v>40</v>
      </c>
      <c r="F92" t="s">
        <v>63</v>
      </c>
      <c r="G92" t="s">
        <v>1546</v>
      </c>
      <c r="H92" t="s">
        <v>43</v>
      </c>
      <c r="I92" t="s">
        <v>1547</v>
      </c>
      <c r="J92" t="s">
        <v>1548</v>
      </c>
      <c r="K92" t="s">
        <v>1549</v>
      </c>
      <c r="L92" t="s">
        <v>1548</v>
      </c>
      <c r="M92" t="s">
        <v>1550</v>
      </c>
      <c r="N92">
        <v>609825</v>
      </c>
      <c r="O92">
        <v>1655000</v>
      </c>
      <c r="P92" t="s">
        <v>1551</v>
      </c>
      <c r="Q92" s="1">
        <v>45577</v>
      </c>
      <c r="R92" t="s">
        <v>1552</v>
      </c>
      <c r="S92" t="s">
        <v>1553</v>
      </c>
      <c r="T92" t="s">
        <v>51</v>
      </c>
      <c r="U92" t="s">
        <v>48</v>
      </c>
      <c r="V92" t="s">
        <v>1554</v>
      </c>
      <c r="W92" t="s">
        <v>53</v>
      </c>
      <c r="X92" t="s">
        <v>1555</v>
      </c>
      <c r="Y92" t="s">
        <v>152</v>
      </c>
      <c r="Z92" t="s">
        <v>153</v>
      </c>
      <c r="AA92" t="s">
        <v>1556</v>
      </c>
      <c r="AB92">
        <v>5</v>
      </c>
      <c r="AC92" t="s">
        <v>78</v>
      </c>
      <c r="AD92" t="s">
        <v>1557</v>
      </c>
      <c r="AE92" t="s">
        <v>864</v>
      </c>
      <c r="AF92" t="s">
        <v>61</v>
      </c>
      <c r="AG92">
        <v>1324000</v>
      </c>
      <c r="AH92" s="13">
        <v>26480</v>
      </c>
      <c r="AL92" t="s">
        <v>5980</v>
      </c>
      <c r="AM92" s="13">
        <v>26480</v>
      </c>
      <c r="AN92" s="16">
        <f>Table9[[#This Row],[Premium]]-Table9[[#This Row],[Tms prem]]</f>
        <v>0</v>
      </c>
    </row>
    <row r="93" spans="1:40" x14ac:dyDescent="0.25">
      <c r="A93">
        <v>111</v>
      </c>
      <c r="B93" t="s">
        <v>37</v>
      </c>
      <c r="C93" t="s">
        <v>1558</v>
      </c>
      <c r="D93" t="s">
        <v>39</v>
      </c>
      <c r="E93" t="s">
        <v>40</v>
      </c>
      <c r="F93" t="s">
        <v>1559</v>
      </c>
      <c r="G93" t="s">
        <v>1560</v>
      </c>
      <c r="H93" t="s">
        <v>188</v>
      </c>
      <c r="I93" t="s">
        <v>1561</v>
      </c>
      <c r="J93" t="s">
        <v>1562</v>
      </c>
      <c r="K93" t="s">
        <v>1562</v>
      </c>
      <c r="L93" t="s">
        <v>1563</v>
      </c>
      <c r="M93" t="s">
        <v>1564</v>
      </c>
      <c r="N93">
        <v>646838</v>
      </c>
      <c r="O93">
        <v>1554000</v>
      </c>
      <c r="P93" t="s">
        <v>1565</v>
      </c>
      <c r="Q93" s="1">
        <v>45577</v>
      </c>
      <c r="R93" t="s">
        <v>1566</v>
      </c>
      <c r="S93" t="s">
        <v>1567</v>
      </c>
      <c r="T93" t="s">
        <v>51</v>
      </c>
      <c r="U93" t="s">
        <v>48</v>
      </c>
      <c r="V93" t="s">
        <v>1568</v>
      </c>
      <c r="W93" t="s">
        <v>53</v>
      </c>
      <c r="X93" t="s">
        <v>1569</v>
      </c>
      <c r="Y93" t="s">
        <v>137</v>
      </c>
      <c r="Z93" t="s">
        <v>138</v>
      </c>
      <c r="AA93" t="s">
        <v>1570</v>
      </c>
      <c r="AB93">
        <v>5</v>
      </c>
      <c r="AC93" t="s">
        <v>78</v>
      </c>
      <c r="AD93" t="s">
        <v>1571</v>
      </c>
      <c r="AE93" t="s">
        <v>406</v>
      </c>
      <c r="AF93" t="s">
        <v>61</v>
      </c>
      <c r="AG93">
        <v>1243200</v>
      </c>
      <c r="AH93" s="13">
        <v>24864</v>
      </c>
      <c r="AL93" t="s">
        <v>5981</v>
      </c>
      <c r="AM93" s="13">
        <v>24864</v>
      </c>
      <c r="AN93" s="16">
        <f>Table9[[#This Row],[Premium]]-Table9[[#This Row],[Tms prem]]</f>
        <v>0</v>
      </c>
    </row>
    <row r="94" spans="1:40" x14ac:dyDescent="0.25">
      <c r="A94">
        <v>112</v>
      </c>
      <c r="B94" t="s">
        <v>37</v>
      </c>
      <c r="C94" t="s">
        <v>1572</v>
      </c>
      <c r="D94" t="s">
        <v>39</v>
      </c>
      <c r="E94" t="s">
        <v>40</v>
      </c>
      <c r="F94" t="s">
        <v>525</v>
      </c>
      <c r="G94" t="s">
        <v>1573</v>
      </c>
      <c r="H94" t="s">
        <v>83</v>
      </c>
      <c r="I94" t="s">
        <v>1574</v>
      </c>
      <c r="J94" t="s">
        <v>1575</v>
      </c>
      <c r="K94" t="s">
        <v>1575</v>
      </c>
      <c r="L94" t="s">
        <v>1575</v>
      </c>
      <c r="M94" t="s">
        <v>1576</v>
      </c>
      <c r="N94">
        <v>920711</v>
      </c>
      <c r="O94">
        <v>2200000</v>
      </c>
      <c r="P94" t="s">
        <v>1577</v>
      </c>
      <c r="Q94" s="1">
        <v>45595</v>
      </c>
      <c r="R94" t="s">
        <v>1578</v>
      </c>
      <c r="S94" t="s">
        <v>1579</v>
      </c>
      <c r="T94" t="s">
        <v>1516</v>
      </c>
      <c r="U94" t="s">
        <v>48</v>
      </c>
      <c r="V94" t="s">
        <v>1580</v>
      </c>
      <c r="W94" t="s">
        <v>1393</v>
      </c>
      <c r="X94" t="s">
        <v>1503</v>
      </c>
      <c r="Y94" t="s">
        <v>1504</v>
      </c>
      <c r="Z94" t="s">
        <v>824</v>
      </c>
      <c r="AA94" t="s">
        <v>1581</v>
      </c>
      <c r="AB94">
        <v>7</v>
      </c>
      <c r="AC94" t="s">
        <v>556</v>
      </c>
      <c r="AD94" t="s">
        <v>1582</v>
      </c>
      <c r="AE94" t="s">
        <v>1503</v>
      </c>
      <c r="AF94" t="s">
        <v>61</v>
      </c>
      <c r="AG94">
        <v>1650000</v>
      </c>
      <c r="AH94" s="13">
        <v>33000</v>
      </c>
      <c r="AL94" t="s">
        <v>5982</v>
      </c>
      <c r="AM94" s="13">
        <v>33000</v>
      </c>
      <c r="AN94" s="16">
        <f>Table9[[#This Row],[Premium]]-Table9[[#This Row],[Tms prem]]</f>
        <v>0</v>
      </c>
    </row>
    <row r="95" spans="1:40" x14ac:dyDescent="0.25">
      <c r="A95">
        <v>113</v>
      </c>
      <c r="B95" t="s">
        <v>37</v>
      </c>
      <c r="C95" t="s">
        <v>1583</v>
      </c>
      <c r="D95" t="s">
        <v>39</v>
      </c>
      <c r="E95" t="s">
        <v>40</v>
      </c>
      <c r="F95" t="s">
        <v>906</v>
      </c>
      <c r="G95" t="s">
        <v>1584</v>
      </c>
      <c r="H95" t="s">
        <v>83</v>
      </c>
      <c r="I95" t="s">
        <v>1585</v>
      </c>
      <c r="J95" t="s">
        <v>1586</v>
      </c>
      <c r="K95" t="s">
        <v>1586</v>
      </c>
      <c r="L95" t="s">
        <v>1586</v>
      </c>
      <c r="M95" t="s">
        <v>1587</v>
      </c>
      <c r="N95">
        <v>435198</v>
      </c>
      <c r="O95">
        <v>1730000</v>
      </c>
      <c r="P95" t="s">
        <v>1588</v>
      </c>
      <c r="Q95" s="1">
        <v>45595</v>
      </c>
      <c r="R95" t="s">
        <v>1589</v>
      </c>
      <c r="S95" t="s">
        <v>1590</v>
      </c>
      <c r="T95" t="s">
        <v>51</v>
      </c>
      <c r="U95" t="s">
        <v>48</v>
      </c>
      <c r="V95" t="s">
        <v>1591</v>
      </c>
      <c r="W95" t="s">
        <v>198</v>
      </c>
      <c r="X95" t="s">
        <v>1503</v>
      </c>
      <c r="Y95" t="s">
        <v>1504</v>
      </c>
      <c r="Z95" t="s">
        <v>1518</v>
      </c>
      <c r="AA95" t="s">
        <v>1592</v>
      </c>
      <c r="AB95">
        <v>5</v>
      </c>
      <c r="AC95" t="s">
        <v>556</v>
      </c>
      <c r="AD95" t="s">
        <v>1593</v>
      </c>
      <c r="AE95" t="s">
        <v>1503</v>
      </c>
      <c r="AF95" t="s">
        <v>61</v>
      </c>
      <c r="AG95">
        <v>1297500</v>
      </c>
      <c r="AH95" s="13">
        <v>25950</v>
      </c>
      <c r="AL95" t="s">
        <v>5983</v>
      </c>
      <c r="AM95" s="13">
        <v>25950</v>
      </c>
      <c r="AN95" s="16">
        <f>Table9[[#This Row],[Premium]]-Table9[[#This Row],[Tms prem]]</f>
        <v>0</v>
      </c>
    </row>
    <row r="96" spans="1:40" x14ac:dyDescent="0.25">
      <c r="A96">
        <v>114</v>
      </c>
      <c r="B96" t="s">
        <v>37</v>
      </c>
      <c r="C96" t="s">
        <v>1594</v>
      </c>
      <c r="D96" t="s">
        <v>39</v>
      </c>
      <c r="E96" t="s">
        <v>40</v>
      </c>
      <c r="F96" t="s">
        <v>525</v>
      </c>
      <c r="G96" t="s">
        <v>1595</v>
      </c>
      <c r="H96" t="s">
        <v>172</v>
      </c>
      <c r="I96" t="s">
        <v>1596</v>
      </c>
      <c r="J96" t="s">
        <v>1597</v>
      </c>
      <c r="K96" t="s">
        <v>1597</v>
      </c>
      <c r="L96" t="s">
        <v>1597</v>
      </c>
      <c r="M96" t="s">
        <v>1598</v>
      </c>
      <c r="N96">
        <v>432675</v>
      </c>
      <c r="O96">
        <v>1950000</v>
      </c>
      <c r="P96" t="s">
        <v>1599</v>
      </c>
      <c r="Q96" s="1">
        <v>45595</v>
      </c>
      <c r="R96" t="s">
        <v>1600</v>
      </c>
      <c r="S96" t="s">
        <v>1601</v>
      </c>
      <c r="T96" t="s">
        <v>1516</v>
      </c>
      <c r="U96" t="s">
        <v>1602</v>
      </c>
      <c r="V96" t="s">
        <v>1580</v>
      </c>
      <c r="W96" t="s">
        <v>1180</v>
      </c>
      <c r="X96" t="s">
        <v>1503</v>
      </c>
      <c r="Y96" t="s">
        <v>1504</v>
      </c>
      <c r="Z96" t="s">
        <v>1518</v>
      </c>
      <c r="AA96" t="s">
        <v>1603</v>
      </c>
      <c r="AB96">
        <v>5</v>
      </c>
      <c r="AC96" t="s">
        <v>556</v>
      </c>
      <c r="AD96" t="s">
        <v>1604</v>
      </c>
      <c r="AE96" t="s">
        <v>1503</v>
      </c>
      <c r="AF96" t="s">
        <v>61</v>
      </c>
      <c r="AG96">
        <v>1462500</v>
      </c>
      <c r="AH96" s="13">
        <v>29250</v>
      </c>
      <c r="AL96" t="s">
        <v>5984</v>
      </c>
      <c r="AM96" s="13">
        <v>29250</v>
      </c>
      <c r="AN96" s="16">
        <f>Table9[[#This Row],[Premium]]-Table9[[#This Row],[Tms prem]]</f>
        <v>0</v>
      </c>
    </row>
    <row r="97" spans="1:40" x14ac:dyDescent="0.25">
      <c r="A97">
        <v>115</v>
      </c>
      <c r="B97" t="s">
        <v>37</v>
      </c>
      <c r="C97" t="s">
        <v>1605</v>
      </c>
      <c r="D97" t="s">
        <v>39</v>
      </c>
      <c r="E97" t="s">
        <v>40</v>
      </c>
      <c r="F97" t="s">
        <v>316</v>
      </c>
      <c r="G97" t="s">
        <v>1606</v>
      </c>
      <c r="H97" t="s">
        <v>65</v>
      </c>
      <c r="I97" t="s">
        <v>1607</v>
      </c>
      <c r="J97" t="s">
        <v>1608</v>
      </c>
      <c r="K97" t="s">
        <v>48</v>
      </c>
      <c r="L97" t="s">
        <v>1609</v>
      </c>
      <c r="M97" t="s">
        <v>1610</v>
      </c>
      <c r="N97">
        <v>687434</v>
      </c>
      <c r="O97">
        <v>1605000</v>
      </c>
      <c r="P97" t="s">
        <v>1611</v>
      </c>
      <c r="Q97" s="1">
        <v>45595</v>
      </c>
      <c r="R97" t="s">
        <v>1612</v>
      </c>
      <c r="S97" t="s">
        <v>1613</v>
      </c>
      <c r="T97" t="s">
        <v>51</v>
      </c>
      <c r="U97" t="s">
        <v>48</v>
      </c>
      <c r="V97" t="s">
        <v>1614</v>
      </c>
      <c r="W97" t="s">
        <v>198</v>
      </c>
      <c r="X97" t="s">
        <v>1503</v>
      </c>
      <c r="Y97" t="s">
        <v>1504</v>
      </c>
      <c r="Z97" t="s">
        <v>824</v>
      </c>
      <c r="AA97" t="s">
        <v>1615</v>
      </c>
      <c r="AB97">
        <v>7</v>
      </c>
      <c r="AC97" t="s">
        <v>556</v>
      </c>
      <c r="AD97" t="s">
        <v>1616</v>
      </c>
      <c r="AE97" t="s">
        <v>1503</v>
      </c>
      <c r="AF97" t="s">
        <v>61</v>
      </c>
      <c r="AG97">
        <v>1203750</v>
      </c>
      <c r="AH97" s="13">
        <v>24075</v>
      </c>
      <c r="AL97" t="s">
        <v>5985</v>
      </c>
      <c r="AM97" s="13">
        <v>24075</v>
      </c>
      <c r="AN97" s="16">
        <f>Table9[[#This Row],[Premium]]-Table9[[#This Row],[Tms prem]]</f>
        <v>0</v>
      </c>
    </row>
    <row r="98" spans="1:40" x14ac:dyDescent="0.25">
      <c r="A98">
        <v>116</v>
      </c>
      <c r="B98" t="s">
        <v>37</v>
      </c>
      <c r="C98" t="s">
        <v>1617</v>
      </c>
      <c r="D98" t="s">
        <v>39</v>
      </c>
      <c r="E98" t="s">
        <v>40</v>
      </c>
      <c r="F98" t="s">
        <v>1618</v>
      </c>
      <c r="G98" t="s">
        <v>1619</v>
      </c>
      <c r="H98" t="s">
        <v>188</v>
      </c>
      <c r="I98" t="s">
        <v>1620</v>
      </c>
      <c r="J98" t="s">
        <v>1621</v>
      </c>
      <c r="K98" t="s">
        <v>1621</v>
      </c>
      <c r="L98" t="s">
        <v>438</v>
      </c>
      <c r="M98" t="s">
        <v>1622</v>
      </c>
      <c r="N98">
        <v>881781</v>
      </c>
      <c r="O98">
        <v>1600000</v>
      </c>
      <c r="P98" t="s">
        <v>1623</v>
      </c>
      <c r="Q98" s="1">
        <v>45577</v>
      </c>
      <c r="R98" t="s">
        <v>1624</v>
      </c>
      <c r="S98" t="s">
        <v>1625</v>
      </c>
      <c r="T98" t="s">
        <v>196</v>
      </c>
      <c r="U98" t="s">
        <v>1626</v>
      </c>
      <c r="V98" t="s">
        <v>1627</v>
      </c>
      <c r="W98" t="s">
        <v>53</v>
      </c>
      <c r="X98" t="s">
        <v>1628</v>
      </c>
      <c r="Y98" t="s">
        <v>669</v>
      </c>
      <c r="Z98" t="s">
        <v>326</v>
      </c>
      <c r="AA98" t="s">
        <v>1629</v>
      </c>
      <c r="AB98">
        <v>5</v>
      </c>
      <c r="AC98" t="s">
        <v>540</v>
      </c>
      <c r="AD98" t="s">
        <v>1630</v>
      </c>
      <c r="AE98" t="s">
        <v>952</v>
      </c>
      <c r="AF98" t="s">
        <v>155</v>
      </c>
      <c r="AG98">
        <v>1360000</v>
      </c>
      <c r="AH98" s="13">
        <v>23800</v>
      </c>
      <c r="AL98" t="s">
        <v>5986</v>
      </c>
      <c r="AM98" s="13">
        <v>23800</v>
      </c>
      <c r="AN98" s="16">
        <f>Table9[[#This Row],[Premium]]-Table9[[#This Row],[Tms prem]]</f>
        <v>0</v>
      </c>
    </row>
    <row r="99" spans="1:40" x14ac:dyDescent="0.25">
      <c r="A99">
        <v>117</v>
      </c>
      <c r="B99" t="s">
        <v>37</v>
      </c>
      <c r="C99" t="s">
        <v>1631</v>
      </c>
      <c r="D99" t="s">
        <v>39</v>
      </c>
      <c r="E99" t="s">
        <v>40</v>
      </c>
      <c r="F99" t="s">
        <v>789</v>
      </c>
      <c r="G99" t="s">
        <v>1632</v>
      </c>
      <c r="H99" t="s">
        <v>83</v>
      </c>
      <c r="I99" t="s">
        <v>1633</v>
      </c>
      <c r="J99" t="s">
        <v>1634</v>
      </c>
      <c r="K99" t="s">
        <v>1634</v>
      </c>
      <c r="L99" t="s">
        <v>1634</v>
      </c>
      <c r="M99" t="s">
        <v>1635</v>
      </c>
      <c r="N99">
        <v>1119725</v>
      </c>
      <c r="O99">
        <v>2100000</v>
      </c>
      <c r="P99" t="s">
        <v>1636</v>
      </c>
      <c r="Q99" s="1">
        <v>45577</v>
      </c>
      <c r="R99" t="s">
        <v>1637</v>
      </c>
      <c r="S99" t="s">
        <v>1638</v>
      </c>
      <c r="T99" t="s">
        <v>196</v>
      </c>
      <c r="U99" t="s">
        <v>1639</v>
      </c>
      <c r="V99" t="s">
        <v>784</v>
      </c>
      <c r="W99" t="s">
        <v>552</v>
      </c>
      <c r="X99" t="s">
        <v>1628</v>
      </c>
      <c r="Y99" t="s">
        <v>669</v>
      </c>
      <c r="Z99" t="s">
        <v>326</v>
      </c>
      <c r="AA99" t="s">
        <v>1640</v>
      </c>
      <c r="AB99">
        <v>5</v>
      </c>
      <c r="AC99" t="s">
        <v>540</v>
      </c>
      <c r="AD99" t="s">
        <v>1641</v>
      </c>
      <c r="AE99" t="s">
        <v>1628</v>
      </c>
      <c r="AF99" t="s">
        <v>155</v>
      </c>
      <c r="AG99">
        <v>1785000</v>
      </c>
      <c r="AH99" s="13">
        <v>31238</v>
      </c>
      <c r="AL99" t="s">
        <v>5987</v>
      </c>
      <c r="AM99" s="13">
        <v>31238</v>
      </c>
      <c r="AN99" s="16">
        <f>Table9[[#This Row],[Premium]]-Table9[[#This Row],[Tms prem]]</f>
        <v>0</v>
      </c>
    </row>
    <row r="100" spans="1:40" x14ac:dyDescent="0.25">
      <c r="A100">
        <v>118</v>
      </c>
      <c r="B100" t="s">
        <v>37</v>
      </c>
      <c r="C100" t="s">
        <v>1642</v>
      </c>
      <c r="D100" t="s">
        <v>39</v>
      </c>
      <c r="E100" t="s">
        <v>40</v>
      </c>
      <c r="F100" t="s">
        <v>1643</v>
      </c>
      <c r="G100" t="s">
        <v>1644</v>
      </c>
      <c r="H100" t="s">
        <v>188</v>
      </c>
      <c r="I100" t="s">
        <v>1645</v>
      </c>
      <c r="J100" t="s">
        <v>1646</v>
      </c>
      <c r="K100" t="s">
        <v>1647</v>
      </c>
      <c r="L100" t="s">
        <v>1648</v>
      </c>
      <c r="M100" t="s">
        <v>1649</v>
      </c>
      <c r="N100">
        <v>380459</v>
      </c>
      <c r="O100">
        <v>1883000</v>
      </c>
      <c r="P100" t="s">
        <v>1650</v>
      </c>
      <c r="Q100" s="1">
        <v>45595</v>
      </c>
      <c r="R100" t="s">
        <v>1651</v>
      </c>
      <c r="S100" t="s">
        <v>1652</v>
      </c>
      <c r="T100" t="s">
        <v>51</v>
      </c>
      <c r="U100" t="s">
        <v>1653</v>
      </c>
      <c r="V100" t="s">
        <v>1654</v>
      </c>
      <c r="W100" t="s">
        <v>1054</v>
      </c>
      <c r="X100" t="s">
        <v>1112</v>
      </c>
      <c r="Y100" t="s">
        <v>1108</v>
      </c>
      <c r="Z100" t="s">
        <v>1518</v>
      </c>
      <c r="AA100" t="s">
        <v>1655</v>
      </c>
      <c r="AB100">
        <v>7</v>
      </c>
      <c r="AC100" t="s">
        <v>1059</v>
      </c>
      <c r="AD100" t="s">
        <v>1656</v>
      </c>
      <c r="AE100" t="s">
        <v>1112</v>
      </c>
      <c r="AF100" t="s">
        <v>1061</v>
      </c>
      <c r="AG100">
        <v>1223950</v>
      </c>
      <c r="AH100" s="13">
        <v>37942</v>
      </c>
      <c r="AL100" t="s">
        <v>5988</v>
      </c>
      <c r="AM100" s="13">
        <v>37942</v>
      </c>
      <c r="AN100" s="16">
        <f>Table9[[#This Row],[Premium]]-Table9[[#This Row],[Tms prem]]</f>
        <v>0</v>
      </c>
    </row>
    <row r="101" spans="1:40" x14ac:dyDescent="0.25">
      <c r="A101">
        <v>119</v>
      </c>
      <c r="B101" t="s">
        <v>37</v>
      </c>
      <c r="C101" t="s">
        <v>1657</v>
      </c>
      <c r="D101" t="s">
        <v>39</v>
      </c>
      <c r="E101" t="s">
        <v>40</v>
      </c>
      <c r="F101" t="s">
        <v>1658</v>
      </c>
      <c r="G101" t="s">
        <v>1659</v>
      </c>
      <c r="H101" t="s">
        <v>188</v>
      </c>
      <c r="I101" t="s">
        <v>1660</v>
      </c>
      <c r="J101" t="s">
        <v>48</v>
      </c>
      <c r="K101" t="s">
        <v>48</v>
      </c>
      <c r="L101" t="s">
        <v>48</v>
      </c>
      <c r="M101" t="s">
        <v>1661</v>
      </c>
      <c r="N101">
        <v>297689</v>
      </c>
      <c r="O101">
        <v>1308000</v>
      </c>
      <c r="P101" t="s">
        <v>48</v>
      </c>
      <c r="Q101" s="1">
        <v>45595</v>
      </c>
      <c r="R101" t="s">
        <v>1662</v>
      </c>
      <c r="S101" t="s">
        <v>1663</v>
      </c>
      <c r="T101" t="s">
        <v>51</v>
      </c>
      <c r="U101" t="s">
        <v>1664</v>
      </c>
      <c r="V101" t="s">
        <v>810</v>
      </c>
      <c r="W101" t="s">
        <v>536</v>
      </c>
      <c r="X101" t="s">
        <v>1665</v>
      </c>
      <c r="Y101" t="s">
        <v>1128</v>
      </c>
      <c r="Z101" t="s">
        <v>1518</v>
      </c>
      <c r="AA101" t="s">
        <v>1666</v>
      </c>
      <c r="AB101">
        <v>6</v>
      </c>
      <c r="AC101" t="s">
        <v>58</v>
      </c>
      <c r="AD101" t="s">
        <v>1667</v>
      </c>
      <c r="AE101" t="s">
        <v>1665</v>
      </c>
      <c r="AF101" t="s">
        <v>1079</v>
      </c>
      <c r="AG101">
        <v>915600</v>
      </c>
      <c r="AH101" s="13">
        <v>22890</v>
      </c>
      <c r="AL101" t="s">
        <v>5989</v>
      </c>
      <c r="AM101" s="13">
        <v>22890</v>
      </c>
      <c r="AN101" s="16">
        <f>Table9[[#This Row],[Premium]]-Table9[[#This Row],[Tms prem]]</f>
        <v>0</v>
      </c>
    </row>
    <row r="102" spans="1:40" x14ac:dyDescent="0.25">
      <c r="A102">
        <v>120</v>
      </c>
      <c r="B102" t="s">
        <v>37</v>
      </c>
      <c r="C102" t="s">
        <v>1668</v>
      </c>
      <c r="D102" t="s">
        <v>39</v>
      </c>
      <c r="E102" t="s">
        <v>40</v>
      </c>
      <c r="F102" t="s">
        <v>1669</v>
      </c>
      <c r="G102" t="s">
        <v>1670</v>
      </c>
      <c r="H102" t="s">
        <v>188</v>
      </c>
      <c r="I102" t="s">
        <v>1671</v>
      </c>
      <c r="J102" t="s">
        <v>1672</v>
      </c>
      <c r="K102" t="s">
        <v>1673</v>
      </c>
      <c r="L102" t="s">
        <v>48</v>
      </c>
      <c r="M102" t="s">
        <v>1674</v>
      </c>
      <c r="N102">
        <v>285266</v>
      </c>
      <c r="O102">
        <v>1134000</v>
      </c>
      <c r="P102" t="s">
        <v>1675</v>
      </c>
      <c r="Q102" s="1">
        <v>45595</v>
      </c>
      <c r="R102" t="s">
        <v>1676</v>
      </c>
      <c r="S102" t="s">
        <v>1677</v>
      </c>
      <c r="T102" t="s">
        <v>51</v>
      </c>
      <c r="U102" t="s">
        <v>48</v>
      </c>
      <c r="V102" t="s">
        <v>1678</v>
      </c>
      <c r="W102" t="s">
        <v>198</v>
      </c>
      <c r="X102" t="s">
        <v>1503</v>
      </c>
      <c r="Y102" t="s">
        <v>1504</v>
      </c>
      <c r="Z102" t="s">
        <v>1518</v>
      </c>
      <c r="AA102" t="s">
        <v>1679</v>
      </c>
      <c r="AB102">
        <v>5</v>
      </c>
      <c r="AC102" t="s">
        <v>58</v>
      </c>
      <c r="AD102" t="s">
        <v>1680</v>
      </c>
      <c r="AE102" t="s">
        <v>1503</v>
      </c>
      <c r="AF102" t="s">
        <v>61</v>
      </c>
      <c r="AG102">
        <v>850500</v>
      </c>
      <c r="AH102" s="13">
        <v>17010</v>
      </c>
      <c r="AL102" t="s">
        <v>5990</v>
      </c>
      <c r="AM102" s="13">
        <v>17010</v>
      </c>
      <c r="AN102" s="16">
        <f>Table9[[#This Row],[Premium]]-Table9[[#This Row],[Tms prem]]</f>
        <v>0</v>
      </c>
    </row>
    <row r="103" spans="1:40" x14ac:dyDescent="0.25">
      <c r="A103">
        <v>121</v>
      </c>
      <c r="B103" t="s">
        <v>37</v>
      </c>
      <c r="C103" t="s">
        <v>1681</v>
      </c>
      <c r="D103" t="s">
        <v>39</v>
      </c>
      <c r="E103" t="s">
        <v>40</v>
      </c>
      <c r="F103" t="s">
        <v>63</v>
      </c>
      <c r="G103" t="s">
        <v>1682</v>
      </c>
      <c r="H103" t="s">
        <v>43</v>
      </c>
      <c r="I103" t="s">
        <v>1683</v>
      </c>
      <c r="J103" t="s">
        <v>1684</v>
      </c>
      <c r="K103" t="s">
        <v>1685</v>
      </c>
      <c r="L103" t="s">
        <v>1684</v>
      </c>
      <c r="M103" t="s">
        <v>1686</v>
      </c>
      <c r="N103">
        <v>1088993</v>
      </c>
      <c r="O103">
        <v>1886000</v>
      </c>
      <c r="P103" t="s">
        <v>1687</v>
      </c>
      <c r="Q103" s="1">
        <v>45577</v>
      </c>
      <c r="R103" t="s">
        <v>1688</v>
      </c>
      <c r="S103" t="s">
        <v>1689</v>
      </c>
      <c r="T103" t="s">
        <v>51</v>
      </c>
      <c r="U103" t="s">
        <v>48</v>
      </c>
      <c r="V103" t="s">
        <v>1690</v>
      </c>
      <c r="W103" t="s">
        <v>552</v>
      </c>
      <c r="X103" t="s">
        <v>1691</v>
      </c>
      <c r="Y103" t="s">
        <v>669</v>
      </c>
      <c r="Z103" t="s">
        <v>326</v>
      </c>
      <c r="AA103" t="s">
        <v>1692</v>
      </c>
      <c r="AB103">
        <v>5</v>
      </c>
      <c r="AC103" t="s">
        <v>556</v>
      </c>
      <c r="AD103" t="s">
        <v>1693</v>
      </c>
      <c r="AE103" t="s">
        <v>952</v>
      </c>
      <c r="AF103" t="s">
        <v>61</v>
      </c>
      <c r="AG103">
        <v>1603100</v>
      </c>
      <c r="AH103" s="13">
        <v>32062</v>
      </c>
      <c r="AL103" t="s">
        <v>5991</v>
      </c>
      <c r="AM103" s="13">
        <v>32062</v>
      </c>
      <c r="AN103" s="16">
        <f>Table9[[#This Row],[Premium]]-Table9[[#This Row],[Tms prem]]</f>
        <v>0</v>
      </c>
    </row>
    <row r="104" spans="1:40" x14ac:dyDescent="0.25">
      <c r="A104">
        <v>122</v>
      </c>
      <c r="B104" t="s">
        <v>37</v>
      </c>
      <c r="C104" t="s">
        <v>1694</v>
      </c>
      <c r="D104" t="s">
        <v>39</v>
      </c>
      <c r="E104" t="s">
        <v>40</v>
      </c>
      <c r="F104" t="s">
        <v>1695</v>
      </c>
      <c r="G104" t="s">
        <v>1696</v>
      </c>
      <c r="H104" t="s">
        <v>83</v>
      </c>
      <c r="I104" t="s">
        <v>1697</v>
      </c>
      <c r="J104" t="s">
        <v>48</v>
      </c>
      <c r="K104" t="s">
        <v>1698</v>
      </c>
      <c r="L104" t="s">
        <v>1699</v>
      </c>
      <c r="M104" t="s">
        <v>1700</v>
      </c>
      <c r="N104">
        <v>276405</v>
      </c>
      <c r="O104">
        <v>1340000</v>
      </c>
      <c r="P104" t="s">
        <v>1701</v>
      </c>
      <c r="Q104" s="1">
        <v>45595</v>
      </c>
      <c r="R104" t="s">
        <v>1702</v>
      </c>
      <c r="S104" t="s">
        <v>1703</v>
      </c>
      <c r="T104" t="s">
        <v>51</v>
      </c>
      <c r="U104" t="s">
        <v>1704</v>
      </c>
      <c r="V104" t="s">
        <v>965</v>
      </c>
      <c r="W104" t="s">
        <v>1054</v>
      </c>
      <c r="X104" t="s">
        <v>1112</v>
      </c>
      <c r="Y104" t="s">
        <v>1108</v>
      </c>
      <c r="Z104" t="s">
        <v>1518</v>
      </c>
      <c r="AA104" t="s">
        <v>1705</v>
      </c>
      <c r="AB104">
        <v>7</v>
      </c>
      <c r="AC104" t="s">
        <v>1321</v>
      </c>
      <c r="AD104" t="s">
        <v>1706</v>
      </c>
      <c r="AE104" t="s">
        <v>1112</v>
      </c>
      <c r="AF104" t="s">
        <v>1061</v>
      </c>
      <c r="AG104">
        <v>871000</v>
      </c>
      <c r="AH104" s="13">
        <v>27001</v>
      </c>
      <c r="AL104" t="s">
        <v>5992</v>
      </c>
      <c r="AM104" s="13">
        <v>27001</v>
      </c>
      <c r="AN104" s="16">
        <f>Table9[[#This Row],[Premium]]-Table9[[#This Row],[Tms prem]]</f>
        <v>0</v>
      </c>
    </row>
    <row r="105" spans="1:40" x14ac:dyDescent="0.25">
      <c r="A105">
        <v>123</v>
      </c>
      <c r="B105" t="s">
        <v>37</v>
      </c>
      <c r="C105" t="s">
        <v>1707</v>
      </c>
      <c r="D105" t="s">
        <v>39</v>
      </c>
      <c r="E105" t="s">
        <v>40</v>
      </c>
      <c r="F105" t="s">
        <v>1708</v>
      </c>
      <c r="G105" t="s">
        <v>1709</v>
      </c>
      <c r="H105" t="s">
        <v>128</v>
      </c>
      <c r="I105" t="s">
        <v>1710</v>
      </c>
      <c r="J105" t="s">
        <v>1711</v>
      </c>
      <c r="K105" t="s">
        <v>48</v>
      </c>
      <c r="L105" t="s">
        <v>1712</v>
      </c>
      <c r="M105" t="s">
        <v>1713</v>
      </c>
      <c r="N105">
        <v>239061</v>
      </c>
      <c r="O105">
        <v>1650000</v>
      </c>
      <c r="P105" t="s">
        <v>1714</v>
      </c>
      <c r="Q105" s="1">
        <v>45595</v>
      </c>
      <c r="R105" t="s">
        <v>1715</v>
      </c>
      <c r="S105" t="s">
        <v>1716</v>
      </c>
      <c r="T105" t="s">
        <v>1516</v>
      </c>
      <c r="U105" t="s">
        <v>1717</v>
      </c>
      <c r="V105" t="s">
        <v>1718</v>
      </c>
      <c r="W105" t="s">
        <v>1719</v>
      </c>
      <c r="X105" t="s">
        <v>1112</v>
      </c>
      <c r="Y105" t="s">
        <v>1108</v>
      </c>
      <c r="Z105" t="s">
        <v>1518</v>
      </c>
      <c r="AA105" t="s">
        <v>1720</v>
      </c>
      <c r="AB105">
        <v>7</v>
      </c>
      <c r="AC105" t="s">
        <v>1059</v>
      </c>
      <c r="AD105" t="s">
        <v>1721</v>
      </c>
      <c r="AE105" t="s">
        <v>1112</v>
      </c>
      <c r="AF105" t="s">
        <v>1061</v>
      </c>
      <c r="AG105">
        <v>1072500</v>
      </c>
      <c r="AH105" s="13">
        <v>33248</v>
      </c>
      <c r="AL105" t="s">
        <v>5993</v>
      </c>
      <c r="AM105" s="13">
        <v>33248</v>
      </c>
      <c r="AN105" s="16">
        <f>Table9[[#This Row],[Premium]]-Table9[[#This Row],[Tms prem]]</f>
        <v>0</v>
      </c>
    </row>
    <row r="106" spans="1:40" x14ac:dyDescent="0.25">
      <c r="A106">
        <v>125</v>
      </c>
      <c r="B106" t="s">
        <v>184</v>
      </c>
      <c r="C106" t="s">
        <v>1735</v>
      </c>
      <c r="D106" t="s">
        <v>39</v>
      </c>
      <c r="E106" t="s">
        <v>40</v>
      </c>
      <c r="F106" t="s">
        <v>394</v>
      </c>
      <c r="G106" t="s">
        <v>1736</v>
      </c>
      <c r="H106" t="s">
        <v>83</v>
      </c>
      <c r="I106" t="s">
        <v>1737</v>
      </c>
      <c r="J106" t="s">
        <v>1738</v>
      </c>
      <c r="K106" t="s">
        <v>1738</v>
      </c>
      <c r="L106" t="s">
        <v>1738</v>
      </c>
      <c r="M106" t="s">
        <v>1739</v>
      </c>
      <c r="N106">
        <v>309510</v>
      </c>
      <c r="O106">
        <v>1340000</v>
      </c>
      <c r="P106" t="s">
        <v>1740</v>
      </c>
      <c r="Q106" s="1">
        <v>45594</v>
      </c>
      <c r="R106" t="s">
        <v>1741</v>
      </c>
      <c r="S106" t="s">
        <v>1742</v>
      </c>
      <c r="T106" t="s">
        <v>51</v>
      </c>
      <c r="U106" t="s">
        <v>1743</v>
      </c>
      <c r="V106" t="s">
        <v>350</v>
      </c>
      <c r="W106" t="s">
        <v>1054</v>
      </c>
      <c r="X106" t="s">
        <v>1112</v>
      </c>
      <c r="Y106" t="s">
        <v>1108</v>
      </c>
      <c r="Z106" t="s">
        <v>1518</v>
      </c>
      <c r="AA106" t="s">
        <v>1744</v>
      </c>
      <c r="AB106">
        <v>7</v>
      </c>
      <c r="AC106" t="s">
        <v>78</v>
      </c>
      <c r="AD106" t="s">
        <v>1745</v>
      </c>
      <c r="AE106" t="s">
        <v>1746</v>
      </c>
      <c r="AF106" t="s">
        <v>1061</v>
      </c>
      <c r="AG106">
        <v>871000</v>
      </c>
      <c r="AH106" s="13">
        <v>27001</v>
      </c>
      <c r="AL106" t="s">
        <v>5994</v>
      </c>
      <c r="AM106" s="13">
        <v>27001</v>
      </c>
      <c r="AN106" s="16">
        <f>Table9[[#This Row],[Premium]]-Table9[[#This Row],[Tms prem]]</f>
        <v>0</v>
      </c>
    </row>
    <row r="107" spans="1:40" x14ac:dyDescent="0.25">
      <c r="A107">
        <v>126</v>
      </c>
      <c r="B107" t="s">
        <v>37</v>
      </c>
      <c r="C107" t="s">
        <v>1747</v>
      </c>
      <c r="D107" t="s">
        <v>39</v>
      </c>
      <c r="E107" t="s">
        <v>40</v>
      </c>
      <c r="F107" t="s">
        <v>789</v>
      </c>
      <c r="G107" t="s">
        <v>1748</v>
      </c>
      <c r="H107" t="s">
        <v>83</v>
      </c>
      <c r="I107" t="s">
        <v>1749</v>
      </c>
      <c r="J107" t="s">
        <v>1750</v>
      </c>
      <c r="K107" t="s">
        <v>1750</v>
      </c>
      <c r="L107" t="s">
        <v>1750</v>
      </c>
      <c r="M107" t="s">
        <v>1751</v>
      </c>
      <c r="N107">
        <v>605693</v>
      </c>
      <c r="O107">
        <v>2750000</v>
      </c>
      <c r="P107" t="s">
        <v>1752</v>
      </c>
      <c r="Q107" s="1">
        <v>45594</v>
      </c>
      <c r="R107" t="s">
        <v>1753</v>
      </c>
      <c r="S107" t="s">
        <v>1754</v>
      </c>
      <c r="T107" t="s">
        <v>196</v>
      </c>
      <c r="U107" t="s">
        <v>1755</v>
      </c>
      <c r="V107" t="s">
        <v>1756</v>
      </c>
      <c r="W107" t="s">
        <v>1393</v>
      </c>
      <c r="X107" t="s">
        <v>1746</v>
      </c>
      <c r="Y107" t="s">
        <v>1108</v>
      </c>
      <c r="Z107" t="s">
        <v>1518</v>
      </c>
      <c r="AA107" t="s">
        <v>1757</v>
      </c>
      <c r="AB107">
        <v>7</v>
      </c>
      <c r="AC107" t="s">
        <v>78</v>
      </c>
      <c r="AD107" t="s">
        <v>1758</v>
      </c>
      <c r="AE107" t="s">
        <v>1759</v>
      </c>
      <c r="AF107" t="s">
        <v>1061</v>
      </c>
      <c r="AG107">
        <v>1787500</v>
      </c>
      <c r="AH107" s="13">
        <v>55413</v>
      </c>
      <c r="AL107" t="s">
        <v>5995</v>
      </c>
      <c r="AM107" s="13">
        <v>55413</v>
      </c>
      <c r="AN107" s="16">
        <f>Table9[[#This Row],[Premium]]-Table9[[#This Row],[Tms prem]]</f>
        <v>0</v>
      </c>
    </row>
    <row r="108" spans="1:40" x14ac:dyDescent="0.25">
      <c r="A108">
        <v>127</v>
      </c>
      <c r="B108" t="s">
        <v>37</v>
      </c>
      <c r="C108" t="s">
        <v>1760</v>
      </c>
      <c r="D108" t="s">
        <v>39</v>
      </c>
      <c r="E108" t="s">
        <v>40</v>
      </c>
      <c r="F108" t="s">
        <v>1401</v>
      </c>
      <c r="G108" t="s">
        <v>1761</v>
      </c>
      <c r="H108" t="s">
        <v>188</v>
      </c>
      <c r="I108" t="s">
        <v>1762</v>
      </c>
      <c r="J108" t="s">
        <v>1763</v>
      </c>
      <c r="K108" t="s">
        <v>1763</v>
      </c>
      <c r="L108" t="s">
        <v>1764</v>
      </c>
      <c r="M108" t="s">
        <v>1765</v>
      </c>
      <c r="N108">
        <v>407582</v>
      </c>
      <c r="O108">
        <v>2697000</v>
      </c>
      <c r="P108" t="s">
        <v>1766</v>
      </c>
      <c r="Q108" s="1">
        <v>45594</v>
      </c>
      <c r="R108" t="s">
        <v>1767</v>
      </c>
      <c r="S108" t="s">
        <v>1768</v>
      </c>
      <c r="T108" t="s">
        <v>51</v>
      </c>
      <c r="U108" t="s">
        <v>1769</v>
      </c>
      <c r="V108" t="s">
        <v>1770</v>
      </c>
      <c r="W108" t="s">
        <v>1054</v>
      </c>
      <c r="X108" t="s">
        <v>1112</v>
      </c>
      <c r="Y108" t="s">
        <v>1108</v>
      </c>
      <c r="Z108" t="s">
        <v>1518</v>
      </c>
      <c r="AA108" t="s">
        <v>1771</v>
      </c>
      <c r="AB108">
        <v>7</v>
      </c>
      <c r="AC108" t="s">
        <v>78</v>
      </c>
      <c r="AD108" t="s">
        <v>1772</v>
      </c>
      <c r="AE108" t="s">
        <v>1746</v>
      </c>
      <c r="AF108" t="s">
        <v>1061</v>
      </c>
      <c r="AG108">
        <v>1753050</v>
      </c>
      <c r="AH108" s="13">
        <v>54345</v>
      </c>
      <c r="AL108" t="s">
        <v>5996</v>
      </c>
      <c r="AM108" s="13">
        <v>54345</v>
      </c>
      <c r="AN108" s="16">
        <f>Table9[[#This Row],[Premium]]-Table9[[#This Row],[Tms prem]]</f>
        <v>0</v>
      </c>
    </row>
    <row r="109" spans="1:40" x14ac:dyDescent="0.25">
      <c r="A109">
        <v>128</v>
      </c>
      <c r="B109" t="s">
        <v>37</v>
      </c>
      <c r="C109" t="s">
        <v>1773</v>
      </c>
      <c r="D109" t="s">
        <v>39</v>
      </c>
      <c r="E109" t="s">
        <v>40</v>
      </c>
      <c r="F109" t="s">
        <v>1774</v>
      </c>
      <c r="G109" t="s">
        <v>1775</v>
      </c>
      <c r="H109" t="s">
        <v>188</v>
      </c>
      <c r="I109" t="s">
        <v>1776</v>
      </c>
      <c r="J109" t="s">
        <v>1777</v>
      </c>
      <c r="K109" t="s">
        <v>48</v>
      </c>
      <c r="L109" t="s">
        <v>1778</v>
      </c>
      <c r="M109" t="s">
        <v>1779</v>
      </c>
      <c r="N109">
        <v>258869</v>
      </c>
      <c r="O109">
        <v>1050000</v>
      </c>
      <c r="P109" t="s">
        <v>1780</v>
      </c>
      <c r="Q109" s="1">
        <v>45594</v>
      </c>
      <c r="R109" t="s">
        <v>1781</v>
      </c>
      <c r="S109" t="s">
        <v>1782</v>
      </c>
      <c r="T109" t="s">
        <v>51</v>
      </c>
      <c r="U109" t="s">
        <v>1783</v>
      </c>
      <c r="V109" t="s">
        <v>1784</v>
      </c>
      <c r="W109" t="s">
        <v>536</v>
      </c>
      <c r="X109" t="s">
        <v>1665</v>
      </c>
      <c r="Y109" t="s">
        <v>1128</v>
      </c>
      <c r="Z109" t="s">
        <v>1518</v>
      </c>
      <c r="AA109" t="s">
        <v>1785</v>
      </c>
      <c r="AB109">
        <v>6</v>
      </c>
      <c r="AC109" t="s">
        <v>78</v>
      </c>
      <c r="AD109" t="s">
        <v>1786</v>
      </c>
      <c r="AE109" t="s">
        <v>1665</v>
      </c>
      <c r="AF109" t="s">
        <v>1079</v>
      </c>
      <c r="AG109">
        <v>735000</v>
      </c>
      <c r="AH109" s="13">
        <v>18375</v>
      </c>
      <c r="AL109" t="s">
        <v>5997</v>
      </c>
      <c r="AM109" s="13">
        <v>18375</v>
      </c>
      <c r="AN109" s="16">
        <f>Table9[[#This Row],[Premium]]-Table9[[#This Row],[Tms prem]]</f>
        <v>0</v>
      </c>
    </row>
    <row r="110" spans="1:40" x14ac:dyDescent="0.25">
      <c r="A110">
        <v>130</v>
      </c>
      <c r="B110" t="s">
        <v>37</v>
      </c>
      <c r="C110" t="s">
        <v>1800</v>
      </c>
      <c r="D110" t="s">
        <v>39</v>
      </c>
      <c r="E110" t="s">
        <v>40</v>
      </c>
      <c r="F110" t="s">
        <v>63</v>
      </c>
      <c r="G110" t="s">
        <v>1801</v>
      </c>
      <c r="H110" t="s">
        <v>83</v>
      </c>
      <c r="I110" t="s">
        <v>1802</v>
      </c>
      <c r="J110" t="s">
        <v>48</v>
      </c>
      <c r="K110" t="s">
        <v>1803</v>
      </c>
      <c r="L110" t="s">
        <v>48</v>
      </c>
      <c r="M110" t="s">
        <v>1804</v>
      </c>
      <c r="N110">
        <v>910333</v>
      </c>
      <c r="O110">
        <v>2612000</v>
      </c>
      <c r="P110" t="s">
        <v>1805</v>
      </c>
      <c r="Q110" t="s">
        <v>1806</v>
      </c>
      <c r="R110" t="s">
        <v>1807</v>
      </c>
      <c r="S110" t="s">
        <v>1808</v>
      </c>
      <c r="T110" t="s">
        <v>51</v>
      </c>
      <c r="U110" t="s">
        <v>48</v>
      </c>
      <c r="V110" t="s">
        <v>325</v>
      </c>
      <c r="W110" t="s">
        <v>74</v>
      </c>
      <c r="X110" s="1">
        <v>45216</v>
      </c>
      <c r="Y110" t="s">
        <v>1809</v>
      </c>
      <c r="Z110" t="s">
        <v>138</v>
      </c>
      <c r="AA110" t="s">
        <v>1810</v>
      </c>
      <c r="AB110">
        <v>3</v>
      </c>
      <c r="AC110" t="s">
        <v>540</v>
      </c>
      <c r="AD110" t="s">
        <v>1811</v>
      </c>
      <c r="AE110" t="s">
        <v>1812</v>
      </c>
      <c r="AF110" t="s">
        <v>155</v>
      </c>
      <c r="AG110">
        <v>2350800</v>
      </c>
      <c r="AH110" s="13">
        <v>41139</v>
      </c>
      <c r="AL110" t="s">
        <v>5998</v>
      </c>
      <c r="AM110" s="13">
        <v>41139</v>
      </c>
      <c r="AN110" s="16">
        <f>Table9[[#This Row],[Premium]]-Table9[[#This Row],[Tms prem]]</f>
        <v>0</v>
      </c>
    </row>
    <row r="111" spans="1:40" x14ac:dyDescent="0.25">
      <c r="A111">
        <v>131</v>
      </c>
      <c r="B111" t="s">
        <v>37</v>
      </c>
      <c r="C111" t="s">
        <v>1813</v>
      </c>
      <c r="D111" t="s">
        <v>39</v>
      </c>
      <c r="E111" t="s">
        <v>40</v>
      </c>
      <c r="F111" t="s">
        <v>1814</v>
      </c>
      <c r="G111" t="s">
        <v>1815</v>
      </c>
      <c r="H111" t="s">
        <v>43</v>
      </c>
      <c r="I111" t="s">
        <v>1816</v>
      </c>
      <c r="J111" t="s">
        <v>1817</v>
      </c>
      <c r="K111" t="s">
        <v>1818</v>
      </c>
      <c r="L111" t="s">
        <v>1819</v>
      </c>
      <c r="M111" t="s">
        <v>1820</v>
      </c>
      <c r="N111">
        <v>203851</v>
      </c>
      <c r="O111">
        <v>1144000</v>
      </c>
      <c r="P111" t="s">
        <v>1821</v>
      </c>
      <c r="Q111" s="1">
        <v>45594</v>
      </c>
      <c r="R111" t="s">
        <v>1822</v>
      </c>
      <c r="S111" t="s">
        <v>1823</v>
      </c>
      <c r="T111" t="s">
        <v>51</v>
      </c>
      <c r="U111" t="s">
        <v>1824</v>
      </c>
      <c r="V111" t="s">
        <v>1591</v>
      </c>
      <c r="W111" t="s">
        <v>1054</v>
      </c>
      <c r="X111" t="s">
        <v>1112</v>
      </c>
      <c r="Y111" t="s">
        <v>1108</v>
      </c>
      <c r="Z111" t="s">
        <v>1518</v>
      </c>
      <c r="AA111" t="s">
        <v>1825</v>
      </c>
      <c r="AB111">
        <v>7</v>
      </c>
      <c r="AC111" t="s">
        <v>1826</v>
      </c>
      <c r="AD111" t="s">
        <v>1827</v>
      </c>
      <c r="AE111" t="s">
        <v>1746</v>
      </c>
      <c r="AF111" t="s">
        <v>1061</v>
      </c>
      <c r="AG111">
        <v>743600</v>
      </c>
      <c r="AH111" s="13">
        <v>23052</v>
      </c>
      <c r="AL111" t="s">
        <v>5999</v>
      </c>
      <c r="AM111" s="13">
        <v>23052</v>
      </c>
      <c r="AN111" s="16">
        <f>Table9[[#This Row],[Premium]]-Table9[[#This Row],[Tms prem]]</f>
        <v>0</v>
      </c>
    </row>
    <row r="112" spans="1:40" x14ac:dyDescent="0.25">
      <c r="A112">
        <v>132</v>
      </c>
      <c r="B112" t="s">
        <v>37</v>
      </c>
      <c r="C112" t="s">
        <v>1828</v>
      </c>
      <c r="D112" t="s">
        <v>39</v>
      </c>
      <c r="E112" t="s">
        <v>40</v>
      </c>
      <c r="F112" t="s">
        <v>63</v>
      </c>
      <c r="G112" t="s">
        <v>1829</v>
      </c>
      <c r="H112" t="s">
        <v>83</v>
      </c>
      <c r="I112" t="s">
        <v>1830</v>
      </c>
      <c r="J112" t="s">
        <v>1831</v>
      </c>
      <c r="K112" t="s">
        <v>1831</v>
      </c>
      <c r="L112" t="s">
        <v>1831</v>
      </c>
      <c r="M112" t="s">
        <v>1832</v>
      </c>
      <c r="N112">
        <v>550711</v>
      </c>
      <c r="O112">
        <v>1521000</v>
      </c>
      <c r="P112" t="s">
        <v>1833</v>
      </c>
      <c r="Q112" s="1">
        <v>45578</v>
      </c>
      <c r="R112" t="s">
        <v>1834</v>
      </c>
      <c r="S112" t="s">
        <v>1835</v>
      </c>
      <c r="T112" t="s">
        <v>51</v>
      </c>
      <c r="U112" t="s">
        <v>48</v>
      </c>
      <c r="V112" t="s">
        <v>389</v>
      </c>
      <c r="W112" t="s">
        <v>53</v>
      </c>
      <c r="X112" t="s">
        <v>823</v>
      </c>
      <c r="Y112" t="s">
        <v>92</v>
      </c>
      <c r="Z112" t="s">
        <v>1229</v>
      </c>
      <c r="AA112" t="s">
        <v>1836</v>
      </c>
      <c r="AB112">
        <v>6</v>
      </c>
      <c r="AC112" t="s">
        <v>78</v>
      </c>
      <c r="AD112" t="s">
        <v>1837</v>
      </c>
      <c r="AE112" t="s">
        <v>864</v>
      </c>
      <c r="AF112" t="s">
        <v>61</v>
      </c>
      <c r="AG112">
        <v>1216800</v>
      </c>
      <c r="AH112" s="13">
        <v>24336</v>
      </c>
      <c r="AL112" t="s">
        <v>6000</v>
      </c>
      <c r="AM112" s="13">
        <v>24336</v>
      </c>
      <c r="AN112" s="16">
        <f>Table9[[#This Row],[Premium]]-Table9[[#This Row],[Tms prem]]</f>
        <v>0</v>
      </c>
    </row>
    <row r="113" spans="1:40" x14ac:dyDescent="0.25">
      <c r="A113">
        <v>133</v>
      </c>
      <c r="B113" t="s">
        <v>37</v>
      </c>
      <c r="C113" t="s">
        <v>1838</v>
      </c>
      <c r="D113" t="s">
        <v>39</v>
      </c>
      <c r="E113" t="s">
        <v>40</v>
      </c>
      <c r="F113" t="s">
        <v>1839</v>
      </c>
      <c r="G113" t="s">
        <v>1840</v>
      </c>
      <c r="H113" t="s">
        <v>188</v>
      </c>
      <c r="I113" t="s">
        <v>1841</v>
      </c>
      <c r="J113" t="s">
        <v>1842</v>
      </c>
      <c r="K113" t="s">
        <v>1842</v>
      </c>
      <c r="L113" t="s">
        <v>1842</v>
      </c>
      <c r="M113" t="s">
        <v>1843</v>
      </c>
      <c r="N113">
        <v>1107953</v>
      </c>
      <c r="O113">
        <v>5399000</v>
      </c>
      <c r="P113" t="s">
        <v>1844</v>
      </c>
      <c r="Q113" s="1">
        <v>45593</v>
      </c>
      <c r="R113" t="s">
        <v>1845</v>
      </c>
      <c r="S113" t="s">
        <v>1846</v>
      </c>
      <c r="T113" t="s">
        <v>51</v>
      </c>
      <c r="U113" t="s">
        <v>48</v>
      </c>
      <c r="V113" t="s">
        <v>164</v>
      </c>
      <c r="W113" t="s">
        <v>198</v>
      </c>
      <c r="X113" t="s">
        <v>1847</v>
      </c>
      <c r="Y113" t="s">
        <v>1504</v>
      </c>
      <c r="Z113" t="s">
        <v>1518</v>
      </c>
      <c r="AA113" t="s">
        <v>1848</v>
      </c>
      <c r="AB113">
        <v>5</v>
      </c>
      <c r="AC113" t="s">
        <v>48</v>
      </c>
      <c r="AD113" t="s">
        <v>48</v>
      </c>
      <c r="AE113" t="s">
        <v>48</v>
      </c>
      <c r="AF113" t="s">
        <v>882</v>
      </c>
      <c r="AG113">
        <v>4049250</v>
      </c>
      <c r="AH113" s="13">
        <v>60739</v>
      </c>
      <c r="AL113" t="s">
        <v>6001</v>
      </c>
      <c r="AM113" s="13">
        <v>60739</v>
      </c>
      <c r="AN113" s="16">
        <f>Table9[[#This Row],[Premium]]-Table9[[#This Row],[Tms prem]]</f>
        <v>0</v>
      </c>
    </row>
    <row r="114" spans="1:40" x14ac:dyDescent="0.25">
      <c r="A114">
        <v>134</v>
      </c>
      <c r="B114" t="s">
        <v>37</v>
      </c>
      <c r="C114" t="s">
        <v>1849</v>
      </c>
      <c r="D114" t="s">
        <v>39</v>
      </c>
      <c r="E114" t="s">
        <v>40</v>
      </c>
      <c r="F114" t="s">
        <v>63</v>
      </c>
      <c r="G114" t="s">
        <v>1850</v>
      </c>
      <c r="H114" t="s">
        <v>128</v>
      </c>
      <c r="I114" t="s">
        <v>1851</v>
      </c>
      <c r="J114" t="s">
        <v>48</v>
      </c>
      <c r="K114" t="s">
        <v>1852</v>
      </c>
      <c r="L114" t="s">
        <v>1853</v>
      </c>
      <c r="M114" t="s">
        <v>1854</v>
      </c>
      <c r="N114">
        <v>498801</v>
      </c>
      <c r="O114">
        <v>1521000</v>
      </c>
      <c r="P114" t="s">
        <v>1855</v>
      </c>
      <c r="Q114" s="1">
        <v>45578</v>
      </c>
      <c r="R114" t="s">
        <v>1856</v>
      </c>
      <c r="S114" t="s">
        <v>1857</v>
      </c>
      <c r="T114" t="s">
        <v>51</v>
      </c>
      <c r="U114" t="s">
        <v>48</v>
      </c>
      <c r="V114" t="s">
        <v>1858</v>
      </c>
      <c r="W114" t="s">
        <v>53</v>
      </c>
      <c r="X114" t="s">
        <v>311</v>
      </c>
      <c r="Y114" t="s">
        <v>137</v>
      </c>
      <c r="Z114" t="s">
        <v>138</v>
      </c>
      <c r="AA114" t="s">
        <v>1859</v>
      </c>
      <c r="AB114">
        <v>5</v>
      </c>
      <c r="AC114" t="s">
        <v>58</v>
      </c>
      <c r="AD114" t="s">
        <v>1860</v>
      </c>
      <c r="AE114" t="s">
        <v>1143</v>
      </c>
      <c r="AF114" t="s">
        <v>61</v>
      </c>
      <c r="AG114">
        <v>1216800</v>
      </c>
      <c r="AH114" s="13">
        <v>24336</v>
      </c>
      <c r="AL114" t="s">
        <v>6002</v>
      </c>
      <c r="AM114" s="13">
        <v>24336</v>
      </c>
      <c r="AN114" s="16">
        <f>Table9[[#This Row],[Premium]]-Table9[[#This Row],[Tms prem]]</f>
        <v>0</v>
      </c>
    </row>
    <row r="115" spans="1:40" x14ac:dyDescent="0.25">
      <c r="A115">
        <v>135</v>
      </c>
      <c r="B115" t="s">
        <v>37</v>
      </c>
      <c r="C115" t="s">
        <v>1861</v>
      </c>
      <c r="D115" t="s">
        <v>39</v>
      </c>
      <c r="E115" t="s">
        <v>40</v>
      </c>
      <c r="F115" t="s">
        <v>1862</v>
      </c>
      <c r="G115" t="s">
        <v>1863</v>
      </c>
      <c r="H115" t="s">
        <v>422</v>
      </c>
      <c r="I115" t="s">
        <v>1864</v>
      </c>
      <c r="J115" t="s">
        <v>48</v>
      </c>
      <c r="K115" t="s">
        <v>1865</v>
      </c>
      <c r="L115" t="s">
        <v>48</v>
      </c>
      <c r="M115" t="s">
        <v>1866</v>
      </c>
      <c r="N115">
        <v>662801</v>
      </c>
      <c r="O115">
        <v>2680000</v>
      </c>
      <c r="P115" t="s">
        <v>1867</v>
      </c>
      <c r="Q115" s="1">
        <v>45578</v>
      </c>
      <c r="R115" t="s">
        <v>1868</v>
      </c>
      <c r="S115" t="s">
        <v>1869</v>
      </c>
      <c r="T115" t="s">
        <v>51</v>
      </c>
      <c r="U115" t="s">
        <v>48</v>
      </c>
      <c r="V115" t="s">
        <v>1305</v>
      </c>
      <c r="W115" t="s">
        <v>53</v>
      </c>
      <c r="X115" t="s">
        <v>641</v>
      </c>
      <c r="Y115" t="s">
        <v>137</v>
      </c>
      <c r="Z115" t="s">
        <v>138</v>
      </c>
      <c r="AA115" t="s">
        <v>1870</v>
      </c>
      <c r="AB115">
        <v>5</v>
      </c>
      <c r="AC115" t="s">
        <v>78</v>
      </c>
      <c r="AD115" t="s">
        <v>1871</v>
      </c>
      <c r="AE115" t="s">
        <v>864</v>
      </c>
      <c r="AF115" t="s">
        <v>61</v>
      </c>
      <c r="AG115">
        <v>2144000</v>
      </c>
      <c r="AH115" s="13">
        <v>42880</v>
      </c>
      <c r="AL115" t="s">
        <v>6003</v>
      </c>
      <c r="AM115" s="13">
        <v>42880</v>
      </c>
      <c r="AN115" s="16">
        <f>Table9[[#This Row],[Premium]]-Table9[[#This Row],[Tms prem]]</f>
        <v>0</v>
      </c>
    </row>
    <row r="116" spans="1:40" x14ac:dyDescent="0.25">
      <c r="A116">
        <v>136</v>
      </c>
      <c r="B116" t="s">
        <v>37</v>
      </c>
      <c r="C116" t="s">
        <v>1872</v>
      </c>
      <c r="D116" t="s">
        <v>39</v>
      </c>
      <c r="E116" t="s">
        <v>40</v>
      </c>
      <c r="F116" t="s">
        <v>1873</v>
      </c>
      <c r="G116" t="s">
        <v>1874</v>
      </c>
      <c r="H116" t="s">
        <v>1875</v>
      </c>
      <c r="I116" t="s">
        <v>1876</v>
      </c>
      <c r="J116" t="s">
        <v>1877</v>
      </c>
      <c r="K116" t="s">
        <v>48</v>
      </c>
      <c r="L116" t="s">
        <v>1878</v>
      </c>
      <c r="M116" t="s">
        <v>1879</v>
      </c>
      <c r="N116">
        <v>726551</v>
      </c>
      <c r="O116">
        <v>1830000</v>
      </c>
      <c r="P116" t="s">
        <v>1880</v>
      </c>
      <c r="Q116" s="1">
        <v>45578</v>
      </c>
      <c r="R116" t="s">
        <v>1881</v>
      </c>
      <c r="S116" t="s">
        <v>1882</v>
      </c>
      <c r="T116" t="s">
        <v>51</v>
      </c>
      <c r="U116" t="s">
        <v>48</v>
      </c>
      <c r="V116" t="s">
        <v>863</v>
      </c>
      <c r="W116" t="s">
        <v>53</v>
      </c>
      <c r="X116" t="s">
        <v>267</v>
      </c>
      <c r="Y116" t="s">
        <v>152</v>
      </c>
      <c r="Z116" t="s">
        <v>153</v>
      </c>
      <c r="AA116" t="s">
        <v>1883</v>
      </c>
      <c r="AB116">
        <v>5</v>
      </c>
      <c r="AC116" t="s">
        <v>78</v>
      </c>
      <c r="AD116" t="s">
        <v>1884</v>
      </c>
      <c r="AE116" t="s">
        <v>1885</v>
      </c>
      <c r="AF116" t="s">
        <v>61</v>
      </c>
      <c r="AG116">
        <v>1464000</v>
      </c>
      <c r="AH116" s="13">
        <v>29280</v>
      </c>
      <c r="AL116" t="s">
        <v>6004</v>
      </c>
      <c r="AM116" s="13">
        <v>29280</v>
      </c>
      <c r="AN116" s="16">
        <f>Table9[[#This Row],[Premium]]-Table9[[#This Row],[Tms prem]]</f>
        <v>0</v>
      </c>
    </row>
    <row r="117" spans="1:40" x14ac:dyDescent="0.25">
      <c r="A117">
        <v>137</v>
      </c>
      <c r="B117" t="s">
        <v>37</v>
      </c>
      <c r="C117" t="s">
        <v>1886</v>
      </c>
      <c r="D117" t="s">
        <v>39</v>
      </c>
      <c r="E117" t="s">
        <v>40</v>
      </c>
      <c r="F117" t="s">
        <v>470</v>
      </c>
      <c r="G117" t="s">
        <v>1887</v>
      </c>
      <c r="H117" t="s">
        <v>83</v>
      </c>
      <c r="I117" t="s">
        <v>1888</v>
      </c>
      <c r="J117" t="s">
        <v>48</v>
      </c>
      <c r="K117" t="s">
        <v>1889</v>
      </c>
      <c r="L117" t="s">
        <v>48</v>
      </c>
      <c r="M117" t="s">
        <v>1890</v>
      </c>
      <c r="N117">
        <v>1053873</v>
      </c>
      <c r="O117">
        <v>3870000</v>
      </c>
      <c r="P117" t="s">
        <v>1891</v>
      </c>
      <c r="Q117" s="1">
        <v>45578</v>
      </c>
      <c r="R117" t="s">
        <v>1892</v>
      </c>
      <c r="S117" t="s">
        <v>1893</v>
      </c>
      <c r="T117" t="s">
        <v>51</v>
      </c>
      <c r="U117" t="s">
        <v>48</v>
      </c>
      <c r="V117" t="s">
        <v>1894</v>
      </c>
      <c r="W117" t="s">
        <v>53</v>
      </c>
      <c r="X117" t="s">
        <v>987</v>
      </c>
      <c r="Y117" t="s">
        <v>152</v>
      </c>
      <c r="Z117" t="s">
        <v>153</v>
      </c>
      <c r="AA117" t="s">
        <v>1895</v>
      </c>
      <c r="AB117">
        <v>5</v>
      </c>
      <c r="AC117" t="s">
        <v>78</v>
      </c>
      <c r="AD117" t="s">
        <v>1896</v>
      </c>
      <c r="AE117" t="s">
        <v>492</v>
      </c>
      <c r="AF117" t="s">
        <v>1897</v>
      </c>
      <c r="AG117">
        <v>3096000</v>
      </c>
      <c r="AH117" s="13">
        <v>57276</v>
      </c>
      <c r="AL117" t="s">
        <v>6005</v>
      </c>
      <c r="AM117" s="13">
        <v>57276</v>
      </c>
      <c r="AN117" s="16">
        <f>Table9[[#This Row],[Premium]]-Table9[[#This Row],[Tms prem]]</f>
        <v>0</v>
      </c>
    </row>
    <row r="118" spans="1:40" x14ac:dyDescent="0.25">
      <c r="A118">
        <v>138</v>
      </c>
      <c r="B118" t="s">
        <v>37</v>
      </c>
      <c r="C118" t="s">
        <v>1898</v>
      </c>
      <c r="D118" t="s">
        <v>39</v>
      </c>
      <c r="E118" t="s">
        <v>40</v>
      </c>
      <c r="F118" t="s">
        <v>1899</v>
      </c>
      <c r="G118" t="s">
        <v>1900</v>
      </c>
      <c r="H118" t="s">
        <v>83</v>
      </c>
      <c r="I118" t="s">
        <v>1901</v>
      </c>
      <c r="J118" t="s">
        <v>1902</v>
      </c>
      <c r="K118" t="s">
        <v>1902</v>
      </c>
      <c r="L118" t="s">
        <v>1902</v>
      </c>
      <c r="M118" t="s">
        <v>1903</v>
      </c>
      <c r="N118">
        <v>769229</v>
      </c>
      <c r="O118">
        <v>4430000</v>
      </c>
      <c r="P118" t="s">
        <v>1904</v>
      </c>
      <c r="Q118" s="1">
        <v>45593</v>
      </c>
      <c r="R118" t="s">
        <v>1905</v>
      </c>
      <c r="S118" t="s">
        <v>1906</v>
      </c>
      <c r="T118" t="s">
        <v>51</v>
      </c>
      <c r="U118" t="s">
        <v>48</v>
      </c>
      <c r="V118" t="s">
        <v>903</v>
      </c>
      <c r="W118" t="s">
        <v>198</v>
      </c>
      <c r="X118" t="s">
        <v>1907</v>
      </c>
      <c r="Y118" t="s">
        <v>1504</v>
      </c>
      <c r="Z118" t="s">
        <v>1518</v>
      </c>
      <c r="AA118" t="s">
        <v>1908</v>
      </c>
      <c r="AB118">
        <v>5</v>
      </c>
      <c r="AC118" t="s">
        <v>48</v>
      </c>
      <c r="AD118" t="s">
        <v>48</v>
      </c>
      <c r="AE118" t="s">
        <v>48</v>
      </c>
      <c r="AF118" t="s">
        <v>61</v>
      </c>
      <c r="AG118">
        <v>3322500</v>
      </c>
      <c r="AH118" s="13">
        <v>66450</v>
      </c>
      <c r="AL118" t="s">
        <v>6006</v>
      </c>
      <c r="AM118" s="13">
        <v>66450</v>
      </c>
      <c r="AN118" s="16">
        <f>Table9[[#This Row],[Premium]]-Table9[[#This Row],[Tms prem]]</f>
        <v>0</v>
      </c>
    </row>
    <row r="119" spans="1:40" x14ac:dyDescent="0.25">
      <c r="A119">
        <v>139</v>
      </c>
      <c r="B119" t="s">
        <v>37</v>
      </c>
      <c r="C119" t="s">
        <v>1909</v>
      </c>
      <c r="D119" t="s">
        <v>39</v>
      </c>
      <c r="E119" t="s">
        <v>40</v>
      </c>
      <c r="F119" t="s">
        <v>1910</v>
      </c>
      <c r="G119" t="s">
        <v>1911</v>
      </c>
      <c r="H119" t="s">
        <v>83</v>
      </c>
      <c r="I119" t="s">
        <v>1912</v>
      </c>
      <c r="J119" t="s">
        <v>1913</v>
      </c>
      <c r="K119" t="s">
        <v>1913</v>
      </c>
      <c r="L119" t="s">
        <v>1914</v>
      </c>
      <c r="M119" t="s">
        <v>1915</v>
      </c>
      <c r="N119">
        <v>669477</v>
      </c>
      <c r="O119">
        <v>2887000</v>
      </c>
      <c r="P119" t="s">
        <v>1916</v>
      </c>
      <c r="Q119" s="1">
        <v>45593</v>
      </c>
      <c r="R119" t="s">
        <v>1917</v>
      </c>
      <c r="S119" t="s">
        <v>1918</v>
      </c>
      <c r="T119" t="s">
        <v>51</v>
      </c>
      <c r="U119" t="s">
        <v>1919</v>
      </c>
      <c r="V119" t="s">
        <v>1920</v>
      </c>
      <c r="W119" t="s">
        <v>1054</v>
      </c>
      <c r="X119" t="s">
        <v>1112</v>
      </c>
      <c r="Y119" t="s">
        <v>1108</v>
      </c>
      <c r="Z119" t="s">
        <v>1518</v>
      </c>
      <c r="AA119" t="s">
        <v>1921</v>
      </c>
      <c r="AB119">
        <v>7</v>
      </c>
      <c r="AC119" t="s">
        <v>78</v>
      </c>
      <c r="AD119" t="s">
        <v>1922</v>
      </c>
      <c r="AE119" t="s">
        <v>1746</v>
      </c>
      <c r="AF119" t="s">
        <v>1061</v>
      </c>
      <c r="AG119">
        <v>1876550</v>
      </c>
      <c r="AH119" s="13">
        <v>58173</v>
      </c>
      <c r="AL119" t="s">
        <v>6007</v>
      </c>
      <c r="AM119" s="13">
        <v>58173</v>
      </c>
      <c r="AN119" s="16">
        <f>Table9[[#This Row],[Premium]]-Table9[[#This Row],[Tms prem]]</f>
        <v>0</v>
      </c>
    </row>
    <row r="120" spans="1:40" x14ac:dyDescent="0.25">
      <c r="A120">
        <v>140</v>
      </c>
      <c r="B120" t="s">
        <v>37</v>
      </c>
      <c r="C120" t="s">
        <v>1923</v>
      </c>
      <c r="D120" t="s">
        <v>39</v>
      </c>
      <c r="E120" t="s">
        <v>40</v>
      </c>
      <c r="F120" t="s">
        <v>1924</v>
      </c>
      <c r="G120" t="s">
        <v>1925</v>
      </c>
      <c r="H120" t="s">
        <v>422</v>
      </c>
      <c r="I120" t="s">
        <v>1926</v>
      </c>
      <c r="J120" t="s">
        <v>1927</v>
      </c>
      <c r="K120" t="s">
        <v>1927</v>
      </c>
      <c r="L120" t="s">
        <v>1927</v>
      </c>
      <c r="M120" t="s">
        <v>1928</v>
      </c>
      <c r="N120">
        <v>3106283</v>
      </c>
      <c r="O120">
        <v>9167000</v>
      </c>
      <c r="P120" t="s">
        <v>1929</v>
      </c>
      <c r="Q120" s="1">
        <v>45578</v>
      </c>
      <c r="R120" t="s">
        <v>1930</v>
      </c>
      <c r="S120" t="s">
        <v>1931</v>
      </c>
      <c r="T120" t="s">
        <v>51</v>
      </c>
      <c r="U120" t="s">
        <v>48</v>
      </c>
      <c r="V120" t="s">
        <v>1932</v>
      </c>
      <c r="W120" t="s">
        <v>53</v>
      </c>
      <c r="X120" t="s">
        <v>1933</v>
      </c>
      <c r="Y120" t="s">
        <v>137</v>
      </c>
      <c r="Z120" t="s">
        <v>138</v>
      </c>
      <c r="AA120" t="s">
        <v>1934</v>
      </c>
      <c r="AB120">
        <v>5</v>
      </c>
      <c r="AC120" t="s">
        <v>123</v>
      </c>
      <c r="AD120" t="s">
        <v>1935</v>
      </c>
      <c r="AE120" t="s">
        <v>406</v>
      </c>
      <c r="AF120" t="s">
        <v>155</v>
      </c>
      <c r="AG120">
        <v>7333600</v>
      </c>
      <c r="AH120" s="13">
        <v>128338</v>
      </c>
      <c r="AL120" t="s">
        <v>6008</v>
      </c>
      <c r="AM120" s="13">
        <v>128338</v>
      </c>
      <c r="AN120" s="16">
        <f>Table9[[#This Row],[Premium]]-Table9[[#This Row],[Tms prem]]</f>
        <v>0</v>
      </c>
    </row>
    <row r="121" spans="1:40" x14ac:dyDescent="0.25">
      <c r="A121">
        <v>141</v>
      </c>
      <c r="B121" t="s">
        <v>37</v>
      </c>
      <c r="C121" t="s">
        <v>1936</v>
      </c>
      <c r="D121" t="s">
        <v>39</v>
      </c>
      <c r="E121" t="s">
        <v>40</v>
      </c>
      <c r="F121" t="s">
        <v>1618</v>
      </c>
      <c r="G121" t="s">
        <v>1937</v>
      </c>
      <c r="H121" t="s">
        <v>188</v>
      </c>
      <c r="I121" t="s">
        <v>1938</v>
      </c>
      <c r="J121" t="s">
        <v>1939</v>
      </c>
      <c r="K121" t="s">
        <v>1939</v>
      </c>
      <c r="L121" t="s">
        <v>1939</v>
      </c>
      <c r="M121" t="s">
        <v>1940</v>
      </c>
      <c r="N121">
        <v>1329246</v>
      </c>
      <c r="O121">
        <v>8000000</v>
      </c>
      <c r="P121" t="s">
        <v>1941</v>
      </c>
      <c r="Q121" s="1">
        <v>45578</v>
      </c>
      <c r="R121" t="s">
        <v>1942</v>
      </c>
      <c r="S121" t="s">
        <v>1943</v>
      </c>
      <c r="T121" t="s">
        <v>196</v>
      </c>
      <c r="U121" t="s">
        <v>1944</v>
      </c>
      <c r="V121" t="s">
        <v>1945</v>
      </c>
      <c r="W121" t="s">
        <v>198</v>
      </c>
      <c r="X121" t="s">
        <v>1628</v>
      </c>
      <c r="Y121" t="s">
        <v>669</v>
      </c>
      <c r="Z121" t="s">
        <v>507</v>
      </c>
      <c r="AA121" t="s">
        <v>1946</v>
      </c>
      <c r="AB121">
        <v>3</v>
      </c>
      <c r="AC121" t="s">
        <v>556</v>
      </c>
      <c r="AD121" t="s">
        <v>1947</v>
      </c>
      <c r="AE121" t="s">
        <v>1628</v>
      </c>
      <c r="AF121" t="s">
        <v>155</v>
      </c>
      <c r="AG121">
        <v>6800000</v>
      </c>
      <c r="AH121" s="13">
        <v>119000</v>
      </c>
      <c r="AL121" t="s">
        <v>6009</v>
      </c>
      <c r="AM121" s="13">
        <v>119000</v>
      </c>
      <c r="AN121" s="16">
        <f>Table9[[#This Row],[Premium]]-Table9[[#This Row],[Tms prem]]</f>
        <v>0</v>
      </c>
    </row>
    <row r="122" spans="1:40" x14ac:dyDescent="0.25">
      <c r="A122">
        <v>142</v>
      </c>
      <c r="B122" t="s">
        <v>37</v>
      </c>
      <c r="C122" t="s">
        <v>1948</v>
      </c>
      <c r="D122" t="s">
        <v>39</v>
      </c>
      <c r="E122" t="s">
        <v>40</v>
      </c>
      <c r="F122" t="s">
        <v>1508</v>
      </c>
      <c r="G122" t="s">
        <v>1949</v>
      </c>
      <c r="H122" t="s">
        <v>188</v>
      </c>
      <c r="I122" t="s">
        <v>1950</v>
      </c>
      <c r="J122" t="s">
        <v>48</v>
      </c>
      <c r="K122" t="s">
        <v>1951</v>
      </c>
      <c r="L122" t="s">
        <v>48</v>
      </c>
      <c r="M122" t="s">
        <v>1952</v>
      </c>
      <c r="N122">
        <v>557884</v>
      </c>
      <c r="O122">
        <v>3200000</v>
      </c>
      <c r="P122" t="s">
        <v>1953</v>
      </c>
      <c r="Q122" s="1">
        <v>45593</v>
      </c>
      <c r="R122" t="s">
        <v>1954</v>
      </c>
      <c r="S122" t="s">
        <v>1955</v>
      </c>
      <c r="T122" t="s">
        <v>196</v>
      </c>
      <c r="U122" t="s">
        <v>1956</v>
      </c>
      <c r="V122" t="s">
        <v>1957</v>
      </c>
      <c r="W122" t="s">
        <v>365</v>
      </c>
      <c r="X122" t="s">
        <v>1503</v>
      </c>
      <c r="Y122" t="s">
        <v>1504</v>
      </c>
      <c r="Z122" t="s">
        <v>1518</v>
      </c>
      <c r="AA122" t="s">
        <v>1958</v>
      </c>
      <c r="AB122">
        <v>5</v>
      </c>
      <c r="AC122" t="s">
        <v>556</v>
      </c>
      <c r="AD122" t="s">
        <v>1959</v>
      </c>
      <c r="AE122" t="s">
        <v>1503</v>
      </c>
      <c r="AF122" t="s">
        <v>61</v>
      </c>
      <c r="AG122">
        <v>2400000</v>
      </c>
      <c r="AH122" s="13">
        <v>48000</v>
      </c>
      <c r="AL122" t="s">
        <v>6010</v>
      </c>
      <c r="AM122" s="13">
        <v>48000</v>
      </c>
      <c r="AN122" s="16">
        <f>Table9[[#This Row],[Premium]]-Table9[[#This Row],[Tms prem]]</f>
        <v>0</v>
      </c>
    </row>
    <row r="123" spans="1:40" x14ac:dyDescent="0.25">
      <c r="A123">
        <v>143</v>
      </c>
      <c r="B123" t="s">
        <v>37</v>
      </c>
      <c r="C123" t="s">
        <v>1960</v>
      </c>
      <c r="D123" t="s">
        <v>39</v>
      </c>
      <c r="E123" t="s">
        <v>40</v>
      </c>
      <c r="F123" t="s">
        <v>1961</v>
      </c>
      <c r="G123" t="s">
        <v>1962</v>
      </c>
      <c r="H123" t="s">
        <v>43</v>
      </c>
      <c r="I123" t="s">
        <v>1963</v>
      </c>
      <c r="J123" t="s">
        <v>1964</v>
      </c>
      <c r="K123" t="s">
        <v>1965</v>
      </c>
      <c r="L123" t="s">
        <v>1966</v>
      </c>
      <c r="M123" t="s">
        <v>1967</v>
      </c>
      <c r="N123">
        <v>578952</v>
      </c>
      <c r="O123">
        <v>2461500</v>
      </c>
      <c r="P123" t="s">
        <v>1968</v>
      </c>
      <c r="Q123" s="1">
        <v>45593</v>
      </c>
      <c r="R123" t="s">
        <v>1969</v>
      </c>
      <c r="S123" t="s">
        <v>1970</v>
      </c>
      <c r="T123" t="s">
        <v>51</v>
      </c>
      <c r="U123" t="s">
        <v>48</v>
      </c>
      <c r="V123" t="s">
        <v>1971</v>
      </c>
      <c r="W123" t="s">
        <v>198</v>
      </c>
      <c r="X123" t="s">
        <v>1503</v>
      </c>
      <c r="Y123" t="s">
        <v>1504</v>
      </c>
      <c r="Z123" t="s">
        <v>1518</v>
      </c>
      <c r="AA123" t="s">
        <v>1972</v>
      </c>
      <c r="AB123">
        <v>5</v>
      </c>
      <c r="AC123" t="s">
        <v>78</v>
      </c>
      <c r="AD123" t="s">
        <v>1973</v>
      </c>
      <c r="AE123" t="s">
        <v>1974</v>
      </c>
      <c r="AF123" t="s">
        <v>61</v>
      </c>
      <c r="AG123">
        <v>1846125</v>
      </c>
      <c r="AH123" s="13">
        <v>36923</v>
      </c>
      <c r="AL123" t="s">
        <v>6011</v>
      </c>
      <c r="AM123" s="13">
        <v>36923</v>
      </c>
      <c r="AN123" s="16">
        <f>Table9[[#This Row],[Premium]]-Table9[[#This Row],[Tms prem]]</f>
        <v>0</v>
      </c>
    </row>
    <row r="124" spans="1:40" x14ac:dyDescent="0.25">
      <c r="A124">
        <v>144</v>
      </c>
      <c r="B124" t="s">
        <v>37</v>
      </c>
      <c r="C124" t="s">
        <v>1975</v>
      </c>
      <c r="D124" t="s">
        <v>39</v>
      </c>
      <c r="E124" t="s">
        <v>40</v>
      </c>
      <c r="F124" t="s">
        <v>789</v>
      </c>
      <c r="G124" t="s">
        <v>1976</v>
      </c>
      <c r="H124" t="s">
        <v>83</v>
      </c>
      <c r="I124" t="s">
        <v>1977</v>
      </c>
      <c r="J124" t="s">
        <v>1978</v>
      </c>
      <c r="K124" t="s">
        <v>1978</v>
      </c>
      <c r="L124" t="s">
        <v>1979</v>
      </c>
      <c r="M124" t="s">
        <v>1980</v>
      </c>
      <c r="N124">
        <v>523006</v>
      </c>
      <c r="O124">
        <v>2200000</v>
      </c>
      <c r="P124" t="s">
        <v>1981</v>
      </c>
      <c r="Q124" s="1">
        <v>45593</v>
      </c>
      <c r="R124" t="s">
        <v>1982</v>
      </c>
      <c r="S124" t="s">
        <v>1983</v>
      </c>
      <c r="T124" t="s">
        <v>1516</v>
      </c>
      <c r="U124" t="s">
        <v>48</v>
      </c>
      <c r="V124" t="s">
        <v>1984</v>
      </c>
      <c r="W124" t="s">
        <v>1393</v>
      </c>
      <c r="X124" t="s">
        <v>1503</v>
      </c>
      <c r="Y124" t="s">
        <v>1504</v>
      </c>
      <c r="Z124" t="s">
        <v>1518</v>
      </c>
      <c r="AA124" t="s">
        <v>1985</v>
      </c>
      <c r="AB124">
        <v>5</v>
      </c>
      <c r="AC124" t="s">
        <v>556</v>
      </c>
      <c r="AD124" t="s">
        <v>1986</v>
      </c>
      <c r="AE124" t="s">
        <v>1987</v>
      </c>
      <c r="AF124" t="s">
        <v>61</v>
      </c>
      <c r="AG124">
        <v>1650000</v>
      </c>
      <c r="AH124" s="13">
        <v>33000</v>
      </c>
      <c r="AL124" t="s">
        <v>6012</v>
      </c>
      <c r="AM124" s="13">
        <v>33000</v>
      </c>
      <c r="AN124" s="16">
        <f>Table9[[#This Row],[Premium]]-Table9[[#This Row],[Tms prem]]</f>
        <v>0</v>
      </c>
    </row>
    <row r="125" spans="1:40" x14ac:dyDescent="0.25">
      <c r="A125">
        <v>145</v>
      </c>
      <c r="B125" t="s">
        <v>37</v>
      </c>
      <c r="C125" t="s">
        <v>1988</v>
      </c>
      <c r="D125" t="s">
        <v>39</v>
      </c>
      <c r="E125" t="s">
        <v>40</v>
      </c>
      <c r="F125" t="s">
        <v>1989</v>
      </c>
      <c r="G125" t="s">
        <v>1990</v>
      </c>
      <c r="H125" t="s">
        <v>83</v>
      </c>
      <c r="I125" t="s">
        <v>1991</v>
      </c>
      <c r="J125" t="s">
        <v>1992</v>
      </c>
      <c r="K125" t="s">
        <v>1992</v>
      </c>
      <c r="L125" t="s">
        <v>1992</v>
      </c>
      <c r="M125" t="s">
        <v>1993</v>
      </c>
      <c r="N125">
        <v>781143</v>
      </c>
      <c r="O125">
        <v>1730000</v>
      </c>
      <c r="P125" t="s">
        <v>1994</v>
      </c>
      <c r="Q125" s="1">
        <v>45593</v>
      </c>
      <c r="R125" t="s">
        <v>1995</v>
      </c>
      <c r="S125" t="s">
        <v>1996</v>
      </c>
      <c r="T125" t="s">
        <v>51</v>
      </c>
      <c r="U125" t="s">
        <v>48</v>
      </c>
      <c r="V125" t="s">
        <v>1591</v>
      </c>
      <c r="W125" t="s">
        <v>198</v>
      </c>
      <c r="X125" t="s">
        <v>1503</v>
      </c>
      <c r="Y125" t="s">
        <v>1504</v>
      </c>
      <c r="Z125" t="s">
        <v>824</v>
      </c>
      <c r="AA125" t="s">
        <v>1997</v>
      </c>
      <c r="AB125">
        <v>7</v>
      </c>
      <c r="AC125" t="s">
        <v>556</v>
      </c>
      <c r="AD125" t="s">
        <v>1998</v>
      </c>
      <c r="AE125" t="s">
        <v>1503</v>
      </c>
      <c r="AF125" t="s">
        <v>61</v>
      </c>
      <c r="AG125">
        <v>1297500</v>
      </c>
      <c r="AH125" s="13">
        <v>25950</v>
      </c>
      <c r="AL125" t="s">
        <v>6013</v>
      </c>
      <c r="AM125" s="13">
        <v>25950</v>
      </c>
      <c r="AN125" s="16">
        <f>Table9[[#This Row],[Premium]]-Table9[[#This Row],[Tms prem]]</f>
        <v>0</v>
      </c>
    </row>
    <row r="126" spans="1:40" x14ac:dyDescent="0.25">
      <c r="A126">
        <v>146</v>
      </c>
      <c r="B126" t="s">
        <v>37</v>
      </c>
      <c r="C126" t="s">
        <v>1999</v>
      </c>
      <c r="D126" t="s">
        <v>39</v>
      </c>
      <c r="E126" t="s">
        <v>40</v>
      </c>
      <c r="F126" t="s">
        <v>906</v>
      </c>
      <c r="G126" t="s">
        <v>2000</v>
      </c>
      <c r="H126" t="s">
        <v>83</v>
      </c>
      <c r="I126" t="s">
        <v>2001</v>
      </c>
      <c r="J126" t="s">
        <v>48</v>
      </c>
      <c r="K126" t="s">
        <v>2002</v>
      </c>
      <c r="L126" t="s">
        <v>2003</v>
      </c>
      <c r="M126" t="s">
        <v>2004</v>
      </c>
      <c r="N126">
        <v>685379</v>
      </c>
      <c r="O126">
        <v>1433000</v>
      </c>
      <c r="P126" t="s">
        <v>2005</v>
      </c>
      <c r="Q126" s="1">
        <v>45593</v>
      </c>
      <c r="R126" t="s">
        <v>2006</v>
      </c>
      <c r="S126" t="s">
        <v>2007</v>
      </c>
      <c r="T126" t="s">
        <v>51</v>
      </c>
      <c r="U126" t="s">
        <v>48</v>
      </c>
      <c r="V126" t="s">
        <v>2008</v>
      </c>
      <c r="W126" t="s">
        <v>198</v>
      </c>
      <c r="X126" t="s">
        <v>1503</v>
      </c>
      <c r="Y126" t="s">
        <v>1504</v>
      </c>
      <c r="Z126" t="s">
        <v>824</v>
      </c>
      <c r="AA126" t="s">
        <v>2009</v>
      </c>
      <c r="AB126">
        <v>7</v>
      </c>
      <c r="AC126" t="s">
        <v>556</v>
      </c>
      <c r="AD126" t="s">
        <v>2010</v>
      </c>
      <c r="AE126" t="s">
        <v>1987</v>
      </c>
      <c r="AF126" t="s">
        <v>61</v>
      </c>
      <c r="AG126">
        <v>1074750</v>
      </c>
      <c r="AH126" s="13">
        <v>21495</v>
      </c>
      <c r="AL126" t="s">
        <v>6014</v>
      </c>
      <c r="AM126" s="13">
        <v>21495</v>
      </c>
      <c r="AN126" s="16">
        <f>Table9[[#This Row],[Premium]]-Table9[[#This Row],[Tms prem]]</f>
        <v>0</v>
      </c>
    </row>
    <row r="127" spans="1:40" x14ac:dyDescent="0.25">
      <c r="A127">
        <v>147</v>
      </c>
      <c r="B127" t="s">
        <v>37</v>
      </c>
      <c r="C127" t="s">
        <v>2011</v>
      </c>
      <c r="D127" t="s">
        <v>39</v>
      </c>
      <c r="E127" t="s">
        <v>40</v>
      </c>
      <c r="F127" t="s">
        <v>2012</v>
      </c>
      <c r="G127" t="s">
        <v>2013</v>
      </c>
      <c r="H127" t="s">
        <v>188</v>
      </c>
      <c r="I127" t="s">
        <v>2014</v>
      </c>
      <c r="J127" t="s">
        <v>2015</v>
      </c>
      <c r="K127" t="s">
        <v>2015</v>
      </c>
      <c r="L127" t="s">
        <v>2015</v>
      </c>
      <c r="M127" t="s">
        <v>2016</v>
      </c>
      <c r="N127">
        <v>616838</v>
      </c>
      <c r="O127">
        <v>1433000</v>
      </c>
      <c r="P127" t="s">
        <v>2017</v>
      </c>
      <c r="Q127" s="1">
        <v>45593</v>
      </c>
      <c r="R127" t="s">
        <v>2018</v>
      </c>
      <c r="S127" t="s">
        <v>2019</v>
      </c>
      <c r="T127" t="s">
        <v>51</v>
      </c>
      <c r="U127" t="s">
        <v>48</v>
      </c>
      <c r="V127" t="s">
        <v>810</v>
      </c>
      <c r="W127" t="s">
        <v>198</v>
      </c>
      <c r="X127" t="s">
        <v>1503</v>
      </c>
      <c r="Y127" t="s">
        <v>1504</v>
      </c>
      <c r="Z127" t="s">
        <v>824</v>
      </c>
      <c r="AA127" t="s">
        <v>2020</v>
      </c>
      <c r="AB127">
        <v>7</v>
      </c>
      <c r="AC127" t="s">
        <v>78</v>
      </c>
      <c r="AD127" t="s">
        <v>2021</v>
      </c>
      <c r="AE127" t="s">
        <v>1503</v>
      </c>
      <c r="AF127" t="s">
        <v>61</v>
      </c>
      <c r="AG127">
        <v>1074750</v>
      </c>
      <c r="AH127" s="13">
        <v>21495</v>
      </c>
      <c r="AL127" t="s">
        <v>6015</v>
      </c>
      <c r="AM127" s="13">
        <v>21495</v>
      </c>
      <c r="AN127" s="16">
        <f>Table9[[#This Row],[Premium]]-Table9[[#This Row],[Tms prem]]</f>
        <v>0</v>
      </c>
    </row>
    <row r="128" spans="1:40" x14ac:dyDescent="0.25">
      <c r="A128">
        <v>148</v>
      </c>
      <c r="B128" t="s">
        <v>37</v>
      </c>
      <c r="C128" t="s">
        <v>2022</v>
      </c>
      <c r="D128" t="s">
        <v>39</v>
      </c>
      <c r="E128" t="s">
        <v>40</v>
      </c>
      <c r="F128" t="s">
        <v>703</v>
      </c>
      <c r="G128" t="s">
        <v>2023</v>
      </c>
      <c r="H128" t="s">
        <v>2024</v>
      </c>
      <c r="I128" t="s">
        <v>2025</v>
      </c>
      <c r="J128" t="s">
        <v>48</v>
      </c>
      <c r="K128" t="s">
        <v>48</v>
      </c>
      <c r="L128" t="s">
        <v>48</v>
      </c>
      <c r="M128" t="s">
        <v>2026</v>
      </c>
      <c r="N128">
        <v>332346</v>
      </c>
      <c r="O128">
        <v>1398000</v>
      </c>
      <c r="P128" t="s">
        <v>2027</v>
      </c>
      <c r="Q128" s="1">
        <v>45593</v>
      </c>
      <c r="R128" t="s">
        <v>2028</v>
      </c>
      <c r="S128" t="s">
        <v>2029</v>
      </c>
      <c r="T128" t="s">
        <v>51</v>
      </c>
      <c r="U128" t="s">
        <v>48</v>
      </c>
      <c r="V128" t="s">
        <v>325</v>
      </c>
      <c r="W128" t="s">
        <v>198</v>
      </c>
      <c r="X128" t="s">
        <v>1503</v>
      </c>
      <c r="Y128" t="s">
        <v>1504</v>
      </c>
      <c r="Z128" t="s">
        <v>1518</v>
      </c>
      <c r="AA128" t="s">
        <v>2030</v>
      </c>
      <c r="AB128">
        <v>5</v>
      </c>
      <c r="AC128" t="s">
        <v>78</v>
      </c>
      <c r="AD128" t="s">
        <v>2031</v>
      </c>
      <c r="AE128" t="s">
        <v>1987</v>
      </c>
      <c r="AF128" t="s">
        <v>61</v>
      </c>
      <c r="AG128">
        <v>1048500</v>
      </c>
      <c r="AH128" s="13">
        <v>20970</v>
      </c>
      <c r="AL128" t="s">
        <v>6016</v>
      </c>
      <c r="AM128" s="13">
        <v>20970</v>
      </c>
      <c r="AN128" s="16">
        <f>Table9[[#This Row],[Premium]]-Table9[[#This Row],[Tms prem]]</f>
        <v>0</v>
      </c>
    </row>
    <row r="129" spans="1:40" x14ac:dyDescent="0.25">
      <c r="A129">
        <v>149</v>
      </c>
      <c r="B129" t="s">
        <v>37</v>
      </c>
      <c r="C129" t="s">
        <v>2032</v>
      </c>
      <c r="D129" t="s">
        <v>39</v>
      </c>
      <c r="E129" t="s">
        <v>40</v>
      </c>
      <c r="F129" t="s">
        <v>789</v>
      </c>
      <c r="G129" t="s">
        <v>2033</v>
      </c>
      <c r="H129" t="s">
        <v>83</v>
      </c>
      <c r="I129" t="s">
        <v>2034</v>
      </c>
      <c r="J129" t="s">
        <v>2035</v>
      </c>
      <c r="K129" t="s">
        <v>2035</v>
      </c>
      <c r="L129" t="s">
        <v>2035</v>
      </c>
      <c r="M129" t="s">
        <v>2036</v>
      </c>
      <c r="N129">
        <v>318388</v>
      </c>
      <c r="O129">
        <v>1350000</v>
      </c>
      <c r="P129" t="s">
        <v>2037</v>
      </c>
      <c r="Q129" s="1">
        <v>45593</v>
      </c>
      <c r="R129" t="s">
        <v>2038</v>
      </c>
      <c r="S129" t="s">
        <v>2039</v>
      </c>
      <c r="T129" t="s">
        <v>196</v>
      </c>
      <c r="U129" t="s">
        <v>2040</v>
      </c>
      <c r="V129" t="s">
        <v>696</v>
      </c>
      <c r="W129" t="s">
        <v>536</v>
      </c>
      <c r="X129" t="s">
        <v>1503</v>
      </c>
      <c r="Y129" t="s">
        <v>1504</v>
      </c>
      <c r="Z129" t="s">
        <v>1518</v>
      </c>
      <c r="AA129" t="s">
        <v>2041</v>
      </c>
      <c r="AB129">
        <v>5</v>
      </c>
      <c r="AC129" t="s">
        <v>556</v>
      </c>
      <c r="AD129" t="s">
        <v>2042</v>
      </c>
      <c r="AE129" t="s">
        <v>1503</v>
      </c>
      <c r="AF129" t="s">
        <v>61</v>
      </c>
      <c r="AG129">
        <v>1012500</v>
      </c>
      <c r="AH129" s="13">
        <v>20250</v>
      </c>
      <c r="AL129" t="s">
        <v>6017</v>
      </c>
      <c r="AM129" s="13">
        <v>20250</v>
      </c>
      <c r="AN129" s="16">
        <f>Table9[[#This Row],[Premium]]-Table9[[#This Row],[Tms prem]]</f>
        <v>0</v>
      </c>
    </row>
    <row r="130" spans="1:40" x14ac:dyDescent="0.25">
      <c r="A130">
        <v>150</v>
      </c>
      <c r="B130" t="s">
        <v>184</v>
      </c>
      <c r="C130" t="s">
        <v>2043</v>
      </c>
      <c r="D130" t="s">
        <v>39</v>
      </c>
      <c r="E130" t="s">
        <v>40</v>
      </c>
      <c r="F130" t="s">
        <v>2044</v>
      </c>
      <c r="G130" t="s">
        <v>2045</v>
      </c>
      <c r="H130" t="s">
        <v>83</v>
      </c>
      <c r="I130" t="s">
        <v>2046</v>
      </c>
      <c r="J130" t="s">
        <v>2047</v>
      </c>
      <c r="K130" t="s">
        <v>48</v>
      </c>
      <c r="L130" t="s">
        <v>2047</v>
      </c>
      <c r="M130" t="s">
        <v>2048</v>
      </c>
      <c r="N130">
        <v>1407608</v>
      </c>
      <c r="O130">
        <v>5430000</v>
      </c>
      <c r="P130" t="s">
        <v>2049</v>
      </c>
      <c r="Q130" s="1">
        <v>45592</v>
      </c>
      <c r="R130" t="s">
        <v>2050</v>
      </c>
      <c r="S130" t="s">
        <v>2051</v>
      </c>
      <c r="T130" t="s">
        <v>51</v>
      </c>
      <c r="U130" t="s">
        <v>48</v>
      </c>
      <c r="V130" t="s">
        <v>521</v>
      </c>
      <c r="W130" t="s">
        <v>198</v>
      </c>
      <c r="X130" t="s">
        <v>1987</v>
      </c>
      <c r="Y130" t="s">
        <v>1504</v>
      </c>
      <c r="Z130" t="s">
        <v>1518</v>
      </c>
      <c r="AA130" t="s">
        <v>2052</v>
      </c>
      <c r="AB130">
        <v>5</v>
      </c>
      <c r="AC130" t="s">
        <v>48</v>
      </c>
      <c r="AD130" t="s">
        <v>48</v>
      </c>
      <c r="AE130" t="s">
        <v>48</v>
      </c>
      <c r="AF130" t="s">
        <v>882</v>
      </c>
      <c r="AG130">
        <v>4072500</v>
      </c>
      <c r="AH130" s="13">
        <v>61088</v>
      </c>
      <c r="AL130" t="s">
        <v>6018</v>
      </c>
      <c r="AM130" s="13">
        <v>61088</v>
      </c>
      <c r="AN130" s="16">
        <f>Table9[[#This Row],[Premium]]-Table9[[#This Row],[Tms prem]]</f>
        <v>0</v>
      </c>
    </row>
    <row r="131" spans="1:40" x14ac:dyDescent="0.25">
      <c r="A131">
        <v>151</v>
      </c>
      <c r="B131" t="s">
        <v>37</v>
      </c>
      <c r="C131" t="s">
        <v>2053</v>
      </c>
      <c r="D131" t="s">
        <v>39</v>
      </c>
      <c r="E131" t="s">
        <v>40</v>
      </c>
      <c r="F131" t="s">
        <v>2054</v>
      </c>
      <c r="G131" t="s">
        <v>2055</v>
      </c>
      <c r="H131" t="s">
        <v>188</v>
      </c>
      <c r="I131" t="s">
        <v>2056</v>
      </c>
      <c r="J131" t="s">
        <v>48</v>
      </c>
      <c r="K131" t="s">
        <v>2057</v>
      </c>
      <c r="L131" t="s">
        <v>48</v>
      </c>
      <c r="M131" t="s">
        <v>2058</v>
      </c>
      <c r="N131">
        <v>960550</v>
      </c>
      <c r="O131">
        <v>4399000</v>
      </c>
      <c r="P131" t="s">
        <v>2059</v>
      </c>
      <c r="Q131" s="1">
        <v>45592</v>
      </c>
      <c r="R131" t="s">
        <v>2060</v>
      </c>
      <c r="S131" t="s">
        <v>2061</v>
      </c>
      <c r="T131" t="s">
        <v>51</v>
      </c>
      <c r="U131" t="s">
        <v>48</v>
      </c>
      <c r="V131" t="s">
        <v>2062</v>
      </c>
      <c r="W131" t="s">
        <v>198</v>
      </c>
      <c r="X131" t="s">
        <v>2063</v>
      </c>
      <c r="Y131" t="s">
        <v>1504</v>
      </c>
      <c r="Z131" t="s">
        <v>1518</v>
      </c>
      <c r="AA131" t="s">
        <v>2064</v>
      </c>
      <c r="AB131">
        <v>5</v>
      </c>
      <c r="AC131" t="s">
        <v>48</v>
      </c>
      <c r="AD131" t="s">
        <v>48</v>
      </c>
      <c r="AE131" t="s">
        <v>48</v>
      </c>
      <c r="AF131" t="s">
        <v>882</v>
      </c>
      <c r="AG131">
        <v>3299250</v>
      </c>
      <c r="AH131" s="13">
        <v>49489</v>
      </c>
      <c r="AL131" t="s">
        <v>6019</v>
      </c>
      <c r="AM131" s="13">
        <v>49489</v>
      </c>
      <c r="AN131" s="16">
        <f>Table9[[#This Row],[Premium]]-Table9[[#This Row],[Tms prem]]</f>
        <v>0</v>
      </c>
    </row>
    <row r="132" spans="1:40" x14ac:dyDescent="0.25">
      <c r="A132">
        <v>152</v>
      </c>
      <c r="B132" t="s">
        <v>37</v>
      </c>
      <c r="C132" t="s">
        <v>2065</v>
      </c>
      <c r="D132" t="s">
        <v>39</v>
      </c>
      <c r="E132" t="s">
        <v>40</v>
      </c>
      <c r="F132" t="s">
        <v>715</v>
      </c>
      <c r="G132" t="s">
        <v>2066</v>
      </c>
      <c r="H132" t="s">
        <v>83</v>
      </c>
      <c r="I132" t="s">
        <v>2067</v>
      </c>
      <c r="J132" t="s">
        <v>2068</v>
      </c>
      <c r="K132" t="s">
        <v>2068</v>
      </c>
      <c r="L132" t="s">
        <v>2069</v>
      </c>
      <c r="M132" t="s">
        <v>2070</v>
      </c>
      <c r="N132">
        <v>563755</v>
      </c>
      <c r="O132">
        <v>2988000</v>
      </c>
      <c r="P132" t="s">
        <v>2071</v>
      </c>
      <c r="Q132" s="1">
        <v>45592</v>
      </c>
      <c r="R132" t="s">
        <v>2072</v>
      </c>
      <c r="S132" t="s">
        <v>2073</v>
      </c>
      <c r="T132" t="s">
        <v>51</v>
      </c>
      <c r="U132" t="s">
        <v>48</v>
      </c>
      <c r="V132" t="s">
        <v>2074</v>
      </c>
      <c r="W132" t="s">
        <v>198</v>
      </c>
      <c r="X132" t="s">
        <v>2075</v>
      </c>
      <c r="Y132" t="s">
        <v>1504</v>
      </c>
      <c r="Z132" t="s">
        <v>1518</v>
      </c>
      <c r="AA132" t="s">
        <v>2076</v>
      </c>
      <c r="AB132">
        <v>5</v>
      </c>
      <c r="AC132" t="s">
        <v>78</v>
      </c>
      <c r="AD132" t="s">
        <v>2077</v>
      </c>
      <c r="AE132" t="s">
        <v>1974</v>
      </c>
      <c r="AF132" t="s">
        <v>61</v>
      </c>
      <c r="AG132">
        <v>2241000</v>
      </c>
      <c r="AH132" s="13">
        <v>44820</v>
      </c>
      <c r="AL132" t="s">
        <v>6020</v>
      </c>
      <c r="AM132" s="13">
        <v>44820</v>
      </c>
      <c r="AN132" s="16">
        <f>Table9[[#This Row],[Premium]]-Table9[[#This Row],[Tms prem]]</f>
        <v>0</v>
      </c>
    </row>
    <row r="133" spans="1:40" x14ac:dyDescent="0.25">
      <c r="A133">
        <v>153</v>
      </c>
      <c r="B133" t="s">
        <v>184</v>
      </c>
      <c r="C133" t="s">
        <v>2078</v>
      </c>
      <c r="D133" t="s">
        <v>39</v>
      </c>
      <c r="E133" t="s">
        <v>40</v>
      </c>
      <c r="F133" t="s">
        <v>1862</v>
      </c>
      <c r="G133" t="s">
        <v>2079</v>
      </c>
      <c r="H133" t="s">
        <v>422</v>
      </c>
      <c r="I133" t="s">
        <v>2080</v>
      </c>
      <c r="J133" t="s">
        <v>2081</v>
      </c>
      <c r="K133" t="s">
        <v>2081</v>
      </c>
      <c r="L133" t="s">
        <v>2081</v>
      </c>
      <c r="M133" t="s">
        <v>2082</v>
      </c>
      <c r="N133">
        <v>1032128</v>
      </c>
      <c r="O133">
        <v>2530000</v>
      </c>
      <c r="P133" t="s">
        <v>2083</v>
      </c>
      <c r="Q133" s="1">
        <v>45578</v>
      </c>
      <c r="R133" t="s">
        <v>2084</v>
      </c>
      <c r="S133" t="s">
        <v>2085</v>
      </c>
      <c r="T133" t="s">
        <v>51</v>
      </c>
      <c r="U133" t="s">
        <v>48</v>
      </c>
      <c r="V133" t="s">
        <v>1305</v>
      </c>
      <c r="W133" t="s">
        <v>53</v>
      </c>
      <c r="X133" t="s">
        <v>641</v>
      </c>
      <c r="Y133" t="s">
        <v>92</v>
      </c>
      <c r="Z133" t="s">
        <v>93</v>
      </c>
      <c r="AA133" t="s">
        <v>2086</v>
      </c>
      <c r="AB133">
        <v>5</v>
      </c>
      <c r="AC133" t="s">
        <v>78</v>
      </c>
      <c r="AD133" t="s">
        <v>2087</v>
      </c>
      <c r="AE133" t="s">
        <v>864</v>
      </c>
      <c r="AF133" t="s">
        <v>61</v>
      </c>
      <c r="AG133">
        <v>2024000</v>
      </c>
      <c r="AH133" s="13">
        <v>40480</v>
      </c>
      <c r="AL133" t="s">
        <v>6021</v>
      </c>
      <c r="AM133" s="13">
        <v>40480</v>
      </c>
      <c r="AN133" s="16">
        <f>Table9[[#This Row],[Premium]]-Table9[[#This Row],[Tms prem]]</f>
        <v>0</v>
      </c>
    </row>
    <row r="134" spans="1:40" x14ac:dyDescent="0.25">
      <c r="A134">
        <v>154</v>
      </c>
      <c r="B134" t="s">
        <v>37</v>
      </c>
      <c r="C134" t="s">
        <v>2088</v>
      </c>
      <c r="D134" t="s">
        <v>39</v>
      </c>
      <c r="E134" t="s">
        <v>40</v>
      </c>
      <c r="F134" t="s">
        <v>63</v>
      </c>
      <c r="G134" t="s">
        <v>2089</v>
      </c>
      <c r="H134" t="s">
        <v>83</v>
      </c>
      <c r="I134" t="s">
        <v>2090</v>
      </c>
      <c r="J134" t="s">
        <v>2091</v>
      </c>
      <c r="K134" t="s">
        <v>2091</v>
      </c>
      <c r="L134" t="s">
        <v>2091</v>
      </c>
      <c r="M134" t="s">
        <v>2092</v>
      </c>
      <c r="N134">
        <v>442138</v>
      </c>
      <c r="O134">
        <v>1113000</v>
      </c>
      <c r="P134" t="s">
        <v>2093</v>
      </c>
      <c r="Q134" s="1">
        <v>45579</v>
      </c>
      <c r="R134" t="s">
        <v>2094</v>
      </c>
      <c r="S134" t="s">
        <v>2095</v>
      </c>
      <c r="T134" t="s">
        <v>51</v>
      </c>
      <c r="U134" t="s">
        <v>48</v>
      </c>
      <c r="V134" t="s">
        <v>2008</v>
      </c>
      <c r="W134" t="s">
        <v>53</v>
      </c>
      <c r="X134" t="s">
        <v>595</v>
      </c>
      <c r="Y134" t="s">
        <v>152</v>
      </c>
      <c r="Z134" t="s">
        <v>153</v>
      </c>
      <c r="AA134" t="s">
        <v>2096</v>
      </c>
      <c r="AB134">
        <v>5</v>
      </c>
      <c r="AC134" t="s">
        <v>78</v>
      </c>
      <c r="AD134" t="s">
        <v>2097</v>
      </c>
      <c r="AE134" t="s">
        <v>492</v>
      </c>
      <c r="AF134" t="s">
        <v>61</v>
      </c>
      <c r="AG134">
        <v>890400</v>
      </c>
      <c r="AH134" s="13">
        <v>17808</v>
      </c>
      <c r="AL134" t="s">
        <v>6022</v>
      </c>
      <c r="AM134" s="13">
        <v>17808</v>
      </c>
      <c r="AN134" s="16">
        <f>Table9[[#This Row],[Premium]]-Table9[[#This Row],[Tms prem]]</f>
        <v>0</v>
      </c>
    </row>
    <row r="135" spans="1:40" x14ac:dyDescent="0.25">
      <c r="A135">
        <v>155</v>
      </c>
      <c r="B135" t="s">
        <v>37</v>
      </c>
      <c r="C135" t="s">
        <v>2098</v>
      </c>
      <c r="D135" t="s">
        <v>39</v>
      </c>
      <c r="E135" t="s">
        <v>40</v>
      </c>
      <c r="F135" t="s">
        <v>63</v>
      </c>
      <c r="G135" t="s">
        <v>2099</v>
      </c>
      <c r="H135" t="s">
        <v>43</v>
      </c>
      <c r="I135" t="s">
        <v>2100</v>
      </c>
      <c r="J135" t="s">
        <v>48</v>
      </c>
      <c r="K135" t="s">
        <v>2101</v>
      </c>
      <c r="L135" t="s">
        <v>48</v>
      </c>
      <c r="M135" t="s">
        <v>2102</v>
      </c>
      <c r="N135">
        <v>420643</v>
      </c>
      <c r="O135">
        <v>1830000</v>
      </c>
      <c r="P135" t="s">
        <v>2103</v>
      </c>
      <c r="Q135" s="1">
        <v>45579</v>
      </c>
      <c r="R135" t="s">
        <v>2104</v>
      </c>
      <c r="S135" t="s">
        <v>2105</v>
      </c>
      <c r="T135" t="s">
        <v>51</v>
      </c>
      <c r="U135" t="s">
        <v>48</v>
      </c>
      <c r="V135" t="s">
        <v>2106</v>
      </c>
      <c r="W135" t="s">
        <v>53</v>
      </c>
      <c r="X135" t="s">
        <v>569</v>
      </c>
      <c r="Y135" t="s">
        <v>92</v>
      </c>
      <c r="Z135" t="s">
        <v>1363</v>
      </c>
      <c r="AA135" t="s">
        <v>2107</v>
      </c>
      <c r="AB135">
        <v>4</v>
      </c>
      <c r="AC135" t="s">
        <v>78</v>
      </c>
      <c r="AD135" t="s">
        <v>2108</v>
      </c>
      <c r="AE135" t="s">
        <v>492</v>
      </c>
      <c r="AF135" t="s">
        <v>61</v>
      </c>
      <c r="AG135">
        <v>1464000</v>
      </c>
      <c r="AH135" s="13">
        <v>29280</v>
      </c>
      <c r="AL135" t="s">
        <v>6023</v>
      </c>
      <c r="AM135" s="13">
        <v>29280</v>
      </c>
      <c r="AN135" s="16">
        <f>Table9[[#This Row],[Premium]]-Table9[[#This Row],[Tms prem]]</f>
        <v>0</v>
      </c>
    </row>
    <row r="136" spans="1:40" x14ac:dyDescent="0.25">
      <c r="A136">
        <v>157</v>
      </c>
      <c r="B136" t="s">
        <v>37</v>
      </c>
      <c r="C136" t="s">
        <v>2119</v>
      </c>
      <c r="D136" t="s">
        <v>39</v>
      </c>
      <c r="E136" t="s">
        <v>40</v>
      </c>
      <c r="F136" t="s">
        <v>2120</v>
      </c>
      <c r="G136" t="s">
        <v>2121</v>
      </c>
      <c r="H136" t="s">
        <v>233</v>
      </c>
      <c r="I136" t="s">
        <v>2122</v>
      </c>
      <c r="J136" t="s">
        <v>2123</v>
      </c>
      <c r="K136" t="s">
        <v>2123</v>
      </c>
      <c r="L136" t="s">
        <v>2123</v>
      </c>
      <c r="M136" t="s">
        <v>2124</v>
      </c>
      <c r="N136">
        <v>1018642</v>
      </c>
      <c r="O136">
        <v>5399000</v>
      </c>
      <c r="P136" t="s">
        <v>2125</v>
      </c>
      <c r="Q136" s="1">
        <v>45591</v>
      </c>
      <c r="R136" t="s">
        <v>2126</v>
      </c>
      <c r="S136" t="s">
        <v>2127</v>
      </c>
      <c r="T136" t="s">
        <v>51</v>
      </c>
      <c r="U136" t="s">
        <v>48</v>
      </c>
      <c r="V136" t="s">
        <v>521</v>
      </c>
      <c r="W136" t="s">
        <v>198</v>
      </c>
      <c r="X136" t="s">
        <v>2128</v>
      </c>
      <c r="Y136" t="s">
        <v>1504</v>
      </c>
      <c r="Z136" t="s">
        <v>1518</v>
      </c>
      <c r="AA136" t="s">
        <v>2129</v>
      </c>
      <c r="AB136">
        <v>5</v>
      </c>
      <c r="AC136" t="s">
        <v>48</v>
      </c>
      <c r="AD136" t="s">
        <v>48</v>
      </c>
      <c r="AE136" t="s">
        <v>48</v>
      </c>
      <c r="AF136" t="s">
        <v>882</v>
      </c>
      <c r="AG136">
        <v>4049250</v>
      </c>
      <c r="AH136" s="13">
        <v>60739</v>
      </c>
      <c r="AL136" t="s">
        <v>6024</v>
      </c>
      <c r="AM136" s="13">
        <v>60739</v>
      </c>
      <c r="AN136" s="16">
        <f>Table9[[#This Row],[Premium]]-Table9[[#This Row],[Tms prem]]</f>
        <v>0</v>
      </c>
    </row>
    <row r="137" spans="1:40" x14ac:dyDescent="0.25">
      <c r="A137">
        <v>158</v>
      </c>
      <c r="B137" t="s">
        <v>37</v>
      </c>
      <c r="C137" t="s">
        <v>2130</v>
      </c>
      <c r="D137" t="s">
        <v>39</v>
      </c>
      <c r="E137" t="s">
        <v>40</v>
      </c>
      <c r="F137" t="s">
        <v>789</v>
      </c>
      <c r="G137" t="s">
        <v>2131</v>
      </c>
      <c r="H137" t="s">
        <v>83</v>
      </c>
      <c r="I137" t="s">
        <v>2132</v>
      </c>
      <c r="J137" t="s">
        <v>2133</v>
      </c>
      <c r="K137" t="s">
        <v>2133</v>
      </c>
      <c r="L137" t="s">
        <v>2134</v>
      </c>
      <c r="M137" t="s">
        <v>2135</v>
      </c>
      <c r="N137">
        <v>165069</v>
      </c>
      <c r="O137">
        <v>700000</v>
      </c>
      <c r="P137" t="s">
        <v>2136</v>
      </c>
      <c r="Q137" s="1">
        <v>45591</v>
      </c>
      <c r="R137" t="s">
        <v>2137</v>
      </c>
      <c r="S137" t="s">
        <v>2138</v>
      </c>
      <c r="T137" t="s">
        <v>196</v>
      </c>
      <c r="U137" t="s">
        <v>2139</v>
      </c>
      <c r="V137" t="s">
        <v>2140</v>
      </c>
      <c r="W137" t="s">
        <v>1180</v>
      </c>
      <c r="X137" t="s">
        <v>1974</v>
      </c>
      <c r="Y137" t="s">
        <v>2141</v>
      </c>
      <c r="Z137" t="s">
        <v>1363</v>
      </c>
      <c r="AA137" t="s">
        <v>2142</v>
      </c>
      <c r="AB137">
        <v>5</v>
      </c>
      <c r="AC137" t="s">
        <v>556</v>
      </c>
      <c r="AD137" t="s">
        <v>2143</v>
      </c>
      <c r="AE137" t="s">
        <v>2141</v>
      </c>
      <c r="AF137" t="s">
        <v>61</v>
      </c>
      <c r="AG137">
        <v>525000</v>
      </c>
      <c r="AH137" s="13">
        <v>10500</v>
      </c>
      <c r="AL137" t="s">
        <v>6025</v>
      </c>
      <c r="AM137" s="13">
        <v>10500</v>
      </c>
      <c r="AN137" s="16">
        <f>Table9[[#This Row],[Premium]]-Table9[[#This Row],[Tms prem]]</f>
        <v>0</v>
      </c>
    </row>
    <row r="138" spans="1:40" x14ac:dyDescent="0.25">
      <c r="A138">
        <v>159</v>
      </c>
      <c r="B138" t="s">
        <v>37</v>
      </c>
      <c r="C138" t="s">
        <v>2144</v>
      </c>
      <c r="D138" t="s">
        <v>39</v>
      </c>
      <c r="E138" t="s">
        <v>40</v>
      </c>
      <c r="F138" t="s">
        <v>989</v>
      </c>
      <c r="G138" t="s">
        <v>2145</v>
      </c>
      <c r="H138" t="s">
        <v>83</v>
      </c>
      <c r="I138" t="s">
        <v>2146</v>
      </c>
      <c r="J138" t="s">
        <v>2147</v>
      </c>
      <c r="K138" t="s">
        <v>2147</v>
      </c>
      <c r="L138" t="s">
        <v>2148</v>
      </c>
      <c r="M138" t="s">
        <v>2149</v>
      </c>
      <c r="N138">
        <v>971803</v>
      </c>
      <c r="O138">
        <v>2449000</v>
      </c>
      <c r="P138" t="s">
        <v>2150</v>
      </c>
      <c r="Q138" s="1">
        <v>45579</v>
      </c>
      <c r="R138" t="s">
        <v>2151</v>
      </c>
      <c r="S138" t="s">
        <v>2152</v>
      </c>
      <c r="T138" t="s">
        <v>51</v>
      </c>
      <c r="U138" t="s">
        <v>48</v>
      </c>
      <c r="V138" t="s">
        <v>2153</v>
      </c>
      <c r="W138" t="s">
        <v>53</v>
      </c>
      <c r="X138" t="s">
        <v>1292</v>
      </c>
      <c r="Y138" t="s">
        <v>152</v>
      </c>
      <c r="Z138" t="s">
        <v>153</v>
      </c>
      <c r="AA138" t="s">
        <v>2154</v>
      </c>
      <c r="AB138">
        <v>5</v>
      </c>
      <c r="AC138" t="s">
        <v>58</v>
      </c>
      <c r="AD138" t="s">
        <v>2155</v>
      </c>
      <c r="AE138" t="s">
        <v>2156</v>
      </c>
      <c r="AF138" t="s">
        <v>61</v>
      </c>
      <c r="AG138">
        <v>1959200</v>
      </c>
      <c r="AH138" s="13">
        <v>39184</v>
      </c>
      <c r="AL138" t="s">
        <v>6026</v>
      </c>
      <c r="AM138" s="13">
        <v>39184</v>
      </c>
      <c r="AN138" s="16">
        <f>Table9[[#This Row],[Premium]]-Table9[[#This Row],[Tms prem]]</f>
        <v>0</v>
      </c>
    </row>
    <row r="139" spans="1:40" x14ac:dyDescent="0.25">
      <c r="A139">
        <v>161</v>
      </c>
      <c r="B139" t="s">
        <v>37</v>
      </c>
      <c r="C139" t="s">
        <v>2171</v>
      </c>
      <c r="D139" t="s">
        <v>39</v>
      </c>
      <c r="E139" t="s">
        <v>40</v>
      </c>
      <c r="F139" t="s">
        <v>1096</v>
      </c>
      <c r="G139" t="s">
        <v>2172</v>
      </c>
      <c r="H139" t="s">
        <v>188</v>
      </c>
      <c r="I139" t="s">
        <v>2173</v>
      </c>
      <c r="J139" t="s">
        <v>2174</v>
      </c>
      <c r="K139" t="s">
        <v>2175</v>
      </c>
      <c r="L139" t="s">
        <v>2176</v>
      </c>
      <c r="M139" t="s">
        <v>2177</v>
      </c>
      <c r="N139">
        <v>1410331</v>
      </c>
      <c r="O139">
        <v>3350000</v>
      </c>
      <c r="P139" t="s">
        <v>2178</v>
      </c>
      <c r="Q139" s="1">
        <v>45588</v>
      </c>
      <c r="R139" t="s">
        <v>2179</v>
      </c>
      <c r="S139" t="s">
        <v>2180</v>
      </c>
      <c r="T139" t="s">
        <v>196</v>
      </c>
      <c r="U139" t="s">
        <v>2181</v>
      </c>
      <c r="V139" t="s">
        <v>2182</v>
      </c>
      <c r="W139" t="s">
        <v>1393</v>
      </c>
      <c r="X139" t="s">
        <v>2141</v>
      </c>
      <c r="Y139" t="s">
        <v>2141</v>
      </c>
      <c r="Z139" t="s">
        <v>1229</v>
      </c>
      <c r="AA139" t="s">
        <v>2183</v>
      </c>
      <c r="AB139">
        <v>7</v>
      </c>
      <c r="AC139" t="s">
        <v>556</v>
      </c>
      <c r="AD139" t="s">
        <v>2184</v>
      </c>
      <c r="AE139" t="s">
        <v>2185</v>
      </c>
      <c r="AF139" t="s">
        <v>61</v>
      </c>
      <c r="AG139">
        <v>2512500</v>
      </c>
      <c r="AH139" s="13">
        <v>50250</v>
      </c>
      <c r="AL139" t="s">
        <v>6027</v>
      </c>
      <c r="AM139" s="13">
        <v>50250</v>
      </c>
      <c r="AN139" s="16">
        <f>Table9[[#This Row],[Premium]]-Table9[[#This Row],[Tms prem]]</f>
        <v>0</v>
      </c>
    </row>
    <row r="140" spans="1:40" x14ac:dyDescent="0.25">
      <c r="A140">
        <v>162</v>
      </c>
      <c r="B140" t="s">
        <v>37</v>
      </c>
      <c r="C140" t="s">
        <v>2186</v>
      </c>
      <c r="D140" t="s">
        <v>39</v>
      </c>
      <c r="E140" t="s">
        <v>40</v>
      </c>
      <c r="F140" t="s">
        <v>2187</v>
      </c>
      <c r="G140" t="s">
        <v>2188</v>
      </c>
      <c r="H140" t="s">
        <v>188</v>
      </c>
      <c r="I140" t="s">
        <v>2189</v>
      </c>
      <c r="J140" t="s">
        <v>2190</v>
      </c>
      <c r="K140" t="s">
        <v>2190</v>
      </c>
      <c r="L140" t="s">
        <v>2191</v>
      </c>
      <c r="M140" t="s">
        <v>2192</v>
      </c>
      <c r="N140">
        <v>704115</v>
      </c>
      <c r="O140">
        <v>2965000</v>
      </c>
      <c r="P140" t="s">
        <v>2193</v>
      </c>
      <c r="Q140" s="1">
        <v>45588</v>
      </c>
      <c r="R140" t="s">
        <v>2194</v>
      </c>
      <c r="S140" t="s">
        <v>2195</v>
      </c>
      <c r="T140" t="s">
        <v>51</v>
      </c>
      <c r="U140" t="s">
        <v>48</v>
      </c>
      <c r="V140" t="s">
        <v>2074</v>
      </c>
      <c r="W140" t="s">
        <v>198</v>
      </c>
      <c r="X140" t="s">
        <v>1974</v>
      </c>
      <c r="Y140" t="s">
        <v>2141</v>
      </c>
      <c r="Z140" t="s">
        <v>1363</v>
      </c>
      <c r="AA140" t="s">
        <v>2196</v>
      </c>
      <c r="AB140">
        <v>5</v>
      </c>
      <c r="AC140" t="s">
        <v>556</v>
      </c>
      <c r="AD140" t="s">
        <v>2197</v>
      </c>
      <c r="AE140" t="s">
        <v>2185</v>
      </c>
      <c r="AF140" t="s">
        <v>61</v>
      </c>
      <c r="AG140">
        <v>2223750</v>
      </c>
      <c r="AH140" s="13">
        <v>44475</v>
      </c>
      <c r="AL140" t="s">
        <v>6028</v>
      </c>
      <c r="AM140" s="13">
        <v>44475</v>
      </c>
      <c r="AN140" s="16">
        <f>Table9[[#This Row],[Premium]]-Table9[[#This Row],[Tms prem]]</f>
        <v>0</v>
      </c>
    </row>
    <row r="141" spans="1:40" x14ac:dyDescent="0.25">
      <c r="A141">
        <v>163</v>
      </c>
      <c r="B141" t="s">
        <v>37</v>
      </c>
      <c r="C141" t="s">
        <v>2198</v>
      </c>
      <c r="D141" t="s">
        <v>39</v>
      </c>
      <c r="E141" t="s">
        <v>40</v>
      </c>
      <c r="F141" t="s">
        <v>2199</v>
      </c>
      <c r="G141" t="s">
        <v>2200</v>
      </c>
      <c r="H141" t="s">
        <v>188</v>
      </c>
      <c r="I141" t="s">
        <v>2201</v>
      </c>
      <c r="J141" t="s">
        <v>2202</v>
      </c>
      <c r="K141" t="s">
        <v>2203</v>
      </c>
      <c r="L141" t="s">
        <v>2202</v>
      </c>
      <c r="M141" t="s">
        <v>2204</v>
      </c>
      <c r="N141">
        <v>1783239</v>
      </c>
      <c r="O141">
        <v>5485000</v>
      </c>
      <c r="P141" t="s">
        <v>2205</v>
      </c>
      <c r="Q141" s="1">
        <v>45579</v>
      </c>
      <c r="R141" t="s">
        <v>2206</v>
      </c>
      <c r="S141" t="s">
        <v>2207</v>
      </c>
      <c r="T141" t="s">
        <v>51</v>
      </c>
      <c r="U141" t="s">
        <v>48</v>
      </c>
      <c r="V141" t="s">
        <v>2208</v>
      </c>
      <c r="W141" t="s">
        <v>53</v>
      </c>
      <c r="X141" t="s">
        <v>2209</v>
      </c>
      <c r="Y141" t="s">
        <v>152</v>
      </c>
      <c r="Z141" t="s">
        <v>153</v>
      </c>
      <c r="AA141" t="s">
        <v>2210</v>
      </c>
      <c r="AB141">
        <v>5</v>
      </c>
      <c r="AC141" t="s">
        <v>78</v>
      </c>
      <c r="AD141" t="s">
        <v>2211</v>
      </c>
      <c r="AE141" t="s">
        <v>1143</v>
      </c>
      <c r="AF141" t="s">
        <v>882</v>
      </c>
      <c r="AG141">
        <v>4388000</v>
      </c>
      <c r="AH141" s="13">
        <v>65820</v>
      </c>
      <c r="AL141" t="s">
        <v>6029</v>
      </c>
      <c r="AM141" s="13">
        <v>65820</v>
      </c>
      <c r="AN141" s="16">
        <f>Table9[[#This Row],[Premium]]-Table9[[#This Row],[Tms prem]]</f>
        <v>0</v>
      </c>
    </row>
    <row r="142" spans="1:40" x14ac:dyDescent="0.25">
      <c r="A142">
        <v>164</v>
      </c>
      <c r="B142" t="s">
        <v>37</v>
      </c>
      <c r="C142" t="s">
        <v>2212</v>
      </c>
      <c r="D142" t="s">
        <v>39</v>
      </c>
      <c r="E142" t="s">
        <v>40</v>
      </c>
      <c r="F142" t="s">
        <v>2213</v>
      </c>
      <c r="G142" t="s">
        <v>2214</v>
      </c>
      <c r="H142" t="s">
        <v>83</v>
      </c>
      <c r="I142" t="s">
        <v>2215</v>
      </c>
      <c r="J142" t="s">
        <v>2216</v>
      </c>
      <c r="K142" t="s">
        <v>2216</v>
      </c>
      <c r="L142" t="s">
        <v>2217</v>
      </c>
      <c r="M142" t="s">
        <v>2218</v>
      </c>
      <c r="N142">
        <v>3622791</v>
      </c>
      <c r="O142">
        <v>9189000</v>
      </c>
      <c r="P142" t="s">
        <v>2219</v>
      </c>
      <c r="Q142" s="1">
        <v>45579</v>
      </c>
      <c r="R142" t="s">
        <v>2220</v>
      </c>
      <c r="S142" t="s">
        <v>2221</v>
      </c>
      <c r="T142" t="s">
        <v>51</v>
      </c>
      <c r="U142" t="s">
        <v>48</v>
      </c>
      <c r="V142" t="s">
        <v>1932</v>
      </c>
      <c r="W142" t="s">
        <v>53</v>
      </c>
      <c r="X142" t="s">
        <v>1933</v>
      </c>
      <c r="Y142" t="s">
        <v>152</v>
      </c>
      <c r="Z142" t="s">
        <v>153</v>
      </c>
      <c r="AA142" t="s">
        <v>2222</v>
      </c>
      <c r="AB142">
        <v>5</v>
      </c>
      <c r="AC142" t="s">
        <v>78</v>
      </c>
      <c r="AD142" t="s">
        <v>2223</v>
      </c>
      <c r="AE142" t="s">
        <v>492</v>
      </c>
      <c r="AF142" t="s">
        <v>155</v>
      </c>
      <c r="AG142">
        <v>7351200</v>
      </c>
      <c r="AH142" s="13">
        <v>128646</v>
      </c>
      <c r="AL142" t="s">
        <v>6030</v>
      </c>
      <c r="AM142" s="13">
        <v>128646</v>
      </c>
      <c r="AN142" s="16">
        <f>Table9[[#This Row],[Premium]]-Table9[[#This Row],[Tms prem]]</f>
        <v>0</v>
      </c>
    </row>
    <row r="143" spans="1:40" x14ac:dyDescent="0.25">
      <c r="A143">
        <v>166</v>
      </c>
      <c r="B143" t="s">
        <v>37</v>
      </c>
      <c r="C143" t="s">
        <v>2234</v>
      </c>
      <c r="D143" t="s">
        <v>39</v>
      </c>
      <c r="E143" t="s">
        <v>40</v>
      </c>
      <c r="F143" t="s">
        <v>1480</v>
      </c>
      <c r="G143" t="s">
        <v>2235</v>
      </c>
      <c r="H143" t="s">
        <v>188</v>
      </c>
      <c r="I143" t="s">
        <v>2236</v>
      </c>
      <c r="J143" t="s">
        <v>2237</v>
      </c>
      <c r="K143" t="s">
        <v>2237</v>
      </c>
      <c r="L143" t="s">
        <v>2237</v>
      </c>
      <c r="M143" t="s">
        <v>2238</v>
      </c>
      <c r="N143">
        <v>441877</v>
      </c>
      <c r="O143">
        <v>1344000</v>
      </c>
      <c r="P143" t="s">
        <v>2239</v>
      </c>
      <c r="Q143" s="1">
        <v>45588</v>
      </c>
      <c r="R143" t="s">
        <v>2240</v>
      </c>
      <c r="S143" t="s">
        <v>2241</v>
      </c>
      <c r="T143" t="s">
        <v>51</v>
      </c>
      <c r="U143" t="s">
        <v>48</v>
      </c>
      <c r="V143" t="s">
        <v>2242</v>
      </c>
      <c r="W143" t="s">
        <v>198</v>
      </c>
      <c r="X143" t="s">
        <v>2243</v>
      </c>
      <c r="Y143" t="s">
        <v>1504</v>
      </c>
      <c r="Z143" t="s">
        <v>824</v>
      </c>
      <c r="AA143" t="s">
        <v>2244</v>
      </c>
      <c r="AB143">
        <v>7</v>
      </c>
      <c r="AC143" t="s">
        <v>58</v>
      </c>
      <c r="AD143" t="s">
        <v>2245</v>
      </c>
      <c r="AE143" t="s">
        <v>2246</v>
      </c>
      <c r="AF143" t="s">
        <v>61</v>
      </c>
      <c r="AG143">
        <v>1008000</v>
      </c>
      <c r="AH143" s="13">
        <v>20160</v>
      </c>
      <c r="AL143" t="s">
        <v>6031</v>
      </c>
      <c r="AM143" s="13">
        <v>20160</v>
      </c>
      <c r="AN143" s="16">
        <f>Table9[[#This Row],[Premium]]-Table9[[#This Row],[Tms prem]]</f>
        <v>0</v>
      </c>
    </row>
    <row r="144" spans="1:40" x14ac:dyDescent="0.25">
      <c r="A144">
        <v>168</v>
      </c>
      <c r="B144" t="s">
        <v>37</v>
      </c>
      <c r="C144" t="s">
        <v>2260</v>
      </c>
      <c r="D144" t="s">
        <v>39</v>
      </c>
      <c r="E144" t="s">
        <v>40</v>
      </c>
      <c r="F144" t="s">
        <v>2261</v>
      </c>
      <c r="G144" t="s">
        <v>2262</v>
      </c>
      <c r="H144" t="s">
        <v>188</v>
      </c>
      <c r="I144" t="s">
        <v>2263</v>
      </c>
      <c r="J144" t="s">
        <v>2264</v>
      </c>
      <c r="K144" t="s">
        <v>2265</v>
      </c>
      <c r="L144" t="s">
        <v>2266</v>
      </c>
      <c r="M144" t="s">
        <v>2267</v>
      </c>
      <c r="N144">
        <v>1447078</v>
      </c>
      <c r="O144">
        <v>9167000</v>
      </c>
      <c r="P144" t="s">
        <v>2268</v>
      </c>
      <c r="Q144" s="1">
        <v>45587</v>
      </c>
      <c r="R144" t="s">
        <v>2269</v>
      </c>
      <c r="S144" t="s">
        <v>2270</v>
      </c>
      <c r="T144" t="s">
        <v>51</v>
      </c>
      <c r="U144" t="s">
        <v>48</v>
      </c>
      <c r="V144" t="s">
        <v>2271</v>
      </c>
      <c r="W144" t="s">
        <v>198</v>
      </c>
      <c r="X144" t="s">
        <v>2272</v>
      </c>
      <c r="Y144" t="s">
        <v>1504</v>
      </c>
      <c r="Z144" t="s">
        <v>1518</v>
      </c>
      <c r="AA144" t="s">
        <v>2273</v>
      </c>
      <c r="AB144">
        <v>5</v>
      </c>
      <c r="AC144" t="s">
        <v>556</v>
      </c>
      <c r="AD144" t="s">
        <v>2274</v>
      </c>
      <c r="AE144" t="s">
        <v>2275</v>
      </c>
      <c r="AF144" t="s">
        <v>882</v>
      </c>
      <c r="AG144">
        <v>6875250</v>
      </c>
      <c r="AH144" s="13">
        <v>103129</v>
      </c>
      <c r="AL144" t="s">
        <v>6032</v>
      </c>
      <c r="AM144" s="13">
        <v>103129</v>
      </c>
      <c r="AN144" s="16">
        <f>Table9[[#This Row],[Premium]]-Table9[[#This Row],[Tms prem]]</f>
        <v>0</v>
      </c>
    </row>
    <row r="145" spans="1:40" x14ac:dyDescent="0.25">
      <c r="A145">
        <v>169</v>
      </c>
      <c r="B145" t="s">
        <v>37</v>
      </c>
      <c r="C145" t="s">
        <v>2276</v>
      </c>
      <c r="D145" t="s">
        <v>39</v>
      </c>
      <c r="E145" t="s">
        <v>40</v>
      </c>
      <c r="F145" t="s">
        <v>1961</v>
      </c>
      <c r="G145" t="s">
        <v>2277</v>
      </c>
      <c r="H145" t="s">
        <v>65</v>
      </c>
      <c r="I145" t="s">
        <v>2278</v>
      </c>
      <c r="J145" t="s">
        <v>2279</v>
      </c>
      <c r="K145" t="s">
        <v>48</v>
      </c>
      <c r="L145" t="s">
        <v>2279</v>
      </c>
      <c r="M145" t="s">
        <v>2280</v>
      </c>
      <c r="N145">
        <v>657916</v>
      </c>
      <c r="O145">
        <v>2574000</v>
      </c>
      <c r="P145" t="s">
        <v>2281</v>
      </c>
      <c r="Q145" s="1">
        <v>45587</v>
      </c>
      <c r="R145" t="s">
        <v>2282</v>
      </c>
      <c r="S145" t="s">
        <v>2283</v>
      </c>
      <c r="T145" t="s">
        <v>51</v>
      </c>
      <c r="U145" t="s">
        <v>48</v>
      </c>
      <c r="V145" t="s">
        <v>2284</v>
      </c>
      <c r="W145" t="s">
        <v>198</v>
      </c>
      <c r="X145" t="s">
        <v>2285</v>
      </c>
      <c r="Y145" t="s">
        <v>1504</v>
      </c>
      <c r="Z145" t="s">
        <v>1518</v>
      </c>
      <c r="AA145" t="s">
        <v>2286</v>
      </c>
      <c r="AB145">
        <v>5</v>
      </c>
      <c r="AC145" t="s">
        <v>556</v>
      </c>
      <c r="AD145" t="s">
        <v>2287</v>
      </c>
      <c r="AE145" t="s">
        <v>2288</v>
      </c>
      <c r="AF145" t="s">
        <v>61</v>
      </c>
      <c r="AG145">
        <v>1930500</v>
      </c>
      <c r="AH145" s="13">
        <v>38610</v>
      </c>
      <c r="AL145" t="s">
        <v>6033</v>
      </c>
      <c r="AM145" s="13">
        <v>38610</v>
      </c>
      <c r="AN145" s="16">
        <f>Table9[[#This Row],[Premium]]-Table9[[#This Row],[Tms prem]]</f>
        <v>0</v>
      </c>
    </row>
    <row r="146" spans="1:40" x14ac:dyDescent="0.25">
      <c r="A146">
        <v>170</v>
      </c>
      <c r="B146" t="s">
        <v>37</v>
      </c>
      <c r="C146" t="s">
        <v>2289</v>
      </c>
      <c r="D146" t="s">
        <v>39</v>
      </c>
      <c r="E146" t="s">
        <v>40</v>
      </c>
      <c r="F146" t="s">
        <v>2290</v>
      </c>
      <c r="G146" t="s">
        <v>2291</v>
      </c>
      <c r="H146" t="s">
        <v>188</v>
      </c>
      <c r="I146" t="s">
        <v>2292</v>
      </c>
      <c r="J146" t="s">
        <v>2293</v>
      </c>
      <c r="K146" t="s">
        <v>2294</v>
      </c>
      <c r="L146" t="s">
        <v>438</v>
      </c>
      <c r="M146" t="s">
        <v>2295</v>
      </c>
      <c r="N146">
        <v>1045172</v>
      </c>
      <c r="O146">
        <v>2500000</v>
      </c>
      <c r="P146" t="s">
        <v>2296</v>
      </c>
      <c r="Q146" s="1">
        <v>45587</v>
      </c>
      <c r="R146" t="s">
        <v>2297</v>
      </c>
      <c r="S146" t="s">
        <v>2298</v>
      </c>
      <c r="T146" t="s">
        <v>1516</v>
      </c>
      <c r="U146" t="s">
        <v>48</v>
      </c>
      <c r="V146" t="s">
        <v>2299</v>
      </c>
      <c r="W146" t="s">
        <v>1393</v>
      </c>
      <c r="X146" t="s">
        <v>2141</v>
      </c>
      <c r="Y146" t="s">
        <v>2141</v>
      </c>
      <c r="Z146" t="s">
        <v>1229</v>
      </c>
      <c r="AA146" t="s">
        <v>2300</v>
      </c>
      <c r="AB146">
        <v>7</v>
      </c>
      <c r="AC146" t="s">
        <v>556</v>
      </c>
      <c r="AD146" t="s">
        <v>2301</v>
      </c>
      <c r="AE146" t="s">
        <v>2275</v>
      </c>
      <c r="AF146" t="s">
        <v>61</v>
      </c>
      <c r="AG146">
        <v>1875000</v>
      </c>
      <c r="AH146" s="13">
        <v>37500</v>
      </c>
      <c r="AL146" t="s">
        <v>6034</v>
      </c>
      <c r="AM146" s="13">
        <v>37500</v>
      </c>
      <c r="AN146" s="16">
        <f>Table9[[#This Row],[Premium]]-Table9[[#This Row],[Tms prem]]</f>
        <v>0</v>
      </c>
    </row>
    <row r="147" spans="1:40" x14ac:dyDescent="0.25">
      <c r="A147">
        <v>171</v>
      </c>
      <c r="B147" t="s">
        <v>37</v>
      </c>
      <c r="C147" t="s">
        <v>2302</v>
      </c>
      <c r="D147" t="s">
        <v>39</v>
      </c>
      <c r="E147" t="s">
        <v>40</v>
      </c>
      <c r="F147" t="s">
        <v>470</v>
      </c>
      <c r="G147" t="s">
        <v>2303</v>
      </c>
      <c r="H147" t="s">
        <v>83</v>
      </c>
      <c r="I147" t="s">
        <v>2304</v>
      </c>
      <c r="J147" t="s">
        <v>2305</v>
      </c>
      <c r="K147" t="s">
        <v>2306</v>
      </c>
      <c r="L147" t="s">
        <v>2307</v>
      </c>
      <c r="M147" t="s">
        <v>2308</v>
      </c>
      <c r="N147">
        <v>403654</v>
      </c>
      <c r="O147">
        <v>1733000</v>
      </c>
      <c r="P147" t="s">
        <v>2309</v>
      </c>
      <c r="Q147" s="1">
        <v>45587</v>
      </c>
      <c r="R147" t="s">
        <v>2310</v>
      </c>
      <c r="S147" t="s">
        <v>2311</v>
      </c>
      <c r="T147" t="s">
        <v>51</v>
      </c>
      <c r="U147" t="s">
        <v>2312</v>
      </c>
      <c r="V147" t="s">
        <v>1252</v>
      </c>
      <c r="W147" t="s">
        <v>1054</v>
      </c>
      <c r="X147" t="s">
        <v>2313</v>
      </c>
      <c r="Y147" t="s">
        <v>1056</v>
      </c>
      <c r="Z147" t="s">
        <v>1363</v>
      </c>
      <c r="AA147" t="s">
        <v>2314</v>
      </c>
      <c r="AB147">
        <v>7</v>
      </c>
      <c r="AC147" t="s">
        <v>123</v>
      </c>
      <c r="AD147" t="s">
        <v>2315</v>
      </c>
      <c r="AE147" t="s">
        <v>1362</v>
      </c>
      <c r="AF147" t="s">
        <v>1061</v>
      </c>
      <c r="AG147">
        <v>1126450</v>
      </c>
      <c r="AH147" s="13">
        <v>34920</v>
      </c>
      <c r="AL147" t="s">
        <v>6035</v>
      </c>
      <c r="AM147" s="13">
        <v>34920</v>
      </c>
      <c r="AN147" s="16">
        <f>Table9[[#This Row],[Premium]]-Table9[[#This Row],[Tms prem]]</f>
        <v>0</v>
      </c>
    </row>
    <row r="148" spans="1:40" x14ac:dyDescent="0.25">
      <c r="A148">
        <v>173</v>
      </c>
      <c r="B148" t="s">
        <v>37</v>
      </c>
      <c r="C148" t="s">
        <v>2329</v>
      </c>
      <c r="D148" t="s">
        <v>39</v>
      </c>
      <c r="E148" t="s">
        <v>40</v>
      </c>
      <c r="F148" t="s">
        <v>2330</v>
      </c>
      <c r="G148" t="s">
        <v>2331</v>
      </c>
      <c r="H148" t="s">
        <v>83</v>
      </c>
      <c r="I148" t="s">
        <v>2332</v>
      </c>
      <c r="J148" t="s">
        <v>2333</v>
      </c>
      <c r="K148" t="s">
        <v>2333</v>
      </c>
      <c r="L148" t="s">
        <v>2333</v>
      </c>
      <c r="M148" t="s">
        <v>2334</v>
      </c>
      <c r="N148">
        <v>479439</v>
      </c>
      <c r="O148">
        <v>1633000</v>
      </c>
      <c r="P148" t="s">
        <v>2335</v>
      </c>
      <c r="Q148" s="1">
        <v>45587</v>
      </c>
      <c r="R148" t="s">
        <v>2336</v>
      </c>
      <c r="S148" t="s">
        <v>2337</v>
      </c>
      <c r="T148" t="s">
        <v>51</v>
      </c>
      <c r="U148" t="s">
        <v>48</v>
      </c>
      <c r="V148" t="s">
        <v>389</v>
      </c>
      <c r="W148" t="s">
        <v>198</v>
      </c>
      <c r="X148" t="s">
        <v>1974</v>
      </c>
      <c r="Y148" t="s">
        <v>2141</v>
      </c>
      <c r="Z148" t="s">
        <v>1229</v>
      </c>
      <c r="AA148" t="s">
        <v>2338</v>
      </c>
      <c r="AB148">
        <v>7</v>
      </c>
      <c r="AC148" t="s">
        <v>78</v>
      </c>
      <c r="AD148" t="s">
        <v>2339</v>
      </c>
      <c r="AE148" t="s">
        <v>2185</v>
      </c>
      <c r="AF148" t="s">
        <v>61</v>
      </c>
      <c r="AG148">
        <v>1224750</v>
      </c>
      <c r="AH148" s="13">
        <v>24495</v>
      </c>
      <c r="AL148" t="s">
        <v>6036</v>
      </c>
      <c r="AM148" s="13">
        <v>24495</v>
      </c>
      <c r="AN148" s="16">
        <f>Table9[[#This Row],[Premium]]-Table9[[#This Row],[Tms prem]]</f>
        <v>0</v>
      </c>
    </row>
    <row r="149" spans="1:40" x14ac:dyDescent="0.25">
      <c r="A149">
        <v>174</v>
      </c>
      <c r="B149" t="s">
        <v>37</v>
      </c>
      <c r="C149" t="s">
        <v>2340</v>
      </c>
      <c r="D149" t="s">
        <v>39</v>
      </c>
      <c r="E149" t="s">
        <v>40</v>
      </c>
      <c r="F149" t="s">
        <v>789</v>
      </c>
      <c r="G149" t="s">
        <v>2341</v>
      </c>
      <c r="H149" t="s">
        <v>83</v>
      </c>
      <c r="I149" t="s">
        <v>2342</v>
      </c>
      <c r="J149" t="s">
        <v>2343</v>
      </c>
      <c r="K149" t="s">
        <v>2343</v>
      </c>
      <c r="L149" t="s">
        <v>2343</v>
      </c>
      <c r="M149" t="s">
        <v>2344</v>
      </c>
      <c r="N149">
        <v>269742</v>
      </c>
      <c r="O149">
        <v>1145000</v>
      </c>
      <c r="P149" t="s">
        <v>2345</v>
      </c>
      <c r="Q149" s="1">
        <v>45587</v>
      </c>
      <c r="R149" t="s">
        <v>2346</v>
      </c>
      <c r="S149" t="s">
        <v>2347</v>
      </c>
      <c r="T149" t="s">
        <v>196</v>
      </c>
      <c r="U149" t="s">
        <v>2348</v>
      </c>
      <c r="V149" t="s">
        <v>2349</v>
      </c>
      <c r="W149" t="s">
        <v>1054</v>
      </c>
      <c r="X149" t="s">
        <v>2185</v>
      </c>
      <c r="Y149" t="s">
        <v>2141</v>
      </c>
      <c r="Z149" t="s">
        <v>1363</v>
      </c>
      <c r="AA149" t="s">
        <v>2350</v>
      </c>
      <c r="AB149">
        <v>5</v>
      </c>
      <c r="AC149" t="s">
        <v>78</v>
      </c>
      <c r="AD149" t="s">
        <v>2351</v>
      </c>
      <c r="AE149" t="s">
        <v>2275</v>
      </c>
      <c r="AF149" t="s">
        <v>61</v>
      </c>
      <c r="AG149">
        <v>858750</v>
      </c>
      <c r="AH149" s="13">
        <v>17175</v>
      </c>
      <c r="AL149" t="s">
        <v>6037</v>
      </c>
      <c r="AM149" s="13">
        <v>17175</v>
      </c>
      <c r="AN149" s="16">
        <f>Table9[[#This Row],[Premium]]-Table9[[#This Row],[Tms prem]]</f>
        <v>0</v>
      </c>
    </row>
    <row r="150" spans="1:40" x14ac:dyDescent="0.25">
      <c r="A150">
        <v>175</v>
      </c>
      <c r="B150" t="s">
        <v>2352</v>
      </c>
      <c r="C150" t="s">
        <v>2353</v>
      </c>
      <c r="D150" t="s">
        <v>39</v>
      </c>
      <c r="E150" t="s">
        <v>40</v>
      </c>
      <c r="F150" t="s">
        <v>1814</v>
      </c>
      <c r="G150" t="s">
        <v>2354</v>
      </c>
      <c r="H150" t="s">
        <v>43</v>
      </c>
      <c r="I150" t="s">
        <v>2355</v>
      </c>
      <c r="J150" t="s">
        <v>2356</v>
      </c>
      <c r="K150" t="s">
        <v>2357</v>
      </c>
      <c r="L150" t="s">
        <v>2358</v>
      </c>
      <c r="M150" t="s">
        <v>2359</v>
      </c>
      <c r="N150">
        <v>359018</v>
      </c>
      <c r="O150">
        <v>1340000</v>
      </c>
      <c r="P150" t="s">
        <v>2360</v>
      </c>
      <c r="Q150" s="1">
        <v>45586</v>
      </c>
      <c r="R150" t="s">
        <v>2361</v>
      </c>
      <c r="S150" t="s">
        <v>2362</v>
      </c>
      <c r="T150" t="s">
        <v>51</v>
      </c>
      <c r="U150" t="s">
        <v>2363</v>
      </c>
      <c r="V150" t="s">
        <v>1105</v>
      </c>
      <c r="W150" t="s">
        <v>1054</v>
      </c>
      <c r="X150" t="s">
        <v>2313</v>
      </c>
      <c r="Y150" t="s">
        <v>1056</v>
      </c>
      <c r="Z150" t="s">
        <v>1363</v>
      </c>
      <c r="AA150" t="s">
        <v>2364</v>
      </c>
      <c r="AB150">
        <v>7</v>
      </c>
      <c r="AC150" t="s">
        <v>78</v>
      </c>
      <c r="AD150" t="s">
        <v>2365</v>
      </c>
      <c r="AE150" t="s">
        <v>1362</v>
      </c>
      <c r="AF150" t="s">
        <v>1061</v>
      </c>
      <c r="AG150">
        <v>871000</v>
      </c>
      <c r="AH150" s="13">
        <v>27001</v>
      </c>
      <c r="AL150" t="s">
        <v>6038</v>
      </c>
      <c r="AM150" s="13">
        <v>27001</v>
      </c>
      <c r="AN150" s="16">
        <f>Table9[[#This Row],[Premium]]-Table9[[#This Row],[Tms prem]]</f>
        <v>0</v>
      </c>
    </row>
    <row r="151" spans="1:40" x14ac:dyDescent="0.25">
      <c r="A151">
        <v>176</v>
      </c>
      <c r="B151" t="s">
        <v>37</v>
      </c>
      <c r="C151" t="s">
        <v>2366</v>
      </c>
      <c r="D151" t="s">
        <v>39</v>
      </c>
      <c r="E151" t="s">
        <v>40</v>
      </c>
      <c r="F151" t="s">
        <v>2367</v>
      </c>
      <c r="G151" t="s">
        <v>2368</v>
      </c>
      <c r="H151" t="s">
        <v>83</v>
      </c>
      <c r="I151" t="s">
        <v>2369</v>
      </c>
      <c r="J151" t="s">
        <v>2370</v>
      </c>
      <c r="K151" t="s">
        <v>2370</v>
      </c>
      <c r="L151" t="s">
        <v>2370</v>
      </c>
      <c r="M151" t="s">
        <v>2371</v>
      </c>
      <c r="N151">
        <v>1040409</v>
      </c>
      <c r="O151">
        <v>5430000</v>
      </c>
      <c r="P151" t="s">
        <v>2372</v>
      </c>
      <c r="Q151" s="1">
        <v>45586</v>
      </c>
      <c r="R151" t="s">
        <v>2373</v>
      </c>
      <c r="S151" t="s">
        <v>2374</v>
      </c>
      <c r="T151" t="s">
        <v>51</v>
      </c>
      <c r="U151" t="s">
        <v>48</v>
      </c>
      <c r="V151" t="s">
        <v>521</v>
      </c>
      <c r="W151" t="s">
        <v>198</v>
      </c>
      <c r="X151" t="s">
        <v>2275</v>
      </c>
      <c r="Y151" t="s">
        <v>2141</v>
      </c>
      <c r="Z151" t="s">
        <v>1363</v>
      </c>
      <c r="AA151" t="s">
        <v>2375</v>
      </c>
      <c r="AB151">
        <v>5</v>
      </c>
      <c r="AC151" t="s">
        <v>48</v>
      </c>
      <c r="AD151" t="s">
        <v>48</v>
      </c>
      <c r="AE151" t="s">
        <v>48</v>
      </c>
      <c r="AF151" t="s">
        <v>882</v>
      </c>
      <c r="AG151">
        <v>4072500</v>
      </c>
      <c r="AH151" s="13">
        <v>61088</v>
      </c>
      <c r="AL151" t="s">
        <v>6039</v>
      </c>
      <c r="AM151" s="13">
        <v>61088</v>
      </c>
      <c r="AN151" s="16">
        <f>Table9[[#This Row],[Premium]]-Table9[[#This Row],[Tms prem]]</f>
        <v>0</v>
      </c>
    </row>
    <row r="152" spans="1:40" x14ac:dyDescent="0.25">
      <c r="A152">
        <v>177</v>
      </c>
      <c r="B152" t="s">
        <v>37</v>
      </c>
      <c r="C152" t="s">
        <v>2376</v>
      </c>
      <c r="D152" t="s">
        <v>39</v>
      </c>
      <c r="E152" t="s">
        <v>40</v>
      </c>
      <c r="F152" t="s">
        <v>2377</v>
      </c>
      <c r="G152" t="s">
        <v>2378</v>
      </c>
      <c r="H152" t="s">
        <v>83</v>
      </c>
      <c r="I152" t="s">
        <v>2379</v>
      </c>
      <c r="J152" t="s">
        <v>2380</v>
      </c>
      <c r="K152" t="s">
        <v>2380</v>
      </c>
      <c r="L152" t="s">
        <v>2380</v>
      </c>
      <c r="M152" t="s">
        <v>2381</v>
      </c>
      <c r="N152">
        <v>1320117</v>
      </c>
      <c r="O152">
        <v>2645000</v>
      </c>
      <c r="P152" t="s">
        <v>2382</v>
      </c>
      <c r="Q152" s="1">
        <v>45586</v>
      </c>
      <c r="R152" t="s">
        <v>2383</v>
      </c>
      <c r="S152" t="s">
        <v>2384</v>
      </c>
      <c r="T152" t="s">
        <v>51</v>
      </c>
      <c r="U152" t="s">
        <v>48</v>
      </c>
      <c r="V152" t="s">
        <v>2284</v>
      </c>
      <c r="W152" t="s">
        <v>198</v>
      </c>
      <c r="X152" t="s">
        <v>2185</v>
      </c>
      <c r="Y152" t="s">
        <v>2141</v>
      </c>
      <c r="Z152" t="s">
        <v>1229</v>
      </c>
      <c r="AA152" t="s">
        <v>2385</v>
      </c>
      <c r="AB152">
        <v>7</v>
      </c>
      <c r="AC152" t="s">
        <v>78</v>
      </c>
      <c r="AD152" t="s">
        <v>2386</v>
      </c>
      <c r="AE152" t="s">
        <v>2275</v>
      </c>
      <c r="AF152" t="s">
        <v>882</v>
      </c>
      <c r="AG152">
        <v>1983750</v>
      </c>
      <c r="AH152" s="13">
        <v>29756</v>
      </c>
      <c r="AL152" t="s">
        <v>6040</v>
      </c>
      <c r="AM152" s="13">
        <v>29756</v>
      </c>
      <c r="AN152" s="16">
        <f>Table9[[#This Row],[Premium]]-Table9[[#This Row],[Tms prem]]</f>
        <v>0</v>
      </c>
    </row>
    <row r="153" spans="1:40" x14ac:dyDescent="0.25">
      <c r="A153">
        <v>178</v>
      </c>
      <c r="B153" t="s">
        <v>37</v>
      </c>
      <c r="C153" t="s">
        <v>2387</v>
      </c>
      <c r="D153" t="s">
        <v>39</v>
      </c>
      <c r="E153" t="s">
        <v>40</v>
      </c>
      <c r="F153" t="s">
        <v>841</v>
      </c>
      <c r="G153" t="s">
        <v>2388</v>
      </c>
      <c r="H153" t="s">
        <v>2024</v>
      </c>
      <c r="I153" t="s">
        <v>2389</v>
      </c>
      <c r="J153" t="s">
        <v>48</v>
      </c>
      <c r="K153" t="s">
        <v>2390</v>
      </c>
      <c r="L153" t="s">
        <v>48</v>
      </c>
      <c r="M153" t="s">
        <v>2391</v>
      </c>
      <c r="N153">
        <v>631642</v>
      </c>
      <c r="O153">
        <v>2657000</v>
      </c>
      <c r="P153" t="s">
        <v>2392</v>
      </c>
      <c r="Q153" s="1">
        <v>45586</v>
      </c>
      <c r="R153" t="s">
        <v>2393</v>
      </c>
      <c r="S153" t="s">
        <v>2394</v>
      </c>
      <c r="T153" t="s">
        <v>51</v>
      </c>
      <c r="U153" t="s">
        <v>48</v>
      </c>
      <c r="V153" t="s">
        <v>240</v>
      </c>
      <c r="W153" t="s">
        <v>198</v>
      </c>
      <c r="X153" t="s">
        <v>1503</v>
      </c>
      <c r="Y153" t="s">
        <v>1504</v>
      </c>
      <c r="Z153" t="s">
        <v>1518</v>
      </c>
      <c r="AA153" t="s">
        <v>2395</v>
      </c>
      <c r="AB153">
        <v>5</v>
      </c>
      <c r="AC153" t="s">
        <v>556</v>
      </c>
      <c r="AD153" t="s">
        <v>2396</v>
      </c>
      <c r="AE153" t="s">
        <v>2285</v>
      </c>
      <c r="AF153" t="s">
        <v>61</v>
      </c>
      <c r="AG153">
        <v>1992750</v>
      </c>
      <c r="AH153" s="13">
        <v>39855</v>
      </c>
      <c r="AL153" t="s">
        <v>6041</v>
      </c>
      <c r="AM153" s="13">
        <v>39855</v>
      </c>
      <c r="AN153" s="16">
        <f>Table9[[#This Row],[Premium]]-Table9[[#This Row],[Tms prem]]</f>
        <v>0</v>
      </c>
    </row>
    <row r="154" spans="1:40" x14ac:dyDescent="0.25">
      <c r="A154">
        <v>179</v>
      </c>
      <c r="B154" t="s">
        <v>37</v>
      </c>
      <c r="C154" t="s">
        <v>2397</v>
      </c>
      <c r="D154" t="s">
        <v>39</v>
      </c>
      <c r="E154" t="s">
        <v>40</v>
      </c>
      <c r="F154" t="s">
        <v>2290</v>
      </c>
      <c r="G154" t="s">
        <v>2398</v>
      </c>
      <c r="H154" t="s">
        <v>188</v>
      </c>
      <c r="I154" t="s">
        <v>2399</v>
      </c>
      <c r="J154" t="s">
        <v>514</v>
      </c>
      <c r="K154" t="s">
        <v>2400</v>
      </c>
      <c r="L154" t="s">
        <v>2401</v>
      </c>
      <c r="M154" t="s">
        <v>2402</v>
      </c>
      <c r="N154">
        <v>525618</v>
      </c>
      <c r="O154">
        <v>2075000</v>
      </c>
      <c r="P154" t="s">
        <v>2403</v>
      </c>
      <c r="Q154" s="1">
        <v>45586</v>
      </c>
      <c r="R154" t="s">
        <v>2404</v>
      </c>
      <c r="S154" t="s">
        <v>2405</v>
      </c>
      <c r="T154" t="s">
        <v>196</v>
      </c>
      <c r="U154" t="s">
        <v>2406</v>
      </c>
      <c r="V154" t="s">
        <v>1654</v>
      </c>
      <c r="W154" t="s">
        <v>1393</v>
      </c>
      <c r="X154" t="s">
        <v>2141</v>
      </c>
      <c r="Y154" t="s">
        <v>2141</v>
      </c>
      <c r="Z154" t="s">
        <v>1363</v>
      </c>
      <c r="AA154" t="s">
        <v>2407</v>
      </c>
      <c r="AB154">
        <v>5</v>
      </c>
      <c r="AC154" t="s">
        <v>556</v>
      </c>
      <c r="AD154" t="s">
        <v>2408</v>
      </c>
      <c r="AE154" t="s">
        <v>2285</v>
      </c>
      <c r="AF154" t="s">
        <v>61</v>
      </c>
      <c r="AG154">
        <v>1556250</v>
      </c>
      <c r="AH154" s="13">
        <v>31125</v>
      </c>
      <c r="AL154" t="s">
        <v>6042</v>
      </c>
      <c r="AM154" s="13">
        <v>31125</v>
      </c>
      <c r="AN154" s="16">
        <f>Table9[[#This Row],[Premium]]-Table9[[#This Row],[Tms prem]]</f>
        <v>0</v>
      </c>
    </row>
    <row r="155" spans="1:40" x14ac:dyDescent="0.25">
      <c r="A155">
        <v>180</v>
      </c>
      <c r="B155" t="s">
        <v>37</v>
      </c>
      <c r="C155" t="s">
        <v>2409</v>
      </c>
      <c r="D155" t="s">
        <v>39</v>
      </c>
      <c r="E155" t="s">
        <v>40</v>
      </c>
      <c r="F155" t="s">
        <v>2410</v>
      </c>
      <c r="G155" t="s">
        <v>2411</v>
      </c>
      <c r="H155" t="s">
        <v>188</v>
      </c>
      <c r="I155" t="s">
        <v>2412</v>
      </c>
      <c r="J155" t="s">
        <v>48</v>
      </c>
      <c r="K155" t="s">
        <v>2413</v>
      </c>
      <c r="L155" t="s">
        <v>48</v>
      </c>
      <c r="M155" t="s">
        <v>2414</v>
      </c>
      <c r="N155">
        <v>407561</v>
      </c>
      <c r="O155">
        <v>1730000</v>
      </c>
      <c r="P155" t="s">
        <v>2415</v>
      </c>
      <c r="Q155" s="1">
        <v>45586</v>
      </c>
      <c r="R155" t="s">
        <v>2416</v>
      </c>
      <c r="S155" t="s">
        <v>2417</v>
      </c>
      <c r="T155" t="s">
        <v>51</v>
      </c>
      <c r="U155" t="s">
        <v>48</v>
      </c>
      <c r="V155" t="s">
        <v>364</v>
      </c>
      <c r="W155" t="s">
        <v>198</v>
      </c>
      <c r="X155" t="s">
        <v>2185</v>
      </c>
      <c r="Y155" t="s">
        <v>2141</v>
      </c>
      <c r="Z155" t="s">
        <v>1363</v>
      </c>
      <c r="AA155" t="s">
        <v>2418</v>
      </c>
      <c r="AB155">
        <v>5</v>
      </c>
      <c r="AC155" t="s">
        <v>556</v>
      </c>
      <c r="AD155" t="s">
        <v>2419</v>
      </c>
      <c r="AE155" t="s">
        <v>2285</v>
      </c>
      <c r="AF155" t="s">
        <v>61</v>
      </c>
      <c r="AG155">
        <v>1297500</v>
      </c>
      <c r="AH155" s="13">
        <v>25950</v>
      </c>
      <c r="AL155" t="s">
        <v>6043</v>
      </c>
      <c r="AM155" s="13">
        <v>25950</v>
      </c>
      <c r="AN155" s="16">
        <f>Table9[[#This Row],[Premium]]-Table9[[#This Row],[Tms prem]]</f>
        <v>0</v>
      </c>
    </row>
    <row r="156" spans="1:40" x14ac:dyDescent="0.25">
      <c r="A156">
        <v>181</v>
      </c>
      <c r="B156" t="s">
        <v>37</v>
      </c>
      <c r="C156" t="s">
        <v>2420</v>
      </c>
      <c r="D156" t="s">
        <v>39</v>
      </c>
      <c r="E156" t="s">
        <v>40</v>
      </c>
      <c r="F156" t="s">
        <v>2367</v>
      </c>
      <c r="G156" t="s">
        <v>2421</v>
      </c>
      <c r="H156" t="s">
        <v>83</v>
      </c>
      <c r="I156" t="s">
        <v>2422</v>
      </c>
      <c r="J156" t="s">
        <v>514</v>
      </c>
      <c r="K156" t="s">
        <v>2423</v>
      </c>
      <c r="L156" t="s">
        <v>2424</v>
      </c>
      <c r="M156" t="s">
        <v>2425</v>
      </c>
      <c r="N156">
        <v>382439</v>
      </c>
      <c r="O156">
        <v>2083000</v>
      </c>
      <c r="P156" t="s">
        <v>2426</v>
      </c>
      <c r="Q156" s="1">
        <v>45586</v>
      </c>
      <c r="R156" t="s">
        <v>2427</v>
      </c>
      <c r="S156" t="s">
        <v>2428</v>
      </c>
      <c r="T156" t="s">
        <v>51</v>
      </c>
      <c r="U156" t="s">
        <v>2429</v>
      </c>
      <c r="V156" t="s">
        <v>2430</v>
      </c>
      <c r="W156" t="s">
        <v>1054</v>
      </c>
      <c r="X156" t="s">
        <v>2431</v>
      </c>
      <c r="Y156" t="s">
        <v>1056</v>
      </c>
      <c r="Z156" t="s">
        <v>1363</v>
      </c>
      <c r="AA156" t="s">
        <v>2432</v>
      </c>
      <c r="AB156">
        <v>7</v>
      </c>
      <c r="AC156" t="s">
        <v>78</v>
      </c>
      <c r="AD156" t="s">
        <v>2433</v>
      </c>
      <c r="AE156" t="s">
        <v>2434</v>
      </c>
      <c r="AF156" t="s">
        <v>1061</v>
      </c>
      <c r="AG156">
        <v>1353950</v>
      </c>
      <c r="AH156" s="13">
        <v>41972</v>
      </c>
      <c r="AL156" t="s">
        <v>6044</v>
      </c>
      <c r="AM156" s="13">
        <v>41972</v>
      </c>
      <c r="AN156" s="16">
        <f>Table9[[#This Row],[Premium]]-Table9[[#This Row],[Tms prem]]</f>
        <v>0</v>
      </c>
    </row>
    <row r="157" spans="1:40" x14ac:dyDescent="0.25">
      <c r="A157">
        <v>182</v>
      </c>
      <c r="B157" t="s">
        <v>37</v>
      </c>
      <c r="C157" t="s">
        <v>2435</v>
      </c>
      <c r="D157" t="s">
        <v>39</v>
      </c>
      <c r="E157" t="s">
        <v>40</v>
      </c>
      <c r="F157" t="s">
        <v>853</v>
      </c>
      <c r="G157" t="s">
        <v>2436</v>
      </c>
      <c r="H157" t="s">
        <v>43</v>
      </c>
      <c r="I157" t="s">
        <v>2437</v>
      </c>
      <c r="J157" t="s">
        <v>2438</v>
      </c>
      <c r="K157" t="s">
        <v>2439</v>
      </c>
      <c r="L157" t="s">
        <v>2440</v>
      </c>
      <c r="M157" t="s">
        <v>2441</v>
      </c>
      <c r="N157">
        <v>1047830</v>
      </c>
      <c r="O157">
        <v>5099000</v>
      </c>
      <c r="P157" t="s">
        <v>2442</v>
      </c>
      <c r="Q157" s="1">
        <v>45585</v>
      </c>
      <c r="R157" t="s">
        <v>2443</v>
      </c>
      <c r="S157" t="s">
        <v>2444</v>
      </c>
      <c r="T157" t="s">
        <v>51</v>
      </c>
      <c r="U157" t="s">
        <v>48</v>
      </c>
      <c r="V157" t="s">
        <v>2445</v>
      </c>
      <c r="W157" t="s">
        <v>198</v>
      </c>
      <c r="X157" t="s">
        <v>2141</v>
      </c>
      <c r="Y157" t="s">
        <v>2141</v>
      </c>
      <c r="Z157" t="s">
        <v>1363</v>
      </c>
      <c r="AA157" t="s">
        <v>2446</v>
      </c>
      <c r="AB157">
        <v>5</v>
      </c>
      <c r="AC157" t="s">
        <v>78</v>
      </c>
      <c r="AD157" t="s">
        <v>2447</v>
      </c>
      <c r="AE157" t="s">
        <v>2448</v>
      </c>
      <c r="AF157" t="s">
        <v>882</v>
      </c>
      <c r="AG157">
        <v>3824250</v>
      </c>
      <c r="AH157" s="13">
        <v>57364</v>
      </c>
      <c r="AL157" t="s">
        <v>6045</v>
      </c>
      <c r="AM157" s="13">
        <v>57364</v>
      </c>
      <c r="AN157" s="16">
        <f>Table9[[#This Row],[Premium]]-Table9[[#This Row],[Tms prem]]</f>
        <v>0</v>
      </c>
    </row>
    <row r="158" spans="1:40" x14ac:dyDescent="0.25">
      <c r="A158">
        <v>183</v>
      </c>
      <c r="B158" t="s">
        <v>37</v>
      </c>
      <c r="C158" t="s">
        <v>2449</v>
      </c>
      <c r="D158" t="s">
        <v>39</v>
      </c>
      <c r="E158" t="s">
        <v>40</v>
      </c>
      <c r="F158" t="s">
        <v>2450</v>
      </c>
      <c r="G158" t="s">
        <v>2451</v>
      </c>
      <c r="H158" t="s">
        <v>128</v>
      </c>
      <c r="I158" t="s">
        <v>2452</v>
      </c>
      <c r="J158" t="s">
        <v>2453</v>
      </c>
      <c r="K158" t="s">
        <v>48</v>
      </c>
      <c r="L158" t="s">
        <v>438</v>
      </c>
      <c r="M158" t="s">
        <v>2454</v>
      </c>
      <c r="N158">
        <v>1015110</v>
      </c>
      <c r="O158">
        <v>4933000</v>
      </c>
      <c r="P158" t="s">
        <v>2455</v>
      </c>
      <c r="Q158" s="1">
        <v>45585</v>
      </c>
      <c r="R158" t="s">
        <v>2456</v>
      </c>
      <c r="S158" t="s">
        <v>2457</v>
      </c>
      <c r="T158" t="s">
        <v>51</v>
      </c>
      <c r="U158" t="s">
        <v>48</v>
      </c>
      <c r="V158" t="s">
        <v>521</v>
      </c>
      <c r="W158" t="s">
        <v>198</v>
      </c>
      <c r="X158" t="s">
        <v>2458</v>
      </c>
      <c r="Y158" t="s">
        <v>2141</v>
      </c>
      <c r="Z158" t="s">
        <v>1363</v>
      </c>
      <c r="AA158" t="s">
        <v>2459</v>
      </c>
      <c r="AB158">
        <v>5</v>
      </c>
      <c r="AC158" t="s">
        <v>48</v>
      </c>
      <c r="AD158" t="s">
        <v>48</v>
      </c>
      <c r="AE158" t="s">
        <v>48</v>
      </c>
      <c r="AF158" t="s">
        <v>882</v>
      </c>
      <c r="AG158">
        <v>3699750</v>
      </c>
      <c r="AH158" s="13">
        <v>55496</v>
      </c>
      <c r="AL158" t="s">
        <v>6046</v>
      </c>
      <c r="AM158" s="13">
        <v>55496</v>
      </c>
      <c r="AN158" s="16">
        <f>Table9[[#This Row],[Premium]]-Table9[[#This Row],[Tms prem]]</f>
        <v>0</v>
      </c>
    </row>
    <row r="159" spans="1:40" x14ac:dyDescent="0.25">
      <c r="A159">
        <v>184</v>
      </c>
      <c r="B159" t="s">
        <v>37</v>
      </c>
      <c r="C159" t="s">
        <v>2460</v>
      </c>
      <c r="D159" t="s">
        <v>39</v>
      </c>
      <c r="E159" t="s">
        <v>40</v>
      </c>
      <c r="F159" t="s">
        <v>763</v>
      </c>
      <c r="G159" t="s">
        <v>2461</v>
      </c>
      <c r="H159" t="s">
        <v>83</v>
      </c>
      <c r="I159" t="s">
        <v>2462</v>
      </c>
      <c r="J159" t="s">
        <v>2463</v>
      </c>
      <c r="K159" t="s">
        <v>2463</v>
      </c>
      <c r="L159" t="s">
        <v>2463</v>
      </c>
      <c r="M159" t="s">
        <v>2464</v>
      </c>
      <c r="N159">
        <v>505774</v>
      </c>
      <c r="O159">
        <v>1554000</v>
      </c>
      <c r="P159" t="s">
        <v>2465</v>
      </c>
      <c r="Q159" s="1">
        <v>45582</v>
      </c>
      <c r="R159" t="s">
        <v>2466</v>
      </c>
      <c r="S159" t="s">
        <v>2467</v>
      </c>
      <c r="T159" t="s">
        <v>51</v>
      </c>
      <c r="U159" t="s">
        <v>48</v>
      </c>
      <c r="V159" t="s">
        <v>2468</v>
      </c>
      <c r="W159" t="s">
        <v>53</v>
      </c>
      <c r="X159" t="s">
        <v>2469</v>
      </c>
      <c r="Y159" t="s">
        <v>152</v>
      </c>
      <c r="Z159" t="s">
        <v>153</v>
      </c>
      <c r="AA159" t="s">
        <v>2470</v>
      </c>
      <c r="AB159">
        <v>5</v>
      </c>
      <c r="AC159" t="s">
        <v>78</v>
      </c>
      <c r="AD159" t="s">
        <v>2471</v>
      </c>
      <c r="AE159" t="s">
        <v>1454</v>
      </c>
      <c r="AF159" t="s">
        <v>61</v>
      </c>
      <c r="AG159">
        <v>1243200</v>
      </c>
      <c r="AH159" s="13">
        <v>24864</v>
      </c>
      <c r="AL159" t="s">
        <v>6047</v>
      </c>
      <c r="AM159" s="13">
        <v>24864</v>
      </c>
      <c r="AN159" s="16">
        <f>Table9[[#This Row],[Premium]]-Table9[[#This Row],[Tms prem]]</f>
        <v>0</v>
      </c>
    </row>
    <row r="160" spans="1:40" x14ac:dyDescent="0.25">
      <c r="A160">
        <v>185</v>
      </c>
      <c r="B160" t="s">
        <v>37</v>
      </c>
      <c r="C160" t="s">
        <v>2472</v>
      </c>
      <c r="D160" t="s">
        <v>39</v>
      </c>
      <c r="E160" t="s">
        <v>40</v>
      </c>
      <c r="F160" t="s">
        <v>63</v>
      </c>
      <c r="G160" t="s">
        <v>2473</v>
      </c>
      <c r="H160" t="s">
        <v>83</v>
      </c>
      <c r="I160" t="s">
        <v>2474</v>
      </c>
      <c r="J160" t="s">
        <v>48</v>
      </c>
      <c r="K160" t="s">
        <v>2475</v>
      </c>
      <c r="L160" t="s">
        <v>48</v>
      </c>
      <c r="M160" t="s">
        <v>2476</v>
      </c>
      <c r="N160">
        <v>559930</v>
      </c>
      <c r="O160">
        <v>1655000</v>
      </c>
      <c r="P160" t="s">
        <v>2477</v>
      </c>
      <c r="Q160" s="1">
        <v>45582</v>
      </c>
      <c r="R160" t="s">
        <v>2478</v>
      </c>
      <c r="S160" t="s">
        <v>2479</v>
      </c>
      <c r="T160" t="s">
        <v>51</v>
      </c>
      <c r="U160" t="s">
        <v>48</v>
      </c>
      <c r="V160" t="s">
        <v>965</v>
      </c>
      <c r="W160" t="s">
        <v>53</v>
      </c>
      <c r="X160" t="s">
        <v>2480</v>
      </c>
      <c r="Y160" t="s">
        <v>152</v>
      </c>
      <c r="Z160" t="s">
        <v>153</v>
      </c>
      <c r="AA160" t="s">
        <v>2481</v>
      </c>
      <c r="AB160">
        <v>5</v>
      </c>
      <c r="AC160" t="s">
        <v>78</v>
      </c>
      <c r="AD160" t="s">
        <v>2482</v>
      </c>
      <c r="AE160" t="s">
        <v>492</v>
      </c>
      <c r="AF160" t="s">
        <v>61</v>
      </c>
      <c r="AG160">
        <v>1324000</v>
      </c>
      <c r="AH160" s="13">
        <v>26480</v>
      </c>
      <c r="AL160" t="s">
        <v>6048</v>
      </c>
      <c r="AM160" s="13">
        <v>26480</v>
      </c>
      <c r="AN160" s="16">
        <f>Table9[[#This Row],[Premium]]-Table9[[#This Row],[Tms prem]]</f>
        <v>0</v>
      </c>
    </row>
    <row r="161" spans="1:40" x14ac:dyDescent="0.25">
      <c r="A161">
        <v>186</v>
      </c>
      <c r="B161" t="s">
        <v>37</v>
      </c>
      <c r="C161" t="s">
        <v>2483</v>
      </c>
      <c r="D161" t="s">
        <v>39</v>
      </c>
      <c r="E161" t="s">
        <v>40</v>
      </c>
      <c r="F161" t="s">
        <v>186</v>
      </c>
      <c r="G161" t="s">
        <v>2484</v>
      </c>
      <c r="H161" t="s">
        <v>188</v>
      </c>
      <c r="I161" t="s">
        <v>2485</v>
      </c>
      <c r="J161" t="s">
        <v>48</v>
      </c>
      <c r="K161" t="s">
        <v>2486</v>
      </c>
      <c r="L161" t="s">
        <v>48</v>
      </c>
      <c r="M161" t="s">
        <v>2487</v>
      </c>
      <c r="N161">
        <v>577176</v>
      </c>
      <c r="O161">
        <v>2450000</v>
      </c>
      <c r="P161" t="s">
        <v>2488</v>
      </c>
      <c r="Q161" s="1">
        <v>45585</v>
      </c>
      <c r="R161" t="s">
        <v>2489</v>
      </c>
      <c r="S161" t="s">
        <v>2490</v>
      </c>
      <c r="T161" t="s">
        <v>1516</v>
      </c>
      <c r="U161" t="s">
        <v>48</v>
      </c>
      <c r="V161" t="s">
        <v>1580</v>
      </c>
      <c r="W161" t="s">
        <v>1393</v>
      </c>
      <c r="X161" t="s">
        <v>2275</v>
      </c>
      <c r="Y161" t="s">
        <v>2141</v>
      </c>
      <c r="Z161" t="s">
        <v>1363</v>
      </c>
      <c r="AA161" t="s">
        <v>2491</v>
      </c>
      <c r="AB161">
        <v>5</v>
      </c>
      <c r="AC161" t="s">
        <v>2492</v>
      </c>
      <c r="AD161" t="s">
        <v>2493</v>
      </c>
      <c r="AE161" t="s">
        <v>2448</v>
      </c>
      <c r="AF161" t="s">
        <v>61</v>
      </c>
      <c r="AG161">
        <v>1837500</v>
      </c>
      <c r="AH161" s="13">
        <v>36750</v>
      </c>
      <c r="AL161" t="s">
        <v>6049</v>
      </c>
      <c r="AM161" s="13">
        <v>36750</v>
      </c>
      <c r="AN161" s="16">
        <f>Table9[[#This Row],[Premium]]-Table9[[#This Row],[Tms prem]]</f>
        <v>0</v>
      </c>
    </row>
    <row r="162" spans="1:40" x14ac:dyDescent="0.25">
      <c r="A162">
        <v>187</v>
      </c>
      <c r="B162" t="s">
        <v>37</v>
      </c>
      <c r="C162" t="s">
        <v>2494</v>
      </c>
      <c r="D162" t="s">
        <v>39</v>
      </c>
      <c r="E162" t="s">
        <v>40</v>
      </c>
      <c r="F162" t="s">
        <v>63</v>
      </c>
      <c r="G162" t="s">
        <v>2495</v>
      </c>
      <c r="H162" t="s">
        <v>83</v>
      </c>
      <c r="I162" t="s">
        <v>2496</v>
      </c>
      <c r="J162" t="s">
        <v>2497</v>
      </c>
      <c r="K162" t="s">
        <v>2497</v>
      </c>
      <c r="L162" t="s">
        <v>2497</v>
      </c>
      <c r="M162" t="s">
        <v>2498</v>
      </c>
      <c r="N162">
        <v>656732</v>
      </c>
      <c r="O162">
        <v>1655000</v>
      </c>
      <c r="P162" t="s">
        <v>2499</v>
      </c>
      <c r="Q162" s="1">
        <v>45582</v>
      </c>
      <c r="R162" t="s">
        <v>2500</v>
      </c>
      <c r="S162" t="s">
        <v>2501</v>
      </c>
      <c r="T162" t="s">
        <v>51</v>
      </c>
      <c r="U162" t="s">
        <v>48</v>
      </c>
      <c r="V162" t="s">
        <v>965</v>
      </c>
      <c r="W162" t="s">
        <v>53</v>
      </c>
      <c r="X162" t="s">
        <v>823</v>
      </c>
      <c r="Y162" t="s">
        <v>152</v>
      </c>
      <c r="Z162" t="s">
        <v>153</v>
      </c>
      <c r="AA162" t="s">
        <v>2502</v>
      </c>
      <c r="AB162">
        <v>5</v>
      </c>
      <c r="AC162" t="s">
        <v>78</v>
      </c>
      <c r="AD162" t="s">
        <v>2503</v>
      </c>
      <c r="AE162" t="s">
        <v>492</v>
      </c>
      <c r="AF162" t="s">
        <v>61</v>
      </c>
      <c r="AG162">
        <v>1324000</v>
      </c>
      <c r="AH162" s="13">
        <v>26480</v>
      </c>
      <c r="AL162" t="s">
        <v>6050</v>
      </c>
      <c r="AM162" s="13">
        <v>26480</v>
      </c>
      <c r="AN162" s="16">
        <f>Table9[[#This Row],[Premium]]-Table9[[#This Row],[Tms prem]]</f>
        <v>0</v>
      </c>
    </row>
    <row r="163" spans="1:40" x14ac:dyDescent="0.25">
      <c r="A163">
        <v>188</v>
      </c>
      <c r="B163" t="s">
        <v>37</v>
      </c>
      <c r="C163" t="s">
        <v>2504</v>
      </c>
      <c r="D163" t="s">
        <v>39</v>
      </c>
      <c r="E163" t="s">
        <v>40</v>
      </c>
      <c r="F163" t="s">
        <v>1961</v>
      </c>
      <c r="G163" t="s">
        <v>2505</v>
      </c>
      <c r="H163" t="s">
        <v>128</v>
      </c>
      <c r="I163" t="s">
        <v>2506</v>
      </c>
      <c r="J163" t="s">
        <v>2507</v>
      </c>
      <c r="K163" t="s">
        <v>48</v>
      </c>
      <c r="L163" t="s">
        <v>2508</v>
      </c>
      <c r="M163" t="s">
        <v>2509</v>
      </c>
      <c r="N163">
        <v>835070</v>
      </c>
      <c r="O163">
        <v>3981500</v>
      </c>
      <c r="P163" t="s">
        <v>2510</v>
      </c>
      <c r="Q163" s="1">
        <v>45584</v>
      </c>
      <c r="R163" t="s">
        <v>2511</v>
      </c>
      <c r="S163" t="s">
        <v>2512</v>
      </c>
      <c r="T163" t="s">
        <v>51</v>
      </c>
      <c r="U163" t="s">
        <v>48</v>
      </c>
      <c r="V163" t="s">
        <v>877</v>
      </c>
      <c r="W163" t="s">
        <v>198</v>
      </c>
      <c r="X163" t="s">
        <v>2246</v>
      </c>
      <c r="Y163" t="s">
        <v>2141</v>
      </c>
      <c r="Z163" t="s">
        <v>1363</v>
      </c>
      <c r="AA163" t="s">
        <v>2513</v>
      </c>
      <c r="AB163">
        <v>5</v>
      </c>
      <c r="AC163" t="s">
        <v>2492</v>
      </c>
      <c r="AD163" t="s">
        <v>2514</v>
      </c>
      <c r="AE163" t="s">
        <v>2246</v>
      </c>
      <c r="AF163" t="s">
        <v>61</v>
      </c>
      <c r="AG163">
        <v>2986125</v>
      </c>
      <c r="AH163" s="13">
        <v>59723</v>
      </c>
      <c r="AL163" t="s">
        <v>6051</v>
      </c>
      <c r="AM163" s="13">
        <v>59723</v>
      </c>
      <c r="AN163" s="16">
        <f>Table9[[#This Row],[Premium]]-Table9[[#This Row],[Tms prem]]</f>
        <v>0</v>
      </c>
    </row>
    <row r="164" spans="1:40" x14ac:dyDescent="0.25">
      <c r="A164">
        <v>189</v>
      </c>
      <c r="B164" t="s">
        <v>37</v>
      </c>
      <c r="C164" t="s">
        <v>2515</v>
      </c>
      <c r="D164" t="s">
        <v>39</v>
      </c>
      <c r="E164" t="s">
        <v>40</v>
      </c>
      <c r="F164" t="s">
        <v>186</v>
      </c>
      <c r="G164" t="s">
        <v>2516</v>
      </c>
      <c r="H164" t="s">
        <v>188</v>
      </c>
      <c r="I164" t="s">
        <v>2517</v>
      </c>
      <c r="J164" t="s">
        <v>48</v>
      </c>
      <c r="K164" t="s">
        <v>2518</v>
      </c>
      <c r="L164" t="s">
        <v>48</v>
      </c>
      <c r="M164" t="s">
        <v>2519</v>
      </c>
      <c r="N164">
        <v>766891</v>
      </c>
      <c r="O164">
        <v>3460000</v>
      </c>
      <c r="P164" t="s">
        <v>2520</v>
      </c>
      <c r="Q164" s="1">
        <v>45584</v>
      </c>
      <c r="R164" t="s">
        <v>2521</v>
      </c>
      <c r="S164" t="s">
        <v>2522</v>
      </c>
      <c r="T164" t="s">
        <v>196</v>
      </c>
      <c r="U164" t="s">
        <v>2523</v>
      </c>
      <c r="V164" t="s">
        <v>2524</v>
      </c>
      <c r="W164" t="s">
        <v>1054</v>
      </c>
      <c r="X164" t="s">
        <v>2285</v>
      </c>
      <c r="Y164" t="s">
        <v>2448</v>
      </c>
      <c r="Z164" t="s">
        <v>507</v>
      </c>
      <c r="AA164" t="s">
        <v>2525</v>
      </c>
      <c r="AB164">
        <v>5</v>
      </c>
      <c r="AC164" t="s">
        <v>78</v>
      </c>
      <c r="AD164" t="s">
        <v>2526</v>
      </c>
      <c r="AE164" t="s">
        <v>2448</v>
      </c>
      <c r="AF164" t="s">
        <v>61</v>
      </c>
      <c r="AG164">
        <v>2595000</v>
      </c>
      <c r="AH164" s="13">
        <v>51900</v>
      </c>
      <c r="AL164" t="s">
        <v>6052</v>
      </c>
      <c r="AM164" s="13">
        <v>51900</v>
      </c>
      <c r="AN164" s="16">
        <f>Table9[[#This Row],[Premium]]-Table9[[#This Row],[Tms prem]]</f>
        <v>0</v>
      </c>
    </row>
    <row r="165" spans="1:40" x14ac:dyDescent="0.25">
      <c r="A165">
        <v>190</v>
      </c>
      <c r="B165" t="s">
        <v>37</v>
      </c>
      <c r="C165" t="s">
        <v>2527</v>
      </c>
      <c r="D165" t="s">
        <v>39</v>
      </c>
      <c r="E165" t="s">
        <v>40</v>
      </c>
      <c r="F165" t="s">
        <v>2528</v>
      </c>
      <c r="G165" t="s">
        <v>2529</v>
      </c>
      <c r="H165" t="s">
        <v>43</v>
      </c>
      <c r="I165" t="s">
        <v>2530</v>
      </c>
      <c r="J165" t="s">
        <v>2531</v>
      </c>
      <c r="K165" t="s">
        <v>2532</v>
      </c>
      <c r="L165" t="s">
        <v>2533</v>
      </c>
      <c r="M165" t="s">
        <v>2534</v>
      </c>
      <c r="N165">
        <v>657200</v>
      </c>
      <c r="O165">
        <v>2574000</v>
      </c>
      <c r="P165" t="s">
        <v>2535</v>
      </c>
      <c r="Q165" s="1">
        <v>45584</v>
      </c>
      <c r="R165" t="s">
        <v>2536</v>
      </c>
      <c r="S165" t="s">
        <v>2537</v>
      </c>
      <c r="T165" t="s">
        <v>51</v>
      </c>
      <c r="U165" t="s">
        <v>48</v>
      </c>
      <c r="V165" t="s">
        <v>2538</v>
      </c>
      <c r="W165" t="s">
        <v>198</v>
      </c>
      <c r="X165" t="s">
        <v>2539</v>
      </c>
      <c r="Y165" t="s">
        <v>2141</v>
      </c>
      <c r="Z165" t="s">
        <v>1363</v>
      </c>
      <c r="AA165" t="s">
        <v>2540</v>
      </c>
      <c r="AB165">
        <v>5</v>
      </c>
      <c r="AC165" t="s">
        <v>78</v>
      </c>
      <c r="AD165" t="s">
        <v>2541</v>
      </c>
      <c r="AE165" t="s">
        <v>2542</v>
      </c>
      <c r="AF165" t="s">
        <v>61</v>
      </c>
      <c r="AG165">
        <v>1930500</v>
      </c>
      <c r="AH165" s="13">
        <v>38610</v>
      </c>
      <c r="AL165" t="s">
        <v>6053</v>
      </c>
      <c r="AM165" s="13">
        <v>38610</v>
      </c>
      <c r="AN165" s="16">
        <f>Table9[[#This Row],[Premium]]-Table9[[#This Row],[Tms prem]]</f>
        <v>0</v>
      </c>
    </row>
    <row r="166" spans="1:40" x14ac:dyDescent="0.25">
      <c r="A166">
        <v>191</v>
      </c>
      <c r="B166" t="s">
        <v>37</v>
      </c>
      <c r="C166" t="s">
        <v>2543</v>
      </c>
      <c r="D166" t="s">
        <v>39</v>
      </c>
      <c r="E166" t="s">
        <v>40</v>
      </c>
      <c r="F166" t="s">
        <v>470</v>
      </c>
      <c r="G166" t="s">
        <v>2544</v>
      </c>
      <c r="H166" t="s">
        <v>43</v>
      </c>
      <c r="I166" t="s">
        <v>2545</v>
      </c>
      <c r="J166" t="s">
        <v>2546</v>
      </c>
      <c r="K166" t="s">
        <v>2547</v>
      </c>
      <c r="L166" t="s">
        <v>2546</v>
      </c>
      <c r="M166" t="s">
        <v>2548</v>
      </c>
      <c r="N166">
        <v>616979</v>
      </c>
      <c r="O166">
        <v>2574000</v>
      </c>
      <c r="P166" t="s">
        <v>2549</v>
      </c>
      <c r="Q166" s="1">
        <v>45584</v>
      </c>
      <c r="R166" t="s">
        <v>2550</v>
      </c>
      <c r="S166" t="s">
        <v>2551</v>
      </c>
      <c r="T166" t="s">
        <v>51</v>
      </c>
      <c r="U166" t="s">
        <v>48</v>
      </c>
      <c r="V166" t="s">
        <v>240</v>
      </c>
      <c r="W166" t="s">
        <v>198</v>
      </c>
      <c r="X166" t="s">
        <v>2285</v>
      </c>
      <c r="Y166" t="s">
        <v>2448</v>
      </c>
      <c r="Z166" t="s">
        <v>507</v>
      </c>
      <c r="AA166" t="s">
        <v>2552</v>
      </c>
      <c r="AB166">
        <v>5</v>
      </c>
      <c r="AC166" t="s">
        <v>556</v>
      </c>
      <c r="AD166" t="s">
        <v>2553</v>
      </c>
      <c r="AE166" t="s">
        <v>2542</v>
      </c>
      <c r="AF166" t="s">
        <v>61</v>
      </c>
      <c r="AG166">
        <v>1930500</v>
      </c>
      <c r="AH166" s="13">
        <v>38610</v>
      </c>
      <c r="AL166" t="s">
        <v>6054</v>
      </c>
      <c r="AM166" s="13">
        <v>38610</v>
      </c>
      <c r="AN166" s="16">
        <f>Table9[[#This Row],[Premium]]-Table9[[#This Row],[Tms prem]]</f>
        <v>0</v>
      </c>
    </row>
    <row r="167" spans="1:40" x14ac:dyDescent="0.25">
      <c r="A167">
        <v>192</v>
      </c>
      <c r="B167" t="s">
        <v>37</v>
      </c>
      <c r="C167" t="s">
        <v>2554</v>
      </c>
      <c r="D167" t="s">
        <v>39</v>
      </c>
      <c r="E167" t="s">
        <v>40</v>
      </c>
      <c r="F167" t="s">
        <v>446</v>
      </c>
      <c r="G167" t="s">
        <v>2555</v>
      </c>
      <c r="H167" t="s">
        <v>188</v>
      </c>
      <c r="I167" t="s">
        <v>2556</v>
      </c>
      <c r="J167" t="s">
        <v>2557</v>
      </c>
      <c r="K167" t="s">
        <v>2557</v>
      </c>
      <c r="L167" t="s">
        <v>438</v>
      </c>
      <c r="M167" t="s">
        <v>2558</v>
      </c>
      <c r="N167">
        <v>759642</v>
      </c>
      <c r="O167">
        <v>3255000</v>
      </c>
      <c r="P167" t="s">
        <v>2559</v>
      </c>
      <c r="Q167" s="1">
        <v>45582</v>
      </c>
      <c r="R167" t="s">
        <v>2560</v>
      </c>
      <c r="S167" t="s">
        <v>2561</v>
      </c>
      <c r="T167" t="s">
        <v>51</v>
      </c>
      <c r="U167" t="s">
        <v>48</v>
      </c>
      <c r="V167" t="s">
        <v>551</v>
      </c>
      <c r="W167" t="s">
        <v>53</v>
      </c>
      <c r="X167" t="s">
        <v>522</v>
      </c>
      <c r="Y167" t="s">
        <v>137</v>
      </c>
      <c r="Z167" t="s">
        <v>507</v>
      </c>
      <c r="AA167" t="s">
        <v>2562</v>
      </c>
      <c r="AB167">
        <v>4</v>
      </c>
      <c r="AC167" t="s">
        <v>58</v>
      </c>
      <c r="AD167" t="s">
        <v>2563</v>
      </c>
      <c r="AE167" t="s">
        <v>199</v>
      </c>
      <c r="AF167" t="s">
        <v>61</v>
      </c>
      <c r="AG167">
        <v>2604000</v>
      </c>
      <c r="AH167" s="13">
        <v>52080</v>
      </c>
      <c r="AL167" t="s">
        <v>6055</v>
      </c>
      <c r="AM167" s="13">
        <v>52080</v>
      </c>
      <c r="AN167" s="16">
        <f>Table9[[#This Row],[Premium]]-Table9[[#This Row],[Tms prem]]</f>
        <v>0</v>
      </c>
    </row>
    <row r="168" spans="1:40" x14ac:dyDescent="0.25">
      <c r="A168">
        <v>193</v>
      </c>
      <c r="B168" t="s">
        <v>37</v>
      </c>
      <c r="C168" t="s">
        <v>2564</v>
      </c>
      <c r="D168" t="s">
        <v>39</v>
      </c>
      <c r="E168" t="s">
        <v>40</v>
      </c>
      <c r="F168" t="s">
        <v>41</v>
      </c>
      <c r="G168" t="s">
        <v>2000</v>
      </c>
      <c r="H168" t="s">
        <v>43</v>
      </c>
      <c r="I168" t="s">
        <v>2565</v>
      </c>
      <c r="J168" t="s">
        <v>2566</v>
      </c>
      <c r="K168" t="s">
        <v>2567</v>
      </c>
      <c r="L168" t="s">
        <v>2568</v>
      </c>
      <c r="M168" t="s">
        <v>2569</v>
      </c>
      <c r="N168">
        <v>1157948</v>
      </c>
      <c r="O168">
        <v>2933000</v>
      </c>
      <c r="P168" t="s">
        <v>2570</v>
      </c>
      <c r="Q168" s="1">
        <v>45582</v>
      </c>
      <c r="R168" t="s">
        <v>2571</v>
      </c>
      <c r="S168" t="s">
        <v>2572</v>
      </c>
      <c r="T168" t="s">
        <v>51</v>
      </c>
      <c r="U168" t="s">
        <v>48</v>
      </c>
      <c r="V168" t="s">
        <v>279</v>
      </c>
      <c r="W168" t="s">
        <v>53</v>
      </c>
      <c r="X168" t="s">
        <v>280</v>
      </c>
      <c r="Y168" t="s">
        <v>92</v>
      </c>
      <c r="Z168" t="s">
        <v>93</v>
      </c>
      <c r="AA168" t="s">
        <v>2573</v>
      </c>
      <c r="AB168">
        <v>5</v>
      </c>
      <c r="AC168" t="s">
        <v>78</v>
      </c>
      <c r="AD168" t="s">
        <v>2574</v>
      </c>
      <c r="AE168" t="s">
        <v>1454</v>
      </c>
      <c r="AF168" t="s">
        <v>61</v>
      </c>
      <c r="AG168">
        <v>2346400</v>
      </c>
      <c r="AH168" s="13">
        <v>46928</v>
      </c>
      <c r="AL168" t="s">
        <v>6056</v>
      </c>
      <c r="AM168" s="13">
        <v>46928</v>
      </c>
      <c r="AN168" s="16">
        <f>Table9[[#This Row],[Premium]]-Table9[[#This Row],[Tms prem]]</f>
        <v>0</v>
      </c>
    </row>
    <row r="169" spans="1:40" x14ac:dyDescent="0.25">
      <c r="A169">
        <v>194</v>
      </c>
      <c r="B169" t="s">
        <v>37</v>
      </c>
      <c r="C169" t="s">
        <v>2575</v>
      </c>
      <c r="D169" t="s">
        <v>39</v>
      </c>
      <c r="E169" t="s">
        <v>40</v>
      </c>
      <c r="F169" t="s">
        <v>2576</v>
      </c>
      <c r="G169" t="s">
        <v>1509</v>
      </c>
      <c r="H169" t="s">
        <v>188</v>
      </c>
      <c r="I169" t="s">
        <v>2577</v>
      </c>
      <c r="J169" t="s">
        <v>48</v>
      </c>
      <c r="K169" t="s">
        <v>2578</v>
      </c>
      <c r="L169" t="s">
        <v>48</v>
      </c>
      <c r="M169" t="s">
        <v>2579</v>
      </c>
      <c r="N169">
        <v>1414464</v>
      </c>
      <c r="O169">
        <v>3255000</v>
      </c>
      <c r="P169" t="s">
        <v>2580</v>
      </c>
      <c r="Q169" s="1">
        <v>45582</v>
      </c>
      <c r="R169" t="s">
        <v>2581</v>
      </c>
      <c r="S169" t="s">
        <v>2582</v>
      </c>
      <c r="T169" t="s">
        <v>51</v>
      </c>
      <c r="U169" t="s">
        <v>48</v>
      </c>
      <c r="V169" t="s">
        <v>2583</v>
      </c>
      <c r="W169" t="s">
        <v>53</v>
      </c>
      <c r="X169" t="s">
        <v>2584</v>
      </c>
      <c r="Y169" t="s">
        <v>152</v>
      </c>
      <c r="Z169" t="s">
        <v>824</v>
      </c>
      <c r="AA169" t="s">
        <v>2585</v>
      </c>
      <c r="AB169">
        <v>6</v>
      </c>
      <c r="AC169" t="s">
        <v>78</v>
      </c>
      <c r="AD169" t="s">
        <v>2586</v>
      </c>
      <c r="AE169" t="s">
        <v>492</v>
      </c>
      <c r="AF169" t="s">
        <v>61</v>
      </c>
      <c r="AG169">
        <v>2604000</v>
      </c>
      <c r="AH169" s="13">
        <v>52080</v>
      </c>
      <c r="AL169" t="s">
        <v>6057</v>
      </c>
      <c r="AM169" s="13">
        <v>52080</v>
      </c>
      <c r="AN169" s="16">
        <f>Table9[[#This Row],[Premium]]-Table9[[#This Row],[Tms prem]]</f>
        <v>0</v>
      </c>
    </row>
    <row r="170" spans="1:40" x14ac:dyDescent="0.25">
      <c r="A170">
        <v>195</v>
      </c>
      <c r="B170" t="s">
        <v>37</v>
      </c>
      <c r="C170" t="s">
        <v>2587</v>
      </c>
      <c r="D170" t="s">
        <v>39</v>
      </c>
      <c r="E170" t="s">
        <v>40</v>
      </c>
      <c r="F170" t="s">
        <v>715</v>
      </c>
      <c r="G170" t="s">
        <v>2588</v>
      </c>
      <c r="H170" t="s">
        <v>83</v>
      </c>
      <c r="I170" t="s">
        <v>2589</v>
      </c>
      <c r="J170" t="s">
        <v>2590</v>
      </c>
      <c r="K170" t="s">
        <v>2590</v>
      </c>
      <c r="L170" t="s">
        <v>2590</v>
      </c>
      <c r="M170" t="s">
        <v>2591</v>
      </c>
      <c r="N170">
        <v>1369884</v>
      </c>
      <c r="O170">
        <v>3283000</v>
      </c>
      <c r="P170" t="s">
        <v>2592</v>
      </c>
      <c r="Q170" s="1">
        <v>45582</v>
      </c>
      <c r="R170" t="s">
        <v>2593</v>
      </c>
      <c r="S170" t="s">
        <v>2594</v>
      </c>
      <c r="T170" t="s">
        <v>51</v>
      </c>
      <c r="U170" t="s">
        <v>48</v>
      </c>
      <c r="V170" t="s">
        <v>2583</v>
      </c>
      <c r="W170" t="s">
        <v>53</v>
      </c>
      <c r="X170" t="s">
        <v>2595</v>
      </c>
      <c r="Y170" t="s">
        <v>152</v>
      </c>
      <c r="Z170" t="s">
        <v>153</v>
      </c>
      <c r="AA170" t="s">
        <v>2596</v>
      </c>
      <c r="AB170">
        <v>5</v>
      </c>
      <c r="AC170" t="s">
        <v>78</v>
      </c>
      <c r="AD170" t="s">
        <v>2597</v>
      </c>
      <c r="AE170" t="s">
        <v>629</v>
      </c>
      <c r="AF170" t="s">
        <v>61</v>
      </c>
      <c r="AG170">
        <v>2626400</v>
      </c>
      <c r="AH170" s="13">
        <v>52528</v>
      </c>
      <c r="AL170" t="s">
        <v>6058</v>
      </c>
      <c r="AM170" s="13">
        <v>52528</v>
      </c>
      <c r="AN170" s="16">
        <f>Table9[[#This Row],[Premium]]-Table9[[#This Row],[Tms prem]]</f>
        <v>0</v>
      </c>
    </row>
    <row r="171" spans="1:40" x14ac:dyDescent="0.25">
      <c r="A171">
        <v>196</v>
      </c>
      <c r="B171" t="s">
        <v>37</v>
      </c>
      <c r="C171" t="s">
        <v>2598</v>
      </c>
      <c r="D171" t="s">
        <v>39</v>
      </c>
      <c r="E171" t="s">
        <v>40</v>
      </c>
      <c r="F171" t="s">
        <v>789</v>
      </c>
      <c r="G171" t="s">
        <v>2599</v>
      </c>
      <c r="H171" t="s">
        <v>2600</v>
      </c>
      <c r="I171" t="s">
        <v>2601</v>
      </c>
      <c r="J171" t="s">
        <v>2602</v>
      </c>
      <c r="K171" t="s">
        <v>48</v>
      </c>
      <c r="L171" t="s">
        <v>2603</v>
      </c>
      <c r="M171" t="s">
        <v>2604</v>
      </c>
      <c r="N171">
        <v>488597</v>
      </c>
      <c r="O171">
        <v>2550000</v>
      </c>
      <c r="P171" t="s">
        <v>2605</v>
      </c>
      <c r="Q171" s="1">
        <v>45583</v>
      </c>
      <c r="R171" t="s">
        <v>2606</v>
      </c>
      <c r="S171" t="s">
        <v>2607</v>
      </c>
      <c r="T171" t="s">
        <v>196</v>
      </c>
      <c r="U171" t="s">
        <v>2608</v>
      </c>
      <c r="V171" t="s">
        <v>877</v>
      </c>
      <c r="W171" t="s">
        <v>1719</v>
      </c>
      <c r="X171" t="s">
        <v>2448</v>
      </c>
      <c r="Y171" t="s">
        <v>2448</v>
      </c>
      <c r="Z171" t="s">
        <v>507</v>
      </c>
      <c r="AA171" t="s">
        <v>2609</v>
      </c>
      <c r="AB171">
        <v>5</v>
      </c>
      <c r="AC171" t="s">
        <v>78</v>
      </c>
      <c r="AD171" t="s">
        <v>2610</v>
      </c>
      <c r="AE171" t="s">
        <v>2542</v>
      </c>
      <c r="AF171" t="s">
        <v>61</v>
      </c>
      <c r="AG171">
        <v>1912500</v>
      </c>
      <c r="AH171" s="13">
        <v>38250</v>
      </c>
      <c r="AL171" t="s">
        <v>6059</v>
      </c>
      <c r="AM171" s="13">
        <v>38250</v>
      </c>
      <c r="AN171" s="16">
        <f>Table9[[#This Row],[Premium]]-Table9[[#This Row],[Tms prem]]</f>
        <v>0</v>
      </c>
    </row>
    <row r="172" spans="1:40" x14ac:dyDescent="0.25">
      <c r="A172">
        <v>197</v>
      </c>
      <c r="B172" t="s">
        <v>37</v>
      </c>
      <c r="C172" t="s">
        <v>2611</v>
      </c>
      <c r="D172" t="s">
        <v>39</v>
      </c>
      <c r="E172" t="s">
        <v>40</v>
      </c>
      <c r="F172" t="s">
        <v>63</v>
      </c>
      <c r="G172" t="s">
        <v>2612</v>
      </c>
      <c r="H172" t="s">
        <v>43</v>
      </c>
      <c r="I172" t="s">
        <v>2613</v>
      </c>
      <c r="J172" t="s">
        <v>2614</v>
      </c>
      <c r="K172" t="s">
        <v>2615</v>
      </c>
      <c r="L172" t="s">
        <v>2614</v>
      </c>
      <c r="M172" t="s">
        <v>2616</v>
      </c>
      <c r="N172">
        <v>1151434</v>
      </c>
      <c r="O172">
        <v>1886000</v>
      </c>
      <c r="P172" t="s">
        <v>2617</v>
      </c>
      <c r="Q172" s="1">
        <v>45582</v>
      </c>
      <c r="R172" t="s">
        <v>2618</v>
      </c>
      <c r="S172" t="s">
        <v>2619</v>
      </c>
      <c r="T172" t="s">
        <v>51</v>
      </c>
      <c r="U172" t="s">
        <v>48</v>
      </c>
      <c r="V172" t="s">
        <v>106</v>
      </c>
      <c r="W172" t="s">
        <v>552</v>
      </c>
      <c r="X172" t="s">
        <v>2620</v>
      </c>
      <c r="Y172" t="s">
        <v>669</v>
      </c>
      <c r="Z172" t="s">
        <v>2621</v>
      </c>
      <c r="AA172" t="s">
        <v>2622</v>
      </c>
      <c r="AB172">
        <v>7</v>
      </c>
      <c r="AC172" t="s">
        <v>556</v>
      </c>
      <c r="AD172" t="s">
        <v>2623</v>
      </c>
      <c r="AE172" t="s">
        <v>2624</v>
      </c>
      <c r="AF172" t="s">
        <v>882</v>
      </c>
      <c r="AG172">
        <v>1603100</v>
      </c>
      <c r="AH172" s="13">
        <v>24047</v>
      </c>
      <c r="AL172" t="s">
        <v>6060</v>
      </c>
      <c r="AM172" s="13">
        <v>24047</v>
      </c>
      <c r="AN172" s="16">
        <f>Table9[[#This Row],[Premium]]-Table9[[#This Row],[Tms prem]]</f>
        <v>0</v>
      </c>
    </row>
    <row r="173" spans="1:40" x14ac:dyDescent="0.25">
      <c r="A173">
        <v>198</v>
      </c>
      <c r="B173" t="s">
        <v>37</v>
      </c>
      <c r="C173" t="s">
        <v>2625</v>
      </c>
      <c r="D173" t="s">
        <v>39</v>
      </c>
      <c r="E173" t="s">
        <v>40</v>
      </c>
      <c r="F173" t="s">
        <v>41</v>
      </c>
      <c r="G173" t="s">
        <v>271</v>
      </c>
      <c r="H173" t="s">
        <v>43</v>
      </c>
      <c r="I173" t="s">
        <v>2626</v>
      </c>
      <c r="J173" t="s">
        <v>2627</v>
      </c>
      <c r="K173" t="s">
        <v>2628</v>
      </c>
      <c r="L173" t="s">
        <v>2627</v>
      </c>
      <c r="M173" t="s">
        <v>2629</v>
      </c>
      <c r="N173">
        <v>649746</v>
      </c>
      <c r="O173">
        <v>2758000</v>
      </c>
      <c r="P173" t="s">
        <v>2630</v>
      </c>
      <c r="Q173" s="1">
        <v>45583</v>
      </c>
      <c r="R173" t="s">
        <v>2631</v>
      </c>
      <c r="S173" t="s">
        <v>2632</v>
      </c>
      <c r="T173" t="s">
        <v>51</v>
      </c>
      <c r="U173" t="s">
        <v>48</v>
      </c>
      <c r="V173" t="s">
        <v>2633</v>
      </c>
      <c r="W173" t="s">
        <v>198</v>
      </c>
      <c r="X173" t="s">
        <v>2634</v>
      </c>
      <c r="Y173" t="s">
        <v>2141</v>
      </c>
      <c r="Z173" t="s">
        <v>1363</v>
      </c>
      <c r="AA173" t="s">
        <v>2635</v>
      </c>
      <c r="AB173">
        <v>5</v>
      </c>
      <c r="AC173" t="s">
        <v>556</v>
      </c>
      <c r="AD173" t="s">
        <v>2636</v>
      </c>
      <c r="AE173" t="s">
        <v>2637</v>
      </c>
      <c r="AF173" t="s">
        <v>61</v>
      </c>
      <c r="AG173">
        <v>2068500</v>
      </c>
      <c r="AH173" s="13">
        <v>41370</v>
      </c>
      <c r="AL173" t="s">
        <v>6061</v>
      </c>
      <c r="AM173" s="13">
        <v>41370</v>
      </c>
      <c r="AN173" s="16">
        <f>Table9[[#This Row],[Premium]]-Table9[[#This Row],[Tms prem]]</f>
        <v>0</v>
      </c>
    </row>
    <row r="174" spans="1:40" x14ac:dyDescent="0.25">
      <c r="A174">
        <v>199</v>
      </c>
      <c r="B174" t="s">
        <v>37</v>
      </c>
      <c r="C174" t="s">
        <v>2638</v>
      </c>
      <c r="D174" t="s">
        <v>39</v>
      </c>
      <c r="E174" t="s">
        <v>40</v>
      </c>
      <c r="F174" t="s">
        <v>2639</v>
      </c>
      <c r="G174" t="s">
        <v>2640</v>
      </c>
      <c r="H174" t="s">
        <v>2641</v>
      </c>
      <c r="I174" t="s">
        <v>2642</v>
      </c>
      <c r="J174" t="s">
        <v>48</v>
      </c>
      <c r="K174" t="s">
        <v>2643</v>
      </c>
      <c r="L174" t="s">
        <v>48</v>
      </c>
      <c r="M174" t="s">
        <v>2644</v>
      </c>
      <c r="N174">
        <v>618057</v>
      </c>
      <c r="O174">
        <v>1695000</v>
      </c>
      <c r="P174" t="s">
        <v>2645</v>
      </c>
      <c r="Q174" s="1">
        <v>45583</v>
      </c>
      <c r="R174" t="s">
        <v>2646</v>
      </c>
      <c r="S174" t="s">
        <v>2647</v>
      </c>
      <c r="T174" t="s">
        <v>51</v>
      </c>
      <c r="U174" t="s">
        <v>48</v>
      </c>
      <c r="V174" t="s">
        <v>1591</v>
      </c>
      <c r="W174" t="s">
        <v>198</v>
      </c>
      <c r="X174" t="s">
        <v>2648</v>
      </c>
      <c r="Y174" t="s">
        <v>1504</v>
      </c>
      <c r="Z174" t="s">
        <v>824</v>
      </c>
      <c r="AA174" t="s">
        <v>2649</v>
      </c>
      <c r="AB174">
        <v>7</v>
      </c>
      <c r="AC174" t="s">
        <v>78</v>
      </c>
      <c r="AD174" t="s">
        <v>2650</v>
      </c>
      <c r="AE174" t="s">
        <v>2637</v>
      </c>
      <c r="AF174" t="s">
        <v>61</v>
      </c>
      <c r="AG174">
        <v>1271250</v>
      </c>
      <c r="AH174" s="13">
        <v>25425</v>
      </c>
      <c r="AL174" t="s">
        <v>6062</v>
      </c>
      <c r="AM174" s="13">
        <v>25425</v>
      </c>
      <c r="AN174" s="16">
        <f>Table9[[#This Row],[Premium]]-Table9[[#This Row],[Tms prem]]</f>
        <v>0</v>
      </c>
    </row>
    <row r="175" spans="1:40" x14ac:dyDescent="0.25">
      <c r="A175">
        <v>200</v>
      </c>
      <c r="B175" t="s">
        <v>37</v>
      </c>
      <c r="C175" t="s">
        <v>2651</v>
      </c>
      <c r="D175" t="s">
        <v>39</v>
      </c>
      <c r="E175" t="s">
        <v>40</v>
      </c>
      <c r="F175" t="s">
        <v>789</v>
      </c>
      <c r="G175" t="s">
        <v>2652</v>
      </c>
      <c r="H175" t="s">
        <v>83</v>
      </c>
      <c r="I175" t="s">
        <v>2653</v>
      </c>
      <c r="J175" t="s">
        <v>2654</v>
      </c>
      <c r="K175" t="s">
        <v>2654</v>
      </c>
      <c r="L175" t="s">
        <v>2654</v>
      </c>
      <c r="M175" t="s">
        <v>2655</v>
      </c>
      <c r="N175">
        <v>1015814</v>
      </c>
      <c r="O175">
        <v>3800000</v>
      </c>
      <c r="P175" t="s">
        <v>2656</v>
      </c>
      <c r="Q175" s="1">
        <v>45582</v>
      </c>
      <c r="R175" t="s">
        <v>2657</v>
      </c>
      <c r="S175" t="s">
        <v>2658</v>
      </c>
      <c r="T175" t="s">
        <v>196</v>
      </c>
      <c r="U175" t="s">
        <v>2659</v>
      </c>
      <c r="V175" t="s">
        <v>2524</v>
      </c>
      <c r="W175" t="s">
        <v>1054</v>
      </c>
      <c r="X175" t="s">
        <v>2624</v>
      </c>
      <c r="Y175" t="s">
        <v>669</v>
      </c>
      <c r="Z175" t="s">
        <v>507</v>
      </c>
      <c r="AA175" t="s">
        <v>2660</v>
      </c>
      <c r="AB175">
        <v>3</v>
      </c>
      <c r="AC175" t="s">
        <v>556</v>
      </c>
      <c r="AD175" t="s">
        <v>2661</v>
      </c>
      <c r="AE175" t="s">
        <v>2624</v>
      </c>
      <c r="AF175" t="s">
        <v>155</v>
      </c>
      <c r="AG175">
        <v>3230000</v>
      </c>
      <c r="AH175" s="13">
        <v>56525</v>
      </c>
      <c r="AL175" t="s">
        <v>6063</v>
      </c>
      <c r="AM175" s="13">
        <v>56525</v>
      </c>
      <c r="AN175" s="16">
        <f>Table9[[#This Row],[Premium]]-Table9[[#This Row],[Tms prem]]</f>
        <v>0</v>
      </c>
    </row>
    <row r="176" spans="1:40" x14ac:dyDescent="0.25">
      <c r="A176">
        <v>201</v>
      </c>
      <c r="B176" t="s">
        <v>37</v>
      </c>
      <c r="C176" t="s">
        <v>2662</v>
      </c>
      <c r="D176" t="s">
        <v>39</v>
      </c>
      <c r="E176" t="s">
        <v>40</v>
      </c>
      <c r="F176" t="s">
        <v>659</v>
      </c>
      <c r="G176" t="s">
        <v>2663</v>
      </c>
      <c r="H176" t="s">
        <v>83</v>
      </c>
      <c r="I176" t="s">
        <v>2664</v>
      </c>
      <c r="J176" t="s">
        <v>2665</v>
      </c>
      <c r="K176" t="s">
        <v>2665</v>
      </c>
      <c r="L176" t="s">
        <v>2665</v>
      </c>
      <c r="M176" t="s">
        <v>2666</v>
      </c>
      <c r="N176">
        <v>720760</v>
      </c>
      <c r="O176">
        <v>3595000</v>
      </c>
      <c r="P176" t="s">
        <v>2667</v>
      </c>
      <c r="Q176" s="1">
        <v>45582</v>
      </c>
      <c r="R176" t="s">
        <v>2668</v>
      </c>
      <c r="S176" t="s">
        <v>2669</v>
      </c>
      <c r="T176" t="s">
        <v>196</v>
      </c>
      <c r="U176" t="s">
        <v>2670</v>
      </c>
      <c r="V176" t="s">
        <v>429</v>
      </c>
      <c r="W176" t="s">
        <v>552</v>
      </c>
      <c r="X176" t="s">
        <v>2624</v>
      </c>
      <c r="Y176" t="s">
        <v>669</v>
      </c>
      <c r="Z176" t="s">
        <v>507</v>
      </c>
      <c r="AA176" t="s">
        <v>2671</v>
      </c>
      <c r="AB176">
        <v>3</v>
      </c>
      <c r="AC176" t="s">
        <v>540</v>
      </c>
      <c r="AD176" t="s">
        <v>2672</v>
      </c>
      <c r="AE176" t="s">
        <v>2624</v>
      </c>
      <c r="AF176" t="s">
        <v>155</v>
      </c>
      <c r="AG176">
        <v>3055750</v>
      </c>
      <c r="AH176" s="13">
        <v>53476</v>
      </c>
      <c r="AL176" t="s">
        <v>6064</v>
      </c>
      <c r="AM176" s="13">
        <v>53476</v>
      </c>
      <c r="AN176" s="16">
        <f>Table9[[#This Row],[Premium]]-Table9[[#This Row],[Tms prem]]</f>
        <v>0</v>
      </c>
    </row>
    <row r="177" spans="1:40" x14ac:dyDescent="0.25">
      <c r="A177">
        <v>202</v>
      </c>
      <c r="B177" t="s">
        <v>37</v>
      </c>
      <c r="C177" t="s">
        <v>2673</v>
      </c>
      <c r="D177" t="s">
        <v>39</v>
      </c>
      <c r="E177" t="s">
        <v>40</v>
      </c>
      <c r="F177" t="s">
        <v>394</v>
      </c>
      <c r="G177" t="s">
        <v>2674</v>
      </c>
      <c r="H177" t="s">
        <v>83</v>
      </c>
      <c r="I177" t="s">
        <v>2675</v>
      </c>
      <c r="J177" t="s">
        <v>2676</v>
      </c>
      <c r="K177" t="s">
        <v>2677</v>
      </c>
      <c r="L177" t="s">
        <v>2678</v>
      </c>
      <c r="M177" t="s">
        <v>2679</v>
      </c>
      <c r="N177">
        <v>251586</v>
      </c>
      <c r="O177">
        <v>1144000</v>
      </c>
      <c r="P177" t="s">
        <v>2680</v>
      </c>
      <c r="Q177" s="1">
        <v>45582</v>
      </c>
      <c r="R177" t="s">
        <v>2681</v>
      </c>
      <c r="S177" t="s">
        <v>2682</v>
      </c>
      <c r="T177" t="s">
        <v>51</v>
      </c>
      <c r="U177" t="s">
        <v>2683</v>
      </c>
      <c r="V177" t="s">
        <v>2684</v>
      </c>
      <c r="W177" t="s">
        <v>1054</v>
      </c>
      <c r="X177" t="s">
        <v>2685</v>
      </c>
      <c r="Y177" t="s">
        <v>2686</v>
      </c>
      <c r="Z177" t="s">
        <v>507</v>
      </c>
      <c r="AA177" t="s">
        <v>2687</v>
      </c>
      <c r="AB177">
        <v>7</v>
      </c>
      <c r="AC177" t="s">
        <v>123</v>
      </c>
      <c r="AD177" t="s">
        <v>2688</v>
      </c>
      <c r="AE177" t="s">
        <v>2689</v>
      </c>
      <c r="AF177" t="s">
        <v>1061</v>
      </c>
      <c r="AG177">
        <v>743600</v>
      </c>
      <c r="AH177" s="13">
        <v>23052</v>
      </c>
      <c r="AL177" t="s">
        <v>6065</v>
      </c>
      <c r="AM177" s="13">
        <v>23052</v>
      </c>
      <c r="AN177" s="16">
        <f>Table9[[#This Row],[Premium]]-Table9[[#This Row],[Tms prem]]</f>
        <v>0</v>
      </c>
    </row>
    <row r="178" spans="1:40" x14ac:dyDescent="0.25">
      <c r="A178">
        <v>203</v>
      </c>
      <c r="B178" t="s">
        <v>37</v>
      </c>
      <c r="C178" t="s">
        <v>2690</v>
      </c>
      <c r="D178" t="s">
        <v>39</v>
      </c>
      <c r="E178" t="s">
        <v>40</v>
      </c>
      <c r="F178" t="s">
        <v>1096</v>
      </c>
      <c r="G178" t="s">
        <v>2691</v>
      </c>
      <c r="H178" t="s">
        <v>188</v>
      </c>
      <c r="I178" t="s">
        <v>2692</v>
      </c>
      <c r="J178" t="s">
        <v>2693</v>
      </c>
      <c r="K178" t="s">
        <v>2694</v>
      </c>
      <c r="L178" t="s">
        <v>2693</v>
      </c>
      <c r="M178" t="s">
        <v>2695</v>
      </c>
      <c r="N178">
        <v>920243</v>
      </c>
      <c r="O178">
        <v>4050000</v>
      </c>
      <c r="P178" t="s">
        <v>2696</v>
      </c>
      <c r="Q178" s="1">
        <v>45582</v>
      </c>
      <c r="R178" t="s">
        <v>2697</v>
      </c>
      <c r="S178" t="s">
        <v>2698</v>
      </c>
      <c r="T178" t="s">
        <v>196</v>
      </c>
      <c r="U178" t="s">
        <v>2699</v>
      </c>
      <c r="V178" t="s">
        <v>2700</v>
      </c>
      <c r="W178" t="s">
        <v>1054</v>
      </c>
      <c r="X178" t="s">
        <v>2624</v>
      </c>
      <c r="Y178" t="s">
        <v>669</v>
      </c>
      <c r="Z178" t="s">
        <v>507</v>
      </c>
      <c r="AA178" t="s">
        <v>2701</v>
      </c>
      <c r="AB178">
        <v>3</v>
      </c>
      <c r="AC178" t="s">
        <v>556</v>
      </c>
      <c r="AD178" t="s">
        <v>2702</v>
      </c>
      <c r="AE178" t="s">
        <v>2624</v>
      </c>
      <c r="AF178" t="s">
        <v>155</v>
      </c>
      <c r="AG178">
        <v>3442500</v>
      </c>
      <c r="AH178" s="13">
        <v>60244</v>
      </c>
      <c r="AL178" t="s">
        <v>6066</v>
      </c>
      <c r="AM178" s="13">
        <v>60244</v>
      </c>
      <c r="AN178" s="16">
        <f>Table9[[#This Row],[Premium]]-Table9[[#This Row],[Tms prem]]</f>
        <v>0</v>
      </c>
    </row>
    <row r="179" spans="1:40" x14ac:dyDescent="0.25">
      <c r="A179">
        <v>206</v>
      </c>
      <c r="B179" t="s">
        <v>37</v>
      </c>
      <c r="C179" t="s">
        <v>2734</v>
      </c>
      <c r="D179" t="s">
        <v>39</v>
      </c>
      <c r="E179" t="s">
        <v>40</v>
      </c>
      <c r="F179" t="s">
        <v>2735</v>
      </c>
      <c r="G179" t="s">
        <v>2736</v>
      </c>
      <c r="H179" t="s">
        <v>83</v>
      </c>
      <c r="I179" t="s">
        <v>2737</v>
      </c>
      <c r="J179" t="s">
        <v>514</v>
      </c>
      <c r="K179" t="s">
        <v>2738</v>
      </c>
      <c r="L179" t="s">
        <v>2739</v>
      </c>
      <c r="M179" t="s">
        <v>2740</v>
      </c>
      <c r="N179">
        <v>1161231</v>
      </c>
      <c r="O179">
        <v>2564000</v>
      </c>
      <c r="P179" t="s">
        <v>2741</v>
      </c>
      <c r="Q179" s="1">
        <v>45582</v>
      </c>
      <c r="R179" t="s">
        <v>2742</v>
      </c>
      <c r="S179" t="s">
        <v>2743</v>
      </c>
      <c r="T179" t="s">
        <v>51</v>
      </c>
      <c r="U179" t="s">
        <v>48</v>
      </c>
      <c r="V179" t="s">
        <v>364</v>
      </c>
      <c r="W179" t="s">
        <v>552</v>
      </c>
      <c r="X179" t="s">
        <v>2744</v>
      </c>
      <c r="Y179" t="s">
        <v>669</v>
      </c>
      <c r="Z179" t="s">
        <v>326</v>
      </c>
      <c r="AA179" t="s">
        <v>2745</v>
      </c>
      <c r="AB179">
        <v>5</v>
      </c>
      <c r="AC179" t="s">
        <v>540</v>
      </c>
      <c r="AD179" t="s">
        <v>2746</v>
      </c>
      <c r="AE179" t="s">
        <v>2747</v>
      </c>
      <c r="AF179" t="s">
        <v>155</v>
      </c>
      <c r="AG179">
        <v>2179400</v>
      </c>
      <c r="AH179" s="13">
        <v>38140</v>
      </c>
      <c r="AL179" t="s">
        <v>6067</v>
      </c>
      <c r="AM179" s="13">
        <v>38140</v>
      </c>
      <c r="AN179" s="16">
        <f>Table9[[#This Row],[Premium]]-Table9[[#This Row],[Tms prem]]</f>
        <v>0</v>
      </c>
    </row>
    <row r="180" spans="1:40" x14ac:dyDescent="0.25">
      <c r="A180">
        <v>207</v>
      </c>
      <c r="B180" t="s">
        <v>37</v>
      </c>
      <c r="C180" t="s">
        <v>2748</v>
      </c>
      <c r="D180" t="s">
        <v>39</v>
      </c>
      <c r="E180" t="s">
        <v>40</v>
      </c>
      <c r="F180" t="s">
        <v>1401</v>
      </c>
      <c r="G180" t="s">
        <v>2749</v>
      </c>
      <c r="H180" t="s">
        <v>188</v>
      </c>
      <c r="I180" t="s">
        <v>2750</v>
      </c>
      <c r="J180" t="s">
        <v>2751</v>
      </c>
      <c r="K180" t="s">
        <v>2751</v>
      </c>
      <c r="L180" t="s">
        <v>2751</v>
      </c>
      <c r="M180" t="s">
        <v>2752</v>
      </c>
      <c r="N180">
        <v>967134</v>
      </c>
      <c r="O180">
        <v>2100000</v>
      </c>
      <c r="P180" t="s">
        <v>2753</v>
      </c>
      <c r="Q180" s="1">
        <v>45582</v>
      </c>
      <c r="R180" t="s">
        <v>2754</v>
      </c>
      <c r="S180" t="s">
        <v>2755</v>
      </c>
      <c r="T180" t="s">
        <v>196</v>
      </c>
      <c r="U180" t="s">
        <v>2756</v>
      </c>
      <c r="V180" t="s">
        <v>535</v>
      </c>
      <c r="W180" t="s">
        <v>536</v>
      </c>
      <c r="X180" t="s">
        <v>2744</v>
      </c>
      <c r="Y180" t="s">
        <v>669</v>
      </c>
      <c r="Z180" t="s">
        <v>326</v>
      </c>
      <c r="AA180" t="s">
        <v>2757</v>
      </c>
      <c r="AB180">
        <v>5</v>
      </c>
      <c r="AC180" t="s">
        <v>556</v>
      </c>
      <c r="AD180" t="s">
        <v>2758</v>
      </c>
      <c r="AE180" t="s">
        <v>2624</v>
      </c>
      <c r="AF180" t="s">
        <v>155</v>
      </c>
      <c r="AG180">
        <v>1785000</v>
      </c>
      <c r="AH180" s="13">
        <v>31238</v>
      </c>
      <c r="AL180" t="s">
        <v>6068</v>
      </c>
      <c r="AM180" s="13">
        <v>31238</v>
      </c>
      <c r="AN180" s="16">
        <f>Table9[[#This Row],[Premium]]-Table9[[#This Row],[Tms prem]]</f>
        <v>0</v>
      </c>
    </row>
    <row r="181" spans="1:40" x14ac:dyDescent="0.25">
      <c r="A181">
        <v>208</v>
      </c>
      <c r="B181" t="s">
        <v>37</v>
      </c>
      <c r="C181" t="s">
        <v>2759</v>
      </c>
      <c r="D181" t="s">
        <v>39</v>
      </c>
      <c r="E181" t="s">
        <v>40</v>
      </c>
      <c r="F181" t="s">
        <v>2290</v>
      </c>
      <c r="G181" t="s">
        <v>2760</v>
      </c>
      <c r="H181" t="s">
        <v>188</v>
      </c>
      <c r="I181" t="s">
        <v>2761</v>
      </c>
      <c r="J181" t="s">
        <v>48</v>
      </c>
      <c r="K181" t="s">
        <v>2762</v>
      </c>
      <c r="L181" t="s">
        <v>48</v>
      </c>
      <c r="M181" t="s">
        <v>2763</v>
      </c>
      <c r="N181">
        <v>1321400</v>
      </c>
      <c r="O181">
        <v>2950000</v>
      </c>
      <c r="P181" t="s">
        <v>2764</v>
      </c>
      <c r="Q181" s="1">
        <v>45580</v>
      </c>
      <c r="R181" t="s">
        <v>2765</v>
      </c>
      <c r="S181" t="s">
        <v>2766</v>
      </c>
      <c r="T181" t="s">
        <v>196</v>
      </c>
      <c r="U181" t="s">
        <v>2767</v>
      </c>
      <c r="V181" t="s">
        <v>2768</v>
      </c>
      <c r="W181" t="s">
        <v>365</v>
      </c>
      <c r="X181" t="s">
        <v>2637</v>
      </c>
      <c r="Y181" t="s">
        <v>2448</v>
      </c>
      <c r="Z181" t="s">
        <v>326</v>
      </c>
      <c r="AA181" t="s">
        <v>2769</v>
      </c>
      <c r="AB181">
        <v>7</v>
      </c>
      <c r="AC181" t="s">
        <v>556</v>
      </c>
      <c r="AD181" t="s">
        <v>2770</v>
      </c>
      <c r="AE181" t="s">
        <v>2771</v>
      </c>
      <c r="AF181" t="s">
        <v>61</v>
      </c>
      <c r="AG181">
        <v>2212500</v>
      </c>
      <c r="AH181" s="13">
        <v>44250</v>
      </c>
      <c r="AL181" t="s">
        <v>6069</v>
      </c>
      <c r="AM181" s="13">
        <v>44250</v>
      </c>
      <c r="AN181" s="16">
        <f>Table9[[#This Row],[Premium]]-Table9[[#This Row],[Tms prem]]</f>
        <v>0</v>
      </c>
    </row>
    <row r="182" spans="1:40" x14ac:dyDescent="0.25">
      <c r="A182">
        <v>209</v>
      </c>
      <c r="B182" t="s">
        <v>37</v>
      </c>
      <c r="C182" t="s">
        <v>2772</v>
      </c>
      <c r="D182" t="s">
        <v>39</v>
      </c>
      <c r="E182" t="s">
        <v>40</v>
      </c>
      <c r="F182" t="s">
        <v>1401</v>
      </c>
      <c r="G182" t="s">
        <v>2773</v>
      </c>
      <c r="H182" t="s">
        <v>188</v>
      </c>
      <c r="I182" t="s">
        <v>2774</v>
      </c>
      <c r="J182" t="s">
        <v>2775</v>
      </c>
      <c r="K182" t="s">
        <v>2775</v>
      </c>
      <c r="L182" t="s">
        <v>2776</v>
      </c>
      <c r="M182" t="s">
        <v>2777</v>
      </c>
      <c r="N182">
        <v>827783</v>
      </c>
      <c r="O182">
        <v>1980000</v>
      </c>
      <c r="P182" t="s">
        <v>2778</v>
      </c>
      <c r="Q182" s="1">
        <v>45580</v>
      </c>
      <c r="R182" t="s">
        <v>2779</v>
      </c>
      <c r="S182" t="s">
        <v>2780</v>
      </c>
      <c r="T182" t="s">
        <v>196</v>
      </c>
      <c r="U182" t="s">
        <v>2781</v>
      </c>
      <c r="V182" t="s">
        <v>2782</v>
      </c>
      <c r="W182" t="s">
        <v>1719</v>
      </c>
      <c r="X182" t="s">
        <v>2637</v>
      </c>
      <c r="Y182" t="s">
        <v>2448</v>
      </c>
      <c r="Z182" t="s">
        <v>326</v>
      </c>
      <c r="AA182" t="s">
        <v>2783</v>
      </c>
      <c r="AB182">
        <v>7</v>
      </c>
      <c r="AC182" t="s">
        <v>556</v>
      </c>
      <c r="AD182" t="s">
        <v>2784</v>
      </c>
      <c r="AE182" t="s">
        <v>2771</v>
      </c>
      <c r="AF182" t="s">
        <v>61</v>
      </c>
      <c r="AG182">
        <v>1485000</v>
      </c>
      <c r="AH182" s="13">
        <v>29700</v>
      </c>
      <c r="AL182" t="s">
        <v>6070</v>
      </c>
      <c r="AM182" s="13">
        <v>29700</v>
      </c>
      <c r="AN182" s="16">
        <f>Table9[[#This Row],[Premium]]-Table9[[#This Row],[Tms prem]]</f>
        <v>0</v>
      </c>
    </row>
    <row r="183" spans="1:40" x14ac:dyDescent="0.25">
      <c r="A183">
        <v>211</v>
      </c>
      <c r="B183" t="s">
        <v>184</v>
      </c>
      <c r="C183" t="s">
        <v>2799</v>
      </c>
      <c r="D183" t="s">
        <v>39</v>
      </c>
      <c r="E183" t="s">
        <v>40</v>
      </c>
      <c r="F183" t="s">
        <v>2800</v>
      </c>
      <c r="G183" t="s">
        <v>2801</v>
      </c>
      <c r="H183" t="s">
        <v>1875</v>
      </c>
      <c r="I183" t="s">
        <v>2802</v>
      </c>
      <c r="J183" t="s">
        <v>48</v>
      </c>
      <c r="K183" t="s">
        <v>2803</v>
      </c>
      <c r="L183" t="s">
        <v>48</v>
      </c>
      <c r="M183" t="s">
        <v>2804</v>
      </c>
      <c r="N183">
        <v>576853</v>
      </c>
      <c r="O183">
        <v>2613000</v>
      </c>
      <c r="P183" t="s">
        <v>2805</v>
      </c>
      <c r="Q183" s="1">
        <v>45579</v>
      </c>
      <c r="R183" t="s">
        <v>2806</v>
      </c>
      <c r="S183" t="s">
        <v>2807</v>
      </c>
      <c r="T183" t="s">
        <v>51</v>
      </c>
      <c r="U183" t="s">
        <v>48</v>
      </c>
      <c r="V183" t="s">
        <v>2808</v>
      </c>
      <c r="W183" t="s">
        <v>198</v>
      </c>
      <c r="X183" t="s">
        <v>2809</v>
      </c>
      <c r="Y183" t="s">
        <v>2448</v>
      </c>
      <c r="Z183" t="s">
        <v>507</v>
      </c>
      <c r="AA183" t="s">
        <v>2810</v>
      </c>
      <c r="AB183">
        <v>5</v>
      </c>
      <c r="AC183" t="s">
        <v>123</v>
      </c>
      <c r="AD183" t="s">
        <v>2811</v>
      </c>
      <c r="AE183" t="s">
        <v>2246</v>
      </c>
      <c r="AF183" t="s">
        <v>1079</v>
      </c>
      <c r="AG183">
        <v>1959750</v>
      </c>
      <c r="AH183" s="13">
        <v>48994</v>
      </c>
      <c r="AL183" t="s">
        <v>6071</v>
      </c>
      <c r="AM183" s="13">
        <v>48994</v>
      </c>
      <c r="AN183" s="16">
        <f>Table9[[#This Row],[Premium]]-Table9[[#This Row],[Tms prem]]</f>
        <v>0</v>
      </c>
    </row>
    <row r="184" spans="1:40" x14ac:dyDescent="0.25">
      <c r="A184">
        <v>212</v>
      </c>
      <c r="B184" t="s">
        <v>37</v>
      </c>
      <c r="C184" t="s">
        <v>2812</v>
      </c>
      <c r="D184" t="s">
        <v>39</v>
      </c>
      <c r="E184" t="s">
        <v>40</v>
      </c>
      <c r="F184" t="s">
        <v>2813</v>
      </c>
      <c r="G184" t="s">
        <v>2814</v>
      </c>
      <c r="H184" t="s">
        <v>43</v>
      </c>
      <c r="I184" t="s">
        <v>2815</v>
      </c>
      <c r="J184" t="s">
        <v>2816</v>
      </c>
      <c r="K184" t="s">
        <v>2817</v>
      </c>
      <c r="L184" t="s">
        <v>2818</v>
      </c>
      <c r="M184" t="s">
        <v>2819</v>
      </c>
      <c r="N184">
        <v>750393</v>
      </c>
      <c r="O184">
        <v>4999000</v>
      </c>
      <c r="P184" t="s">
        <v>2820</v>
      </c>
      <c r="Q184" s="1">
        <v>45579</v>
      </c>
      <c r="R184" t="s">
        <v>2821</v>
      </c>
      <c r="S184" t="s">
        <v>2822</v>
      </c>
      <c r="T184" t="s">
        <v>51</v>
      </c>
      <c r="U184" t="s">
        <v>2823</v>
      </c>
      <c r="V184" t="s">
        <v>2824</v>
      </c>
      <c r="W184" t="s">
        <v>536</v>
      </c>
      <c r="X184" t="s">
        <v>2825</v>
      </c>
      <c r="Y184" t="s">
        <v>2716</v>
      </c>
      <c r="Z184" t="s">
        <v>507</v>
      </c>
      <c r="AA184" t="s">
        <v>2826</v>
      </c>
      <c r="AB184">
        <v>6</v>
      </c>
      <c r="AC184" t="s">
        <v>48</v>
      </c>
      <c r="AD184" t="s">
        <v>48</v>
      </c>
      <c r="AE184" t="s">
        <v>48</v>
      </c>
      <c r="AF184" t="s">
        <v>1079</v>
      </c>
      <c r="AG184">
        <v>3499300</v>
      </c>
      <c r="AH184" s="13">
        <v>87483</v>
      </c>
      <c r="AL184" t="s">
        <v>6072</v>
      </c>
      <c r="AM184" s="13">
        <v>87483</v>
      </c>
      <c r="AN184" s="16">
        <f>Table9[[#This Row],[Premium]]-Table9[[#This Row],[Tms prem]]</f>
        <v>0</v>
      </c>
    </row>
    <row r="185" spans="1:40" x14ac:dyDescent="0.25">
      <c r="A185">
        <v>214</v>
      </c>
      <c r="B185" t="s">
        <v>37</v>
      </c>
      <c r="C185" t="s">
        <v>2842</v>
      </c>
      <c r="D185" t="s">
        <v>39</v>
      </c>
      <c r="E185" t="s">
        <v>40</v>
      </c>
      <c r="F185" t="s">
        <v>1961</v>
      </c>
      <c r="G185" t="s">
        <v>2843</v>
      </c>
      <c r="H185" t="s">
        <v>128</v>
      </c>
      <c r="I185" t="s">
        <v>2844</v>
      </c>
      <c r="J185" t="s">
        <v>2845</v>
      </c>
      <c r="K185" t="s">
        <v>48</v>
      </c>
      <c r="L185" t="s">
        <v>2846</v>
      </c>
      <c r="M185" t="s">
        <v>2847</v>
      </c>
      <c r="N185">
        <v>1778416</v>
      </c>
      <c r="O185">
        <v>3981500</v>
      </c>
      <c r="P185" t="s">
        <v>2848</v>
      </c>
      <c r="Q185" s="1">
        <v>45578</v>
      </c>
      <c r="R185" t="s">
        <v>2849</v>
      </c>
      <c r="S185" t="s">
        <v>2850</v>
      </c>
      <c r="T185" t="s">
        <v>51</v>
      </c>
      <c r="U185" t="s">
        <v>48</v>
      </c>
      <c r="V185" t="s">
        <v>877</v>
      </c>
      <c r="W185" t="s">
        <v>198</v>
      </c>
      <c r="X185" t="s">
        <v>2539</v>
      </c>
      <c r="Y185" t="s">
        <v>2448</v>
      </c>
      <c r="Z185" t="s">
        <v>326</v>
      </c>
      <c r="AA185" t="s">
        <v>2851</v>
      </c>
      <c r="AB185">
        <v>7</v>
      </c>
      <c r="AC185" t="s">
        <v>556</v>
      </c>
      <c r="AD185" t="s">
        <v>2852</v>
      </c>
      <c r="AE185" t="s">
        <v>2246</v>
      </c>
      <c r="AF185" t="s">
        <v>61</v>
      </c>
      <c r="AG185">
        <v>2986125</v>
      </c>
      <c r="AH185" s="13">
        <v>59723</v>
      </c>
      <c r="AL185" t="s">
        <v>6073</v>
      </c>
      <c r="AM185" s="13">
        <v>59723</v>
      </c>
      <c r="AN185" s="16">
        <f>Table9[[#This Row],[Premium]]-Table9[[#This Row],[Tms prem]]</f>
        <v>0</v>
      </c>
    </row>
    <row r="186" spans="1:40" x14ac:dyDescent="0.25">
      <c r="A186">
        <v>215</v>
      </c>
      <c r="B186" t="s">
        <v>37</v>
      </c>
      <c r="C186" t="s">
        <v>2853</v>
      </c>
      <c r="D186" t="s">
        <v>39</v>
      </c>
      <c r="E186" t="s">
        <v>40</v>
      </c>
      <c r="F186" t="s">
        <v>2377</v>
      </c>
      <c r="G186" t="s">
        <v>2854</v>
      </c>
      <c r="H186" t="s">
        <v>83</v>
      </c>
      <c r="I186" t="s">
        <v>2855</v>
      </c>
      <c r="J186" t="s">
        <v>2856</v>
      </c>
      <c r="K186" t="s">
        <v>2856</v>
      </c>
      <c r="L186" t="s">
        <v>2856</v>
      </c>
      <c r="M186" t="s">
        <v>2857</v>
      </c>
      <c r="N186">
        <v>903802</v>
      </c>
      <c r="O186">
        <v>4127000</v>
      </c>
      <c r="P186" t="s">
        <v>2858</v>
      </c>
      <c r="Q186" s="1">
        <v>45578</v>
      </c>
      <c r="R186" t="s">
        <v>2859</v>
      </c>
      <c r="S186" t="s">
        <v>2860</v>
      </c>
      <c r="T186" t="s">
        <v>51</v>
      </c>
      <c r="U186" t="s">
        <v>48</v>
      </c>
      <c r="V186" t="s">
        <v>2861</v>
      </c>
      <c r="W186" t="s">
        <v>198</v>
      </c>
      <c r="X186" t="s">
        <v>2246</v>
      </c>
      <c r="Y186" t="s">
        <v>2448</v>
      </c>
      <c r="Z186" t="s">
        <v>507</v>
      </c>
      <c r="AA186" t="s">
        <v>2862</v>
      </c>
      <c r="AB186">
        <v>5</v>
      </c>
      <c r="AC186" t="s">
        <v>2492</v>
      </c>
      <c r="AD186" t="s">
        <v>2863</v>
      </c>
      <c r="AE186" t="s">
        <v>2539</v>
      </c>
      <c r="AF186" t="s">
        <v>61</v>
      </c>
      <c r="AG186">
        <v>3095250</v>
      </c>
      <c r="AH186" s="13">
        <v>61905</v>
      </c>
      <c r="AL186" t="s">
        <v>6074</v>
      </c>
      <c r="AM186" s="13">
        <v>61905</v>
      </c>
      <c r="AN186" s="16">
        <f>Table9[[#This Row],[Premium]]-Table9[[#This Row],[Tms prem]]</f>
        <v>0</v>
      </c>
    </row>
    <row r="187" spans="1:40" x14ac:dyDescent="0.25">
      <c r="A187">
        <v>216</v>
      </c>
      <c r="B187" t="s">
        <v>37</v>
      </c>
      <c r="C187" t="s">
        <v>2864</v>
      </c>
      <c r="D187" t="s">
        <v>39</v>
      </c>
      <c r="E187" t="s">
        <v>40</v>
      </c>
      <c r="F187" t="s">
        <v>41</v>
      </c>
      <c r="G187" t="s">
        <v>2865</v>
      </c>
      <c r="H187" t="s">
        <v>43</v>
      </c>
      <c r="I187" t="s">
        <v>2866</v>
      </c>
      <c r="J187" t="s">
        <v>2867</v>
      </c>
      <c r="K187" t="s">
        <v>2868</v>
      </c>
      <c r="L187" t="s">
        <v>2867</v>
      </c>
      <c r="M187" t="s">
        <v>2869</v>
      </c>
      <c r="N187">
        <v>331545</v>
      </c>
      <c r="O187">
        <v>2678000</v>
      </c>
      <c r="P187" t="s">
        <v>2870</v>
      </c>
      <c r="Q187" s="1">
        <v>45578</v>
      </c>
      <c r="R187" t="s">
        <v>2871</v>
      </c>
      <c r="S187" t="s">
        <v>2872</v>
      </c>
      <c r="T187" t="s">
        <v>51</v>
      </c>
      <c r="U187" t="s">
        <v>48</v>
      </c>
      <c r="V187" t="s">
        <v>2873</v>
      </c>
      <c r="W187" t="s">
        <v>198</v>
      </c>
      <c r="X187" t="s">
        <v>2874</v>
      </c>
      <c r="Y187" t="s">
        <v>2141</v>
      </c>
      <c r="Z187" t="s">
        <v>1363</v>
      </c>
      <c r="AA187" t="s">
        <v>2875</v>
      </c>
      <c r="AB187">
        <v>5</v>
      </c>
      <c r="AC187" t="s">
        <v>78</v>
      </c>
      <c r="AD187" t="s">
        <v>2876</v>
      </c>
      <c r="AE187" t="s">
        <v>2539</v>
      </c>
      <c r="AF187" t="s">
        <v>61</v>
      </c>
      <c r="AG187">
        <v>2008500</v>
      </c>
      <c r="AH187" s="13">
        <v>40170</v>
      </c>
      <c r="AL187" t="s">
        <v>6075</v>
      </c>
      <c r="AM187" s="13">
        <v>40170</v>
      </c>
      <c r="AN187" s="16">
        <f>Table9[[#This Row],[Premium]]-Table9[[#This Row],[Tms prem]]</f>
        <v>0</v>
      </c>
    </row>
    <row r="188" spans="1:40" x14ac:dyDescent="0.25">
      <c r="A188">
        <v>217</v>
      </c>
      <c r="B188" t="s">
        <v>37</v>
      </c>
      <c r="C188" t="s">
        <v>2877</v>
      </c>
      <c r="D188" t="s">
        <v>39</v>
      </c>
      <c r="E188" t="s">
        <v>40</v>
      </c>
      <c r="F188" t="s">
        <v>2878</v>
      </c>
      <c r="G188" t="s">
        <v>2879</v>
      </c>
      <c r="H188" t="s">
        <v>83</v>
      </c>
      <c r="I188" t="s">
        <v>2880</v>
      </c>
      <c r="J188" t="s">
        <v>2881</v>
      </c>
      <c r="K188" t="s">
        <v>2881</v>
      </c>
      <c r="L188" t="s">
        <v>2882</v>
      </c>
      <c r="M188" t="s">
        <v>2883</v>
      </c>
      <c r="N188">
        <v>1328351</v>
      </c>
      <c r="O188">
        <v>8700000</v>
      </c>
      <c r="P188" t="s">
        <v>2884</v>
      </c>
      <c r="Q188" s="1">
        <v>45583</v>
      </c>
      <c r="R188" t="s">
        <v>2885</v>
      </c>
      <c r="S188" t="s">
        <v>2886</v>
      </c>
      <c r="T188" t="s">
        <v>196</v>
      </c>
      <c r="U188" t="s">
        <v>2887</v>
      </c>
      <c r="V188" t="s">
        <v>2888</v>
      </c>
      <c r="W188" t="s">
        <v>1393</v>
      </c>
      <c r="X188" t="s">
        <v>2744</v>
      </c>
      <c r="Y188" t="s">
        <v>669</v>
      </c>
      <c r="Z188" t="s">
        <v>507</v>
      </c>
      <c r="AA188" t="s">
        <v>2889</v>
      </c>
      <c r="AB188">
        <v>3</v>
      </c>
      <c r="AC188" t="s">
        <v>556</v>
      </c>
      <c r="AD188" t="s">
        <v>2890</v>
      </c>
      <c r="AE188" t="s">
        <v>2744</v>
      </c>
      <c r="AF188" t="s">
        <v>155</v>
      </c>
      <c r="AG188">
        <v>7395000</v>
      </c>
      <c r="AH188" s="13">
        <v>129413</v>
      </c>
      <c r="AL188" t="s">
        <v>6076</v>
      </c>
      <c r="AM188" s="13">
        <v>129413</v>
      </c>
      <c r="AN188" s="16">
        <f>Table9[[#This Row],[Premium]]-Table9[[#This Row],[Tms prem]]</f>
        <v>0</v>
      </c>
    </row>
    <row r="189" spans="1:40" x14ac:dyDescent="0.25">
      <c r="A189">
        <v>218</v>
      </c>
      <c r="B189" t="s">
        <v>37</v>
      </c>
      <c r="C189" t="s">
        <v>2891</v>
      </c>
      <c r="D189" t="s">
        <v>39</v>
      </c>
      <c r="E189" t="s">
        <v>40</v>
      </c>
      <c r="F189" t="s">
        <v>2892</v>
      </c>
      <c r="G189" t="s">
        <v>2893</v>
      </c>
      <c r="H189" t="s">
        <v>188</v>
      </c>
      <c r="I189" t="s">
        <v>2894</v>
      </c>
      <c r="J189" t="s">
        <v>2895</v>
      </c>
      <c r="K189" t="s">
        <v>2895</v>
      </c>
      <c r="L189" t="s">
        <v>438</v>
      </c>
      <c r="M189" t="s">
        <v>2896</v>
      </c>
      <c r="N189">
        <v>995691</v>
      </c>
      <c r="O189">
        <v>3180000</v>
      </c>
      <c r="P189" t="s">
        <v>2897</v>
      </c>
      <c r="Q189" s="1">
        <v>45583</v>
      </c>
      <c r="R189" t="s">
        <v>2898</v>
      </c>
      <c r="S189" t="s">
        <v>2899</v>
      </c>
      <c r="T189" t="s">
        <v>51</v>
      </c>
      <c r="U189" t="s">
        <v>48</v>
      </c>
      <c r="V189" t="s">
        <v>2900</v>
      </c>
      <c r="W189" t="s">
        <v>552</v>
      </c>
      <c r="X189" t="s">
        <v>2744</v>
      </c>
      <c r="Y189" t="s">
        <v>669</v>
      </c>
      <c r="Z189" t="s">
        <v>507</v>
      </c>
      <c r="AA189" t="s">
        <v>2901</v>
      </c>
      <c r="AB189">
        <v>3</v>
      </c>
      <c r="AC189" t="s">
        <v>556</v>
      </c>
      <c r="AD189" t="s">
        <v>2902</v>
      </c>
      <c r="AE189" t="s">
        <v>2624</v>
      </c>
      <c r="AF189" t="s">
        <v>155</v>
      </c>
      <c r="AG189">
        <v>2703000</v>
      </c>
      <c r="AH189" s="13">
        <v>47303</v>
      </c>
      <c r="AL189" t="s">
        <v>6077</v>
      </c>
      <c r="AM189" s="13">
        <v>47303</v>
      </c>
      <c r="AN189" s="16">
        <f>Table9[[#This Row],[Premium]]-Table9[[#This Row],[Tms prem]]</f>
        <v>0</v>
      </c>
    </row>
    <row r="190" spans="1:40" x14ac:dyDescent="0.25">
      <c r="A190">
        <v>219</v>
      </c>
      <c r="B190" t="s">
        <v>37</v>
      </c>
      <c r="C190" t="s">
        <v>2903</v>
      </c>
      <c r="D190" t="s">
        <v>39</v>
      </c>
      <c r="E190" t="s">
        <v>40</v>
      </c>
      <c r="F190" t="s">
        <v>585</v>
      </c>
      <c r="G190" t="s">
        <v>2904</v>
      </c>
      <c r="H190" t="s">
        <v>172</v>
      </c>
      <c r="I190" t="s">
        <v>2905</v>
      </c>
      <c r="J190" t="s">
        <v>2906</v>
      </c>
      <c r="K190" t="s">
        <v>2907</v>
      </c>
      <c r="L190" t="s">
        <v>2908</v>
      </c>
      <c r="M190" t="s">
        <v>2909</v>
      </c>
      <c r="N190">
        <v>267871</v>
      </c>
      <c r="O190">
        <v>1398000</v>
      </c>
      <c r="P190" t="s">
        <v>2910</v>
      </c>
      <c r="Q190" s="1">
        <v>45578</v>
      </c>
      <c r="R190" t="s">
        <v>2911</v>
      </c>
      <c r="S190" t="s">
        <v>2912</v>
      </c>
      <c r="T190" t="s">
        <v>51</v>
      </c>
      <c r="U190" t="s">
        <v>48</v>
      </c>
      <c r="V190" t="s">
        <v>810</v>
      </c>
      <c r="W190" t="s">
        <v>198</v>
      </c>
      <c r="X190" t="s">
        <v>2542</v>
      </c>
      <c r="Y190" t="s">
        <v>2448</v>
      </c>
      <c r="Z190" t="s">
        <v>507</v>
      </c>
      <c r="AA190" t="s">
        <v>2913</v>
      </c>
      <c r="AB190">
        <v>5</v>
      </c>
      <c r="AC190" t="s">
        <v>2492</v>
      </c>
      <c r="AD190" t="s">
        <v>2914</v>
      </c>
      <c r="AE190" t="s">
        <v>2246</v>
      </c>
      <c r="AF190" t="s">
        <v>61</v>
      </c>
      <c r="AG190">
        <v>1048500</v>
      </c>
      <c r="AH190" s="13">
        <v>20970</v>
      </c>
      <c r="AL190" t="s">
        <v>6078</v>
      </c>
      <c r="AM190" s="13">
        <v>20970</v>
      </c>
      <c r="AN190" s="16">
        <f>Table9[[#This Row],[Premium]]-Table9[[#This Row],[Tms prem]]</f>
        <v>0</v>
      </c>
    </row>
    <row r="191" spans="1:40" x14ac:dyDescent="0.25">
      <c r="A191">
        <v>220</v>
      </c>
      <c r="B191" t="s">
        <v>37</v>
      </c>
      <c r="C191" t="s">
        <v>2915</v>
      </c>
      <c r="D191" t="s">
        <v>39</v>
      </c>
      <c r="E191" t="s">
        <v>40</v>
      </c>
      <c r="F191" t="s">
        <v>1096</v>
      </c>
      <c r="G191" t="s">
        <v>2916</v>
      </c>
      <c r="H191" t="s">
        <v>188</v>
      </c>
      <c r="I191" t="s">
        <v>2917</v>
      </c>
      <c r="J191" t="s">
        <v>2918</v>
      </c>
      <c r="K191" t="s">
        <v>2918</v>
      </c>
      <c r="L191" t="s">
        <v>2919</v>
      </c>
      <c r="M191" t="s">
        <v>2920</v>
      </c>
      <c r="N191">
        <v>256476</v>
      </c>
      <c r="O191">
        <v>1800000</v>
      </c>
      <c r="P191" t="s">
        <v>2921</v>
      </c>
      <c r="Q191" s="1">
        <v>45578</v>
      </c>
      <c r="R191" t="s">
        <v>2922</v>
      </c>
      <c r="S191" t="s">
        <v>2923</v>
      </c>
      <c r="T191" t="s">
        <v>196</v>
      </c>
      <c r="U191" t="s">
        <v>2924</v>
      </c>
      <c r="V191" t="s">
        <v>2925</v>
      </c>
      <c r="W191" t="s">
        <v>1180</v>
      </c>
      <c r="X191" t="s">
        <v>2285</v>
      </c>
      <c r="Y191" t="s">
        <v>2448</v>
      </c>
      <c r="Z191" t="s">
        <v>507</v>
      </c>
      <c r="AA191" t="s">
        <v>2926</v>
      </c>
      <c r="AB191">
        <v>5</v>
      </c>
      <c r="AC191" t="s">
        <v>2492</v>
      </c>
      <c r="AD191" t="s">
        <v>2927</v>
      </c>
      <c r="AE191" t="s">
        <v>2246</v>
      </c>
      <c r="AF191" t="s">
        <v>61</v>
      </c>
      <c r="AG191">
        <v>1350000</v>
      </c>
      <c r="AH191" s="13">
        <v>27000</v>
      </c>
      <c r="AL191" t="s">
        <v>6079</v>
      </c>
      <c r="AM191" s="13">
        <v>27000</v>
      </c>
      <c r="AN191" s="16">
        <f>Table9[[#This Row],[Premium]]-Table9[[#This Row],[Tms prem]]</f>
        <v>0</v>
      </c>
    </row>
    <row r="192" spans="1:40" x14ac:dyDescent="0.25">
      <c r="A192">
        <v>221</v>
      </c>
      <c r="B192" t="s">
        <v>37</v>
      </c>
      <c r="C192" t="s">
        <v>2928</v>
      </c>
      <c r="D192" t="s">
        <v>39</v>
      </c>
      <c r="E192" t="s">
        <v>40</v>
      </c>
      <c r="F192" t="s">
        <v>1096</v>
      </c>
      <c r="G192" t="s">
        <v>2929</v>
      </c>
      <c r="H192" t="s">
        <v>188</v>
      </c>
      <c r="I192" t="s">
        <v>2930</v>
      </c>
      <c r="J192" t="s">
        <v>2931</v>
      </c>
      <c r="K192" t="s">
        <v>2932</v>
      </c>
      <c r="L192" t="s">
        <v>2933</v>
      </c>
      <c r="M192" t="s">
        <v>2934</v>
      </c>
      <c r="N192">
        <v>370457</v>
      </c>
      <c r="O192">
        <v>2600000</v>
      </c>
      <c r="P192" t="s">
        <v>2935</v>
      </c>
      <c r="Q192" s="1">
        <v>45577</v>
      </c>
      <c r="R192" t="s">
        <v>2936</v>
      </c>
      <c r="S192" t="s">
        <v>2937</v>
      </c>
      <c r="T192" t="s">
        <v>196</v>
      </c>
      <c r="U192" t="s">
        <v>2938</v>
      </c>
      <c r="V192" t="s">
        <v>1074</v>
      </c>
      <c r="W192" t="s">
        <v>1054</v>
      </c>
      <c r="X192" t="s">
        <v>2539</v>
      </c>
      <c r="Y192" t="s">
        <v>2448</v>
      </c>
      <c r="Z192" t="s">
        <v>507</v>
      </c>
      <c r="AA192" t="s">
        <v>2939</v>
      </c>
      <c r="AB192">
        <v>5</v>
      </c>
      <c r="AC192" t="s">
        <v>2492</v>
      </c>
      <c r="AD192" t="s">
        <v>2940</v>
      </c>
      <c r="AE192" t="s">
        <v>2941</v>
      </c>
      <c r="AF192" t="s">
        <v>61</v>
      </c>
      <c r="AG192">
        <v>1950000</v>
      </c>
      <c r="AH192" s="13">
        <v>39000</v>
      </c>
      <c r="AL192" t="s">
        <v>6080</v>
      </c>
      <c r="AM192" s="13">
        <v>39000</v>
      </c>
      <c r="AN192" s="16">
        <f>Table9[[#This Row],[Premium]]-Table9[[#This Row],[Tms prem]]</f>
        <v>0</v>
      </c>
    </row>
    <row r="193" spans="1:40" x14ac:dyDescent="0.25">
      <c r="A193">
        <v>222</v>
      </c>
      <c r="B193" t="s">
        <v>184</v>
      </c>
      <c r="C193" t="s">
        <v>2942</v>
      </c>
      <c r="D193" t="s">
        <v>39</v>
      </c>
      <c r="E193" t="s">
        <v>40</v>
      </c>
      <c r="F193" t="s">
        <v>63</v>
      </c>
      <c r="G193" t="s">
        <v>2943</v>
      </c>
      <c r="H193" t="s">
        <v>2944</v>
      </c>
      <c r="I193" t="s">
        <v>2945</v>
      </c>
      <c r="J193" t="s">
        <v>48</v>
      </c>
      <c r="K193" t="s">
        <v>2946</v>
      </c>
      <c r="L193" t="s">
        <v>48</v>
      </c>
      <c r="M193" t="s">
        <v>2947</v>
      </c>
      <c r="N193">
        <v>244567</v>
      </c>
      <c r="O193">
        <v>1164000</v>
      </c>
      <c r="P193" t="s">
        <v>2948</v>
      </c>
      <c r="Q193" s="1">
        <v>45576</v>
      </c>
      <c r="R193" t="s">
        <v>2949</v>
      </c>
      <c r="S193" t="s">
        <v>2950</v>
      </c>
      <c r="T193" t="s">
        <v>51</v>
      </c>
      <c r="U193" t="s">
        <v>2951</v>
      </c>
      <c r="V193" t="s">
        <v>1205</v>
      </c>
      <c r="W193" t="s">
        <v>1054</v>
      </c>
      <c r="X193" t="s">
        <v>2952</v>
      </c>
      <c r="Y193" t="s">
        <v>2686</v>
      </c>
      <c r="Z193" t="s">
        <v>507</v>
      </c>
      <c r="AA193" t="s">
        <v>2953</v>
      </c>
      <c r="AB193">
        <v>7</v>
      </c>
      <c r="AC193" t="s">
        <v>78</v>
      </c>
      <c r="AD193" t="s">
        <v>2954</v>
      </c>
      <c r="AE193" t="s">
        <v>2955</v>
      </c>
      <c r="AF193" t="s">
        <v>1061</v>
      </c>
      <c r="AG193">
        <v>756600</v>
      </c>
      <c r="AH193" s="13">
        <v>23455</v>
      </c>
      <c r="AL193" t="s">
        <v>6081</v>
      </c>
      <c r="AM193" s="13">
        <v>23455</v>
      </c>
      <c r="AN193" s="16">
        <f>Table9[[#This Row],[Premium]]-Table9[[#This Row],[Tms prem]]</f>
        <v>0</v>
      </c>
    </row>
    <row r="194" spans="1:40" x14ac:dyDescent="0.25">
      <c r="A194">
        <v>224</v>
      </c>
      <c r="B194" t="s">
        <v>37</v>
      </c>
      <c r="C194" t="s">
        <v>2972</v>
      </c>
      <c r="D194" t="s">
        <v>39</v>
      </c>
      <c r="E194" t="s">
        <v>40</v>
      </c>
      <c r="F194" t="s">
        <v>1961</v>
      </c>
      <c r="G194" t="s">
        <v>2973</v>
      </c>
      <c r="H194" t="s">
        <v>128</v>
      </c>
      <c r="I194" t="s">
        <v>2974</v>
      </c>
      <c r="J194" t="s">
        <v>2975</v>
      </c>
      <c r="K194" t="s">
        <v>48</v>
      </c>
      <c r="L194" t="s">
        <v>2976</v>
      </c>
      <c r="M194" t="s">
        <v>2977</v>
      </c>
      <c r="N194">
        <v>655551</v>
      </c>
      <c r="O194">
        <v>2574000</v>
      </c>
      <c r="P194" t="s">
        <v>2978</v>
      </c>
      <c r="Q194" s="1">
        <v>45576</v>
      </c>
      <c r="R194" t="s">
        <v>2979</v>
      </c>
      <c r="S194" t="s">
        <v>2980</v>
      </c>
      <c r="T194" t="s">
        <v>51</v>
      </c>
      <c r="U194" t="s">
        <v>48</v>
      </c>
      <c r="V194" t="s">
        <v>2284</v>
      </c>
      <c r="W194" t="s">
        <v>198</v>
      </c>
      <c r="X194" t="s">
        <v>2981</v>
      </c>
      <c r="Y194" t="s">
        <v>2448</v>
      </c>
      <c r="Z194" t="s">
        <v>507</v>
      </c>
      <c r="AA194" t="s">
        <v>2982</v>
      </c>
      <c r="AB194">
        <v>5</v>
      </c>
      <c r="AC194" t="s">
        <v>540</v>
      </c>
      <c r="AD194" t="s">
        <v>2983</v>
      </c>
      <c r="AE194" t="s">
        <v>2984</v>
      </c>
      <c r="AF194" t="s">
        <v>61</v>
      </c>
      <c r="AG194">
        <v>1930500</v>
      </c>
      <c r="AH194" s="13">
        <v>38610</v>
      </c>
      <c r="AL194" t="s">
        <v>6082</v>
      </c>
      <c r="AM194" s="13">
        <v>38610</v>
      </c>
      <c r="AN194" s="16">
        <f>Table9[[#This Row],[Premium]]-Table9[[#This Row],[Tms prem]]</f>
        <v>0</v>
      </c>
    </row>
    <row r="195" spans="1:40" x14ac:dyDescent="0.25">
      <c r="A195">
        <v>225</v>
      </c>
      <c r="B195" t="s">
        <v>37</v>
      </c>
      <c r="C195" t="s">
        <v>2985</v>
      </c>
      <c r="D195" t="s">
        <v>39</v>
      </c>
      <c r="E195" t="s">
        <v>40</v>
      </c>
      <c r="F195" t="s">
        <v>659</v>
      </c>
      <c r="G195" t="s">
        <v>2986</v>
      </c>
      <c r="H195" t="s">
        <v>83</v>
      </c>
      <c r="I195" t="s">
        <v>2987</v>
      </c>
      <c r="J195" t="s">
        <v>48</v>
      </c>
      <c r="K195" t="s">
        <v>2988</v>
      </c>
      <c r="L195" t="s">
        <v>48</v>
      </c>
      <c r="M195" t="s">
        <v>2989</v>
      </c>
      <c r="N195">
        <v>1422524</v>
      </c>
      <c r="O195">
        <v>4250000</v>
      </c>
      <c r="P195" t="s">
        <v>2990</v>
      </c>
      <c r="Q195" s="1">
        <v>45583</v>
      </c>
      <c r="R195" t="s">
        <v>2991</v>
      </c>
      <c r="S195" t="s">
        <v>2992</v>
      </c>
      <c r="T195" t="s">
        <v>196</v>
      </c>
      <c r="U195" t="s">
        <v>2993</v>
      </c>
      <c r="V195" t="s">
        <v>2994</v>
      </c>
      <c r="W195" t="s">
        <v>1393</v>
      </c>
      <c r="X195" t="s">
        <v>2995</v>
      </c>
      <c r="Y195" t="s">
        <v>2996</v>
      </c>
      <c r="Z195" t="s">
        <v>1518</v>
      </c>
      <c r="AA195" t="s">
        <v>2997</v>
      </c>
      <c r="AB195">
        <v>3</v>
      </c>
      <c r="AC195" t="s">
        <v>556</v>
      </c>
      <c r="AD195" t="s">
        <v>2998</v>
      </c>
      <c r="AE195" t="s">
        <v>2744</v>
      </c>
      <c r="AF195" t="s">
        <v>155</v>
      </c>
      <c r="AG195">
        <v>3612500</v>
      </c>
      <c r="AH195" s="13">
        <v>63219</v>
      </c>
      <c r="AL195" t="s">
        <v>6083</v>
      </c>
      <c r="AM195" s="13">
        <v>63219</v>
      </c>
      <c r="AN195" s="16">
        <f>Table9[[#This Row],[Premium]]-Table9[[#This Row],[Tms prem]]</f>
        <v>0</v>
      </c>
    </row>
    <row r="196" spans="1:40" x14ac:dyDescent="0.25">
      <c r="A196">
        <v>227</v>
      </c>
      <c r="B196" t="s">
        <v>37</v>
      </c>
      <c r="C196" t="s">
        <v>3014</v>
      </c>
      <c r="D196" t="s">
        <v>39</v>
      </c>
      <c r="E196" t="s">
        <v>40</v>
      </c>
      <c r="F196" t="s">
        <v>1096</v>
      </c>
      <c r="G196" t="s">
        <v>3015</v>
      </c>
      <c r="H196" t="s">
        <v>188</v>
      </c>
      <c r="I196" t="s">
        <v>3016</v>
      </c>
      <c r="J196" t="s">
        <v>3017</v>
      </c>
      <c r="K196" t="s">
        <v>3017</v>
      </c>
      <c r="L196" t="s">
        <v>3017</v>
      </c>
      <c r="M196" t="s">
        <v>3018</v>
      </c>
      <c r="N196">
        <v>1602245</v>
      </c>
      <c r="O196">
        <v>2550000</v>
      </c>
      <c r="P196" t="s">
        <v>3019</v>
      </c>
      <c r="Q196" t="s">
        <v>3020</v>
      </c>
      <c r="R196" t="s">
        <v>3021</v>
      </c>
      <c r="S196" t="s">
        <v>3022</v>
      </c>
      <c r="T196" t="s">
        <v>196</v>
      </c>
      <c r="U196" t="s">
        <v>3023</v>
      </c>
      <c r="V196" t="s">
        <v>73</v>
      </c>
      <c r="W196" t="s">
        <v>53</v>
      </c>
      <c r="X196" s="1">
        <v>45219</v>
      </c>
      <c r="Y196" t="s">
        <v>1809</v>
      </c>
      <c r="Z196" t="s">
        <v>378</v>
      </c>
      <c r="AA196" t="s">
        <v>3024</v>
      </c>
      <c r="AB196">
        <v>5</v>
      </c>
      <c r="AC196" t="s">
        <v>78</v>
      </c>
      <c r="AD196" t="s">
        <v>3025</v>
      </c>
      <c r="AE196" t="s">
        <v>3026</v>
      </c>
      <c r="AF196" t="s">
        <v>882</v>
      </c>
      <c r="AG196">
        <v>2295000</v>
      </c>
      <c r="AH196" s="13">
        <v>34425</v>
      </c>
      <c r="AL196" t="s">
        <v>6084</v>
      </c>
      <c r="AM196" s="13">
        <v>34425</v>
      </c>
      <c r="AN196" s="16">
        <f>Table9[[#This Row],[Premium]]-Table9[[#This Row],[Tms prem]]</f>
        <v>0</v>
      </c>
    </row>
    <row r="197" spans="1:40" x14ac:dyDescent="0.25">
      <c r="A197">
        <v>230</v>
      </c>
      <c r="B197" t="s">
        <v>184</v>
      </c>
      <c r="C197" t="s">
        <v>3054</v>
      </c>
      <c r="D197" t="s">
        <v>39</v>
      </c>
      <c r="E197" t="s">
        <v>40</v>
      </c>
      <c r="F197" t="s">
        <v>2813</v>
      </c>
      <c r="G197" t="s">
        <v>3055</v>
      </c>
      <c r="H197" t="s">
        <v>3056</v>
      </c>
      <c r="I197" t="s">
        <v>3057</v>
      </c>
      <c r="J197" t="s">
        <v>48</v>
      </c>
      <c r="K197" t="s">
        <v>3058</v>
      </c>
      <c r="L197" t="s">
        <v>3059</v>
      </c>
      <c r="M197" t="s">
        <v>3060</v>
      </c>
      <c r="N197">
        <v>1410879</v>
      </c>
      <c r="O197">
        <v>5399000</v>
      </c>
      <c r="P197" t="s">
        <v>3061</v>
      </c>
      <c r="Q197" s="1">
        <v>45573</v>
      </c>
      <c r="R197" t="s">
        <v>3062</v>
      </c>
      <c r="S197" t="s">
        <v>3063</v>
      </c>
      <c r="T197" t="s">
        <v>51</v>
      </c>
      <c r="U197" t="s">
        <v>48</v>
      </c>
      <c r="V197" t="s">
        <v>164</v>
      </c>
      <c r="W197" t="s">
        <v>198</v>
      </c>
      <c r="X197" t="s">
        <v>3064</v>
      </c>
      <c r="Y197" t="s">
        <v>2141</v>
      </c>
      <c r="Z197" t="s">
        <v>1363</v>
      </c>
      <c r="AA197" t="s">
        <v>3065</v>
      </c>
      <c r="AB197">
        <v>5</v>
      </c>
      <c r="AC197" t="s">
        <v>48</v>
      </c>
      <c r="AD197" t="s">
        <v>48</v>
      </c>
      <c r="AE197" t="s">
        <v>48</v>
      </c>
      <c r="AF197" t="s">
        <v>882</v>
      </c>
      <c r="AG197">
        <v>4049250</v>
      </c>
      <c r="AH197" s="13">
        <v>60739</v>
      </c>
      <c r="AL197" t="s">
        <v>6085</v>
      </c>
      <c r="AM197" s="13">
        <v>60739</v>
      </c>
      <c r="AN197" s="16">
        <f>Table9[[#This Row],[Premium]]-Table9[[#This Row],[Tms prem]]</f>
        <v>0</v>
      </c>
    </row>
    <row r="198" spans="1:40" x14ac:dyDescent="0.25">
      <c r="A198">
        <v>231</v>
      </c>
      <c r="B198" t="s">
        <v>37</v>
      </c>
      <c r="C198" t="s">
        <v>3066</v>
      </c>
      <c r="D198" t="s">
        <v>39</v>
      </c>
      <c r="E198" t="s">
        <v>40</v>
      </c>
      <c r="F198" t="s">
        <v>3067</v>
      </c>
      <c r="G198" t="s">
        <v>3068</v>
      </c>
      <c r="H198" t="s">
        <v>188</v>
      </c>
      <c r="I198" t="s">
        <v>3069</v>
      </c>
      <c r="J198" t="s">
        <v>3070</v>
      </c>
      <c r="K198" t="s">
        <v>3070</v>
      </c>
      <c r="L198" t="s">
        <v>3071</v>
      </c>
      <c r="M198" t="s">
        <v>3072</v>
      </c>
      <c r="N198">
        <v>1090395</v>
      </c>
      <c r="O198">
        <v>4079500</v>
      </c>
      <c r="P198" t="s">
        <v>3073</v>
      </c>
      <c r="Q198" s="1">
        <v>45573</v>
      </c>
      <c r="R198" t="s">
        <v>3074</v>
      </c>
      <c r="S198" t="s">
        <v>3075</v>
      </c>
      <c r="T198" t="s">
        <v>51</v>
      </c>
      <c r="U198" t="s">
        <v>48</v>
      </c>
      <c r="V198" t="s">
        <v>1894</v>
      </c>
      <c r="W198" t="s">
        <v>198</v>
      </c>
      <c r="X198" t="s">
        <v>3076</v>
      </c>
      <c r="Y198" t="s">
        <v>1504</v>
      </c>
      <c r="Z198" t="s">
        <v>1518</v>
      </c>
      <c r="AA198" t="s">
        <v>3077</v>
      </c>
      <c r="AB198">
        <v>5</v>
      </c>
      <c r="AC198" t="s">
        <v>78</v>
      </c>
      <c r="AD198" t="s">
        <v>3078</v>
      </c>
      <c r="AE198" t="s">
        <v>3079</v>
      </c>
      <c r="AF198" t="s">
        <v>882</v>
      </c>
      <c r="AG198">
        <v>3059625</v>
      </c>
      <c r="AH198" s="13">
        <v>45894</v>
      </c>
      <c r="AL198" t="s">
        <v>6086</v>
      </c>
      <c r="AM198" s="13">
        <v>45894</v>
      </c>
      <c r="AN198" s="16">
        <f>Table9[[#This Row],[Premium]]-Table9[[#This Row],[Tms prem]]</f>
        <v>0</v>
      </c>
    </row>
    <row r="199" spans="1:40" x14ac:dyDescent="0.25">
      <c r="A199">
        <v>232</v>
      </c>
      <c r="B199" t="s">
        <v>37</v>
      </c>
      <c r="C199" t="s">
        <v>3080</v>
      </c>
      <c r="D199" t="s">
        <v>39</v>
      </c>
      <c r="E199" t="s">
        <v>40</v>
      </c>
      <c r="F199" t="s">
        <v>944</v>
      </c>
      <c r="G199" t="s">
        <v>3081</v>
      </c>
      <c r="H199" t="s">
        <v>128</v>
      </c>
      <c r="I199" t="s">
        <v>3082</v>
      </c>
      <c r="J199" t="s">
        <v>1298</v>
      </c>
      <c r="K199" t="s">
        <v>3083</v>
      </c>
      <c r="L199" t="s">
        <v>3084</v>
      </c>
      <c r="M199" t="s">
        <v>3085</v>
      </c>
      <c r="N199">
        <v>1751802</v>
      </c>
      <c r="O199">
        <v>4150000</v>
      </c>
      <c r="P199" t="s">
        <v>3086</v>
      </c>
      <c r="Q199" s="1">
        <v>45573</v>
      </c>
      <c r="R199" t="s">
        <v>3087</v>
      </c>
      <c r="S199" t="s">
        <v>3088</v>
      </c>
      <c r="T199" t="s">
        <v>51</v>
      </c>
      <c r="U199" t="s">
        <v>48</v>
      </c>
      <c r="V199" t="s">
        <v>3089</v>
      </c>
      <c r="W199" t="s">
        <v>198</v>
      </c>
      <c r="X199" t="s">
        <v>2981</v>
      </c>
      <c r="Y199" t="s">
        <v>3090</v>
      </c>
      <c r="Z199" t="s">
        <v>554</v>
      </c>
      <c r="AA199" t="s">
        <v>3091</v>
      </c>
      <c r="AB199">
        <v>7</v>
      </c>
      <c r="AC199" t="s">
        <v>556</v>
      </c>
      <c r="AD199" t="s">
        <v>3092</v>
      </c>
      <c r="AE199" t="s">
        <v>3093</v>
      </c>
      <c r="AF199" t="s">
        <v>882</v>
      </c>
      <c r="AG199">
        <v>3112500</v>
      </c>
      <c r="AH199" s="13">
        <v>46688</v>
      </c>
      <c r="AL199" t="s">
        <v>6087</v>
      </c>
      <c r="AM199" s="13">
        <v>46688</v>
      </c>
      <c r="AN199" s="16">
        <f>Table9[[#This Row],[Premium]]-Table9[[#This Row],[Tms prem]]</f>
        <v>0</v>
      </c>
    </row>
    <row r="200" spans="1:40" x14ac:dyDescent="0.25">
      <c r="A200">
        <v>233</v>
      </c>
      <c r="B200" t="s">
        <v>37</v>
      </c>
      <c r="C200" t="s">
        <v>3094</v>
      </c>
      <c r="D200" t="s">
        <v>39</v>
      </c>
      <c r="E200" t="s">
        <v>40</v>
      </c>
      <c r="F200" t="s">
        <v>63</v>
      </c>
      <c r="G200" t="s">
        <v>3095</v>
      </c>
      <c r="H200" t="s">
        <v>43</v>
      </c>
      <c r="I200" t="s">
        <v>3096</v>
      </c>
      <c r="J200" t="s">
        <v>3097</v>
      </c>
      <c r="K200" t="s">
        <v>3098</v>
      </c>
      <c r="L200" t="s">
        <v>3099</v>
      </c>
      <c r="M200" t="s">
        <v>3100</v>
      </c>
      <c r="N200">
        <v>526214</v>
      </c>
      <c r="O200">
        <v>1335000</v>
      </c>
      <c r="P200" t="s">
        <v>3101</v>
      </c>
      <c r="Q200" s="1">
        <v>45584</v>
      </c>
      <c r="R200" t="s">
        <v>3102</v>
      </c>
      <c r="S200" t="s">
        <v>3103</v>
      </c>
      <c r="T200" t="s">
        <v>51</v>
      </c>
      <c r="U200" t="s">
        <v>48</v>
      </c>
      <c r="V200" t="s">
        <v>784</v>
      </c>
      <c r="W200" t="s">
        <v>53</v>
      </c>
      <c r="X200" t="s">
        <v>1266</v>
      </c>
      <c r="Y200" t="s">
        <v>92</v>
      </c>
      <c r="Z200" t="s">
        <v>93</v>
      </c>
      <c r="AA200" t="s">
        <v>3104</v>
      </c>
      <c r="AB200">
        <v>5</v>
      </c>
      <c r="AC200" t="s">
        <v>78</v>
      </c>
      <c r="AD200" t="s">
        <v>3105</v>
      </c>
      <c r="AE200" t="s">
        <v>629</v>
      </c>
      <c r="AF200" t="s">
        <v>61</v>
      </c>
      <c r="AG200">
        <v>1068000</v>
      </c>
      <c r="AH200" s="13">
        <v>21360</v>
      </c>
      <c r="AL200" t="s">
        <v>6088</v>
      </c>
      <c r="AM200" s="13">
        <v>21360</v>
      </c>
      <c r="AN200" s="16">
        <f>Table9[[#This Row],[Premium]]-Table9[[#This Row],[Tms prem]]</f>
        <v>0</v>
      </c>
    </row>
    <row r="201" spans="1:40" x14ac:dyDescent="0.25">
      <c r="A201">
        <v>234</v>
      </c>
      <c r="B201" t="s">
        <v>37</v>
      </c>
      <c r="C201" t="s">
        <v>3106</v>
      </c>
      <c r="D201" t="s">
        <v>39</v>
      </c>
      <c r="E201" t="s">
        <v>40</v>
      </c>
      <c r="F201" t="s">
        <v>1559</v>
      </c>
      <c r="G201" t="s">
        <v>3107</v>
      </c>
      <c r="H201" t="s">
        <v>188</v>
      </c>
      <c r="I201" t="s">
        <v>3108</v>
      </c>
      <c r="J201" t="s">
        <v>3109</v>
      </c>
      <c r="K201" t="s">
        <v>3109</v>
      </c>
      <c r="L201" t="s">
        <v>3109</v>
      </c>
      <c r="M201" t="s">
        <v>3110</v>
      </c>
      <c r="N201">
        <v>555482</v>
      </c>
      <c r="O201">
        <v>1554000</v>
      </c>
      <c r="P201" t="s">
        <v>3111</v>
      </c>
      <c r="Q201" s="1">
        <v>45584</v>
      </c>
      <c r="R201" t="s">
        <v>3112</v>
      </c>
      <c r="S201" t="s">
        <v>3113</v>
      </c>
      <c r="T201" t="s">
        <v>51</v>
      </c>
      <c r="U201" t="s">
        <v>48</v>
      </c>
      <c r="V201" t="s">
        <v>135</v>
      </c>
      <c r="W201" t="s">
        <v>53</v>
      </c>
      <c r="X201" t="s">
        <v>849</v>
      </c>
      <c r="Y201" t="s">
        <v>152</v>
      </c>
      <c r="Z201" t="s">
        <v>153</v>
      </c>
      <c r="AA201" t="s">
        <v>3114</v>
      </c>
      <c r="AB201">
        <v>5</v>
      </c>
      <c r="AC201" t="s">
        <v>78</v>
      </c>
      <c r="AD201" t="s">
        <v>3115</v>
      </c>
      <c r="AE201" t="s">
        <v>1143</v>
      </c>
      <c r="AF201" t="s">
        <v>61</v>
      </c>
      <c r="AG201">
        <v>1243200</v>
      </c>
      <c r="AH201" s="13">
        <v>24864</v>
      </c>
      <c r="AL201" t="s">
        <v>6089</v>
      </c>
      <c r="AM201" s="13">
        <v>24864</v>
      </c>
      <c r="AN201" s="16">
        <f>Table9[[#This Row],[Premium]]-Table9[[#This Row],[Tms prem]]</f>
        <v>0</v>
      </c>
    </row>
    <row r="202" spans="1:40" x14ac:dyDescent="0.25">
      <c r="A202">
        <v>235</v>
      </c>
      <c r="B202" t="s">
        <v>37</v>
      </c>
      <c r="C202" t="s">
        <v>3116</v>
      </c>
      <c r="D202" t="s">
        <v>39</v>
      </c>
      <c r="E202" t="s">
        <v>40</v>
      </c>
      <c r="F202" t="s">
        <v>2290</v>
      </c>
      <c r="G202" t="s">
        <v>3117</v>
      </c>
      <c r="H202" t="s">
        <v>188</v>
      </c>
      <c r="I202" t="s">
        <v>3118</v>
      </c>
      <c r="J202" t="s">
        <v>48</v>
      </c>
      <c r="K202" t="s">
        <v>3119</v>
      </c>
      <c r="L202" t="s">
        <v>48</v>
      </c>
      <c r="M202" t="s">
        <v>3120</v>
      </c>
      <c r="N202">
        <v>621383</v>
      </c>
      <c r="O202">
        <v>1750000</v>
      </c>
      <c r="P202" t="s">
        <v>3121</v>
      </c>
      <c r="Q202" s="1">
        <v>45584</v>
      </c>
      <c r="R202" t="s">
        <v>3122</v>
      </c>
      <c r="S202" t="s">
        <v>3123</v>
      </c>
      <c r="T202" t="s">
        <v>196</v>
      </c>
      <c r="U202" t="s">
        <v>3124</v>
      </c>
      <c r="V202" t="s">
        <v>1252</v>
      </c>
      <c r="W202" t="s">
        <v>1719</v>
      </c>
      <c r="X202" t="s">
        <v>403</v>
      </c>
      <c r="Y202" t="s">
        <v>92</v>
      </c>
      <c r="Z202" t="s">
        <v>93</v>
      </c>
      <c r="AA202" t="s">
        <v>3125</v>
      </c>
      <c r="AB202">
        <v>5</v>
      </c>
      <c r="AC202" t="s">
        <v>78</v>
      </c>
      <c r="AD202" t="s">
        <v>3126</v>
      </c>
      <c r="AE202" t="s">
        <v>137</v>
      </c>
      <c r="AF202" t="s">
        <v>61</v>
      </c>
      <c r="AG202">
        <v>1400000</v>
      </c>
      <c r="AH202" s="13">
        <v>28000</v>
      </c>
      <c r="AL202" t="s">
        <v>6090</v>
      </c>
      <c r="AM202" s="13">
        <v>28000</v>
      </c>
      <c r="AN202" s="16">
        <f>Table9[[#This Row],[Premium]]-Table9[[#This Row],[Tms prem]]</f>
        <v>0</v>
      </c>
    </row>
    <row r="203" spans="1:40" x14ac:dyDescent="0.25">
      <c r="A203">
        <v>236</v>
      </c>
      <c r="B203" t="s">
        <v>37</v>
      </c>
      <c r="C203" t="s">
        <v>3127</v>
      </c>
      <c r="D203" t="s">
        <v>39</v>
      </c>
      <c r="E203" t="s">
        <v>40</v>
      </c>
      <c r="F203" t="s">
        <v>644</v>
      </c>
      <c r="G203" t="s">
        <v>3128</v>
      </c>
      <c r="H203" t="s">
        <v>83</v>
      </c>
      <c r="I203" t="s">
        <v>3129</v>
      </c>
      <c r="J203" t="s">
        <v>48</v>
      </c>
      <c r="K203" t="s">
        <v>3130</v>
      </c>
      <c r="L203" t="s">
        <v>48</v>
      </c>
      <c r="M203" t="s">
        <v>3131</v>
      </c>
      <c r="N203">
        <v>642494</v>
      </c>
      <c r="O203">
        <v>1521000</v>
      </c>
      <c r="P203" t="s">
        <v>3132</v>
      </c>
      <c r="Q203" s="1">
        <v>45584</v>
      </c>
      <c r="R203" t="s">
        <v>3133</v>
      </c>
      <c r="S203" t="s">
        <v>3134</v>
      </c>
      <c r="T203" t="s">
        <v>51</v>
      </c>
      <c r="U203" t="s">
        <v>48</v>
      </c>
      <c r="V203" t="s">
        <v>3135</v>
      </c>
      <c r="W203" t="s">
        <v>53</v>
      </c>
      <c r="X203" t="s">
        <v>3136</v>
      </c>
      <c r="Y203" t="s">
        <v>152</v>
      </c>
      <c r="Z203" t="s">
        <v>153</v>
      </c>
      <c r="AA203" t="s">
        <v>3137</v>
      </c>
      <c r="AB203">
        <v>5</v>
      </c>
      <c r="AC203" t="s">
        <v>78</v>
      </c>
      <c r="AD203" t="s">
        <v>3138</v>
      </c>
      <c r="AE203" t="s">
        <v>629</v>
      </c>
      <c r="AF203" t="s">
        <v>61</v>
      </c>
      <c r="AG203">
        <v>1216800</v>
      </c>
      <c r="AH203" s="13">
        <v>24336</v>
      </c>
      <c r="AL203" t="s">
        <v>6091</v>
      </c>
      <c r="AM203" s="13">
        <v>24336</v>
      </c>
      <c r="AN203" s="16">
        <f>Table9[[#This Row],[Premium]]-Table9[[#This Row],[Tms prem]]</f>
        <v>0</v>
      </c>
    </row>
    <row r="204" spans="1:40" x14ac:dyDescent="0.25">
      <c r="A204">
        <v>237</v>
      </c>
      <c r="B204" t="s">
        <v>37</v>
      </c>
      <c r="C204" t="s">
        <v>3139</v>
      </c>
      <c r="D204" t="s">
        <v>39</v>
      </c>
      <c r="E204" t="s">
        <v>40</v>
      </c>
      <c r="F204" t="s">
        <v>525</v>
      </c>
      <c r="G204" t="s">
        <v>3140</v>
      </c>
      <c r="H204" t="s">
        <v>83</v>
      </c>
      <c r="I204" t="s">
        <v>3141</v>
      </c>
      <c r="J204" t="s">
        <v>3142</v>
      </c>
      <c r="K204" t="s">
        <v>3142</v>
      </c>
      <c r="L204" t="s">
        <v>3142</v>
      </c>
      <c r="M204" t="s">
        <v>3143</v>
      </c>
      <c r="N204">
        <v>712928</v>
      </c>
      <c r="O204">
        <v>1945000</v>
      </c>
      <c r="P204" t="s">
        <v>3144</v>
      </c>
      <c r="Q204" s="1">
        <v>45584</v>
      </c>
      <c r="R204" t="s">
        <v>3145</v>
      </c>
      <c r="S204" t="s">
        <v>3146</v>
      </c>
      <c r="T204" t="s">
        <v>196</v>
      </c>
      <c r="U204" t="s">
        <v>3147</v>
      </c>
      <c r="V204" t="s">
        <v>3148</v>
      </c>
      <c r="W204" t="s">
        <v>198</v>
      </c>
      <c r="X204" t="s">
        <v>137</v>
      </c>
      <c r="Y204" t="s">
        <v>137</v>
      </c>
      <c r="Z204" t="s">
        <v>138</v>
      </c>
      <c r="AA204" t="s">
        <v>3149</v>
      </c>
      <c r="AB204">
        <v>5</v>
      </c>
      <c r="AC204" t="s">
        <v>78</v>
      </c>
      <c r="AD204" t="s">
        <v>3150</v>
      </c>
      <c r="AE204" t="s">
        <v>629</v>
      </c>
      <c r="AF204" t="s">
        <v>61</v>
      </c>
      <c r="AG204">
        <v>1556000</v>
      </c>
      <c r="AH204" s="13">
        <v>31120</v>
      </c>
      <c r="AL204" t="s">
        <v>6092</v>
      </c>
      <c r="AM204" s="13">
        <v>31120</v>
      </c>
      <c r="AN204" s="16">
        <f>Table9[[#This Row],[Premium]]-Table9[[#This Row],[Tms prem]]</f>
        <v>0</v>
      </c>
    </row>
    <row r="205" spans="1:40" x14ac:dyDescent="0.25">
      <c r="A205">
        <v>238</v>
      </c>
      <c r="B205" t="s">
        <v>37</v>
      </c>
      <c r="C205" t="s">
        <v>3151</v>
      </c>
      <c r="D205" t="s">
        <v>39</v>
      </c>
      <c r="E205" t="s">
        <v>40</v>
      </c>
      <c r="F205" t="s">
        <v>525</v>
      </c>
      <c r="G205" t="s">
        <v>3152</v>
      </c>
      <c r="H205" t="s">
        <v>233</v>
      </c>
      <c r="I205" t="s">
        <v>3153</v>
      </c>
      <c r="J205" t="s">
        <v>3154</v>
      </c>
      <c r="K205" t="s">
        <v>3154</v>
      </c>
      <c r="L205" t="s">
        <v>3154</v>
      </c>
      <c r="M205" t="s">
        <v>3155</v>
      </c>
      <c r="N205">
        <v>783898</v>
      </c>
      <c r="O205">
        <v>2050000</v>
      </c>
      <c r="P205" t="s">
        <v>3156</v>
      </c>
      <c r="Q205" s="1">
        <v>45584</v>
      </c>
      <c r="R205" t="s">
        <v>3157</v>
      </c>
      <c r="S205" t="s">
        <v>3158</v>
      </c>
      <c r="T205" t="s">
        <v>196</v>
      </c>
      <c r="U205" t="s">
        <v>3159</v>
      </c>
      <c r="V205" t="s">
        <v>3160</v>
      </c>
      <c r="W205" t="s">
        <v>365</v>
      </c>
      <c r="X205" t="s">
        <v>1430</v>
      </c>
      <c r="Y205" t="s">
        <v>92</v>
      </c>
      <c r="Z205" t="s">
        <v>93</v>
      </c>
      <c r="AA205" t="s">
        <v>3161</v>
      </c>
      <c r="AB205">
        <v>5</v>
      </c>
      <c r="AC205" t="s">
        <v>78</v>
      </c>
      <c r="AD205" t="s">
        <v>3162</v>
      </c>
      <c r="AE205" t="s">
        <v>403</v>
      </c>
      <c r="AF205" t="s">
        <v>61</v>
      </c>
      <c r="AG205">
        <v>1640000</v>
      </c>
      <c r="AH205" s="13">
        <v>32800</v>
      </c>
      <c r="AL205" t="s">
        <v>6093</v>
      </c>
      <c r="AM205" s="13">
        <v>32800</v>
      </c>
      <c r="AN205" s="16">
        <f>Table9[[#This Row],[Premium]]-Table9[[#This Row],[Tms prem]]</f>
        <v>0</v>
      </c>
    </row>
    <row r="206" spans="1:40" x14ac:dyDescent="0.25">
      <c r="A206">
        <v>239</v>
      </c>
      <c r="B206" t="s">
        <v>37</v>
      </c>
      <c r="C206" t="s">
        <v>3163</v>
      </c>
      <c r="D206" t="s">
        <v>39</v>
      </c>
      <c r="E206" t="s">
        <v>40</v>
      </c>
      <c r="F206" t="s">
        <v>3164</v>
      </c>
      <c r="G206" t="s">
        <v>3165</v>
      </c>
      <c r="H206" t="s">
        <v>83</v>
      </c>
      <c r="I206" t="s">
        <v>3166</v>
      </c>
      <c r="J206" t="s">
        <v>3167</v>
      </c>
      <c r="K206" t="s">
        <v>3167</v>
      </c>
      <c r="L206" t="s">
        <v>3168</v>
      </c>
      <c r="M206" t="s">
        <v>3169</v>
      </c>
      <c r="N206">
        <v>1275439</v>
      </c>
      <c r="O206">
        <v>2933000</v>
      </c>
      <c r="P206" t="s">
        <v>3170</v>
      </c>
      <c r="Q206" s="1">
        <v>45584</v>
      </c>
      <c r="R206" t="s">
        <v>3171</v>
      </c>
      <c r="S206" t="s">
        <v>3172</v>
      </c>
      <c r="T206" t="s">
        <v>51</v>
      </c>
      <c r="U206" t="s">
        <v>48</v>
      </c>
      <c r="V206" t="s">
        <v>52</v>
      </c>
      <c r="W206" t="s">
        <v>53</v>
      </c>
      <c r="X206" t="s">
        <v>267</v>
      </c>
      <c r="Y206" t="s">
        <v>92</v>
      </c>
      <c r="Z206" t="s">
        <v>93</v>
      </c>
      <c r="AA206" t="s">
        <v>3173</v>
      </c>
      <c r="AB206">
        <v>5</v>
      </c>
      <c r="AC206" t="s">
        <v>78</v>
      </c>
      <c r="AD206" t="s">
        <v>3174</v>
      </c>
      <c r="AE206" t="s">
        <v>629</v>
      </c>
      <c r="AF206" t="s">
        <v>61</v>
      </c>
      <c r="AG206">
        <v>2346400</v>
      </c>
      <c r="AH206" s="13">
        <v>46928</v>
      </c>
      <c r="AL206" t="s">
        <v>6094</v>
      </c>
      <c r="AM206" s="13">
        <v>46928</v>
      </c>
      <c r="AN206" s="16">
        <f>Table9[[#This Row],[Premium]]-Table9[[#This Row],[Tms prem]]</f>
        <v>0</v>
      </c>
    </row>
    <row r="207" spans="1:40" x14ac:dyDescent="0.25">
      <c r="A207">
        <v>240</v>
      </c>
      <c r="B207" t="s">
        <v>37</v>
      </c>
      <c r="C207" t="s">
        <v>3175</v>
      </c>
      <c r="D207" t="s">
        <v>39</v>
      </c>
      <c r="E207" t="s">
        <v>40</v>
      </c>
      <c r="F207" t="s">
        <v>2813</v>
      </c>
      <c r="G207" t="s">
        <v>3176</v>
      </c>
      <c r="H207" t="s">
        <v>43</v>
      </c>
      <c r="I207" t="s">
        <v>3177</v>
      </c>
      <c r="J207" t="s">
        <v>48</v>
      </c>
      <c r="K207" t="s">
        <v>3178</v>
      </c>
      <c r="L207" t="s">
        <v>48</v>
      </c>
      <c r="M207" t="s">
        <v>3179</v>
      </c>
      <c r="N207">
        <v>923296</v>
      </c>
      <c r="O207">
        <v>4899000</v>
      </c>
      <c r="P207" t="s">
        <v>3180</v>
      </c>
      <c r="Q207" s="1">
        <v>45573</v>
      </c>
      <c r="R207" t="s">
        <v>3181</v>
      </c>
      <c r="S207" t="s">
        <v>3182</v>
      </c>
      <c r="T207" t="s">
        <v>51</v>
      </c>
      <c r="U207" t="s">
        <v>48</v>
      </c>
      <c r="V207" t="s">
        <v>3183</v>
      </c>
      <c r="W207" t="s">
        <v>198</v>
      </c>
      <c r="X207" t="s">
        <v>3184</v>
      </c>
      <c r="Y207" t="s">
        <v>2448</v>
      </c>
      <c r="Z207" t="s">
        <v>507</v>
      </c>
      <c r="AA207" t="s">
        <v>3185</v>
      </c>
      <c r="AB207">
        <v>5</v>
      </c>
      <c r="AC207" t="s">
        <v>48</v>
      </c>
      <c r="AD207" t="s">
        <v>48</v>
      </c>
      <c r="AE207" t="s">
        <v>48</v>
      </c>
      <c r="AF207" t="s">
        <v>61</v>
      </c>
      <c r="AG207">
        <v>3674250</v>
      </c>
      <c r="AH207" s="13">
        <v>73485</v>
      </c>
      <c r="AL207" t="s">
        <v>6095</v>
      </c>
      <c r="AM207" s="13">
        <v>73485</v>
      </c>
      <c r="AN207" s="16">
        <f>Table9[[#This Row],[Premium]]-Table9[[#This Row],[Tms prem]]</f>
        <v>0</v>
      </c>
    </row>
    <row r="208" spans="1:40" x14ac:dyDescent="0.25">
      <c r="A208">
        <v>241</v>
      </c>
      <c r="B208" t="s">
        <v>37</v>
      </c>
      <c r="C208" t="s">
        <v>3186</v>
      </c>
      <c r="D208" t="s">
        <v>39</v>
      </c>
      <c r="E208" t="s">
        <v>40</v>
      </c>
      <c r="F208" t="s">
        <v>3187</v>
      </c>
      <c r="G208" t="s">
        <v>3188</v>
      </c>
      <c r="H208" t="s">
        <v>43</v>
      </c>
      <c r="I208" t="s">
        <v>3189</v>
      </c>
      <c r="J208" t="s">
        <v>3190</v>
      </c>
      <c r="K208" t="s">
        <v>3190</v>
      </c>
      <c r="L208" t="s">
        <v>3190</v>
      </c>
      <c r="M208" t="s">
        <v>3191</v>
      </c>
      <c r="N208">
        <v>473381</v>
      </c>
      <c r="O208">
        <v>2024000</v>
      </c>
      <c r="P208" t="s">
        <v>3192</v>
      </c>
      <c r="Q208" s="1">
        <v>45573</v>
      </c>
      <c r="R208" t="s">
        <v>3193</v>
      </c>
      <c r="S208" t="s">
        <v>3194</v>
      </c>
      <c r="T208" t="s">
        <v>51</v>
      </c>
      <c r="U208" t="s">
        <v>48</v>
      </c>
      <c r="V208" t="s">
        <v>3195</v>
      </c>
      <c r="W208" t="s">
        <v>198</v>
      </c>
      <c r="X208" t="s">
        <v>3196</v>
      </c>
      <c r="Y208" t="s">
        <v>2448</v>
      </c>
      <c r="Z208" t="s">
        <v>507</v>
      </c>
      <c r="AA208" t="s">
        <v>3197</v>
      </c>
      <c r="AB208">
        <v>5</v>
      </c>
      <c r="AC208" t="s">
        <v>78</v>
      </c>
      <c r="AD208" t="s">
        <v>3198</v>
      </c>
      <c r="AE208" t="s">
        <v>3093</v>
      </c>
      <c r="AF208" t="s">
        <v>61</v>
      </c>
      <c r="AG208">
        <v>1518000</v>
      </c>
      <c r="AH208" s="13">
        <v>30360</v>
      </c>
      <c r="AL208" t="s">
        <v>6096</v>
      </c>
      <c r="AM208" s="13">
        <v>30360</v>
      </c>
      <c r="AN208" s="16">
        <f>Table9[[#This Row],[Premium]]-Table9[[#This Row],[Tms prem]]</f>
        <v>0</v>
      </c>
    </row>
    <row r="209" spans="1:40" x14ac:dyDescent="0.25">
      <c r="A209">
        <v>243</v>
      </c>
      <c r="B209" t="s">
        <v>37</v>
      </c>
      <c r="C209" t="s">
        <v>3211</v>
      </c>
      <c r="D209" t="s">
        <v>39</v>
      </c>
      <c r="E209" t="s">
        <v>40</v>
      </c>
      <c r="F209" t="s">
        <v>1401</v>
      </c>
      <c r="G209" t="s">
        <v>3212</v>
      </c>
      <c r="H209" t="s">
        <v>188</v>
      </c>
      <c r="I209" t="s">
        <v>3213</v>
      </c>
      <c r="J209" t="s">
        <v>3214</v>
      </c>
      <c r="K209" t="s">
        <v>3214</v>
      </c>
      <c r="L209" t="s">
        <v>3214</v>
      </c>
      <c r="M209" t="s">
        <v>3215</v>
      </c>
      <c r="N209">
        <v>801956</v>
      </c>
      <c r="O209">
        <v>3750000</v>
      </c>
      <c r="P209" t="s">
        <v>3216</v>
      </c>
      <c r="Q209" s="1">
        <v>45584</v>
      </c>
      <c r="R209" t="s">
        <v>3217</v>
      </c>
      <c r="S209" t="s">
        <v>3218</v>
      </c>
      <c r="T209" t="s">
        <v>196</v>
      </c>
      <c r="U209" t="s">
        <v>3219</v>
      </c>
      <c r="V209" t="s">
        <v>3220</v>
      </c>
      <c r="W209" t="s">
        <v>1393</v>
      </c>
      <c r="X209" t="s">
        <v>3221</v>
      </c>
      <c r="Y209" t="s">
        <v>1490</v>
      </c>
      <c r="Z209" t="s">
        <v>1363</v>
      </c>
      <c r="AA209" t="s">
        <v>3222</v>
      </c>
      <c r="AB209">
        <v>3</v>
      </c>
      <c r="AC209" t="s">
        <v>556</v>
      </c>
      <c r="AD209" t="s">
        <v>3223</v>
      </c>
      <c r="AE209" t="s">
        <v>2744</v>
      </c>
      <c r="AF209" t="s">
        <v>155</v>
      </c>
      <c r="AG209">
        <v>3187500</v>
      </c>
      <c r="AH209" s="13">
        <v>55781</v>
      </c>
      <c r="AL209" t="s">
        <v>6097</v>
      </c>
      <c r="AM209" s="13">
        <v>55781</v>
      </c>
      <c r="AN209" s="16">
        <f>Table9[[#This Row],[Premium]]-Table9[[#This Row],[Tms prem]]</f>
        <v>0</v>
      </c>
    </row>
    <row r="210" spans="1:40" x14ac:dyDescent="0.25">
      <c r="A210">
        <v>244</v>
      </c>
      <c r="B210" t="s">
        <v>37</v>
      </c>
      <c r="C210" t="s">
        <v>3224</v>
      </c>
      <c r="D210" t="s">
        <v>39</v>
      </c>
      <c r="E210" t="s">
        <v>40</v>
      </c>
      <c r="F210" t="s">
        <v>63</v>
      </c>
      <c r="G210" t="s">
        <v>3225</v>
      </c>
      <c r="H210" t="s">
        <v>83</v>
      </c>
      <c r="I210" t="s">
        <v>3226</v>
      </c>
      <c r="J210" t="s">
        <v>48</v>
      </c>
      <c r="K210" t="s">
        <v>3227</v>
      </c>
      <c r="L210" t="s">
        <v>48</v>
      </c>
      <c r="M210" t="s">
        <v>3228</v>
      </c>
      <c r="N210">
        <v>525675</v>
      </c>
      <c r="O210">
        <v>1951000</v>
      </c>
      <c r="P210" t="s">
        <v>3229</v>
      </c>
      <c r="Q210" s="1">
        <v>45584</v>
      </c>
      <c r="R210" t="s">
        <v>3230</v>
      </c>
      <c r="S210" t="s">
        <v>3231</v>
      </c>
      <c r="T210" t="s">
        <v>51</v>
      </c>
      <c r="U210" t="s">
        <v>48</v>
      </c>
      <c r="V210" t="s">
        <v>106</v>
      </c>
      <c r="W210" t="s">
        <v>552</v>
      </c>
      <c r="X210" t="s">
        <v>3232</v>
      </c>
      <c r="Y210" t="s">
        <v>1490</v>
      </c>
      <c r="Z210" t="s">
        <v>1363</v>
      </c>
      <c r="AA210" t="s">
        <v>3233</v>
      </c>
      <c r="AB210">
        <v>3</v>
      </c>
      <c r="AC210" t="s">
        <v>556</v>
      </c>
      <c r="AD210" t="s">
        <v>3234</v>
      </c>
      <c r="AE210" t="s">
        <v>2744</v>
      </c>
      <c r="AF210" t="s">
        <v>61</v>
      </c>
      <c r="AG210">
        <v>1658350</v>
      </c>
      <c r="AH210" s="13">
        <v>33167</v>
      </c>
      <c r="AL210" t="s">
        <v>6098</v>
      </c>
      <c r="AM210" s="13">
        <v>33167</v>
      </c>
      <c r="AN210" s="16">
        <f>Table9[[#This Row],[Premium]]-Table9[[#This Row],[Tms prem]]</f>
        <v>0</v>
      </c>
    </row>
    <row r="211" spans="1:40" x14ac:dyDescent="0.25">
      <c r="A211">
        <v>245</v>
      </c>
      <c r="B211" t="s">
        <v>37</v>
      </c>
      <c r="C211" t="s">
        <v>3235</v>
      </c>
      <c r="D211" t="s">
        <v>39</v>
      </c>
      <c r="E211" t="s">
        <v>40</v>
      </c>
      <c r="F211" t="s">
        <v>3236</v>
      </c>
      <c r="G211" t="s">
        <v>3237</v>
      </c>
      <c r="H211" t="s">
        <v>188</v>
      </c>
      <c r="I211" t="s">
        <v>3238</v>
      </c>
      <c r="J211" t="s">
        <v>3239</v>
      </c>
      <c r="K211" t="s">
        <v>3240</v>
      </c>
      <c r="L211" t="s">
        <v>48</v>
      </c>
      <c r="M211" t="s">
        <v>3241</v>
      </c>
      <c r="N211">
        <v>3281528</v>
      </c>
      <c r="O211">
        <v>6965000</v>
      </c>
      <c r="P211" t="s">
        <v>3242</v>
      </c>
      <c r="Q211" s="1">
        <v>45572</v>
      </c>
      <c r="R211" t="s">
        <v>3243</v>
      </c>
      <c r="S211" t="s">
        <v>3244</v>
      </c>
      <c r="T211" t="s">
        <v>51</v>
      </c>
      <c r="U211" t="s">
        <v>48</v>
      </c>
      <c r="V211" t="s">
        <v>3245</v>
      </c>
      <c r="W211" t="s">
        <v>198</v>
      </c>
      <c r="X211" t="s">
        <v>1907</v>
      </c>
      <c r="Y211" t="s">
        <v>3090</v>
      </c>
      <c r="Z211" t="s">
        <v>554</v>
      </c>
      <c r="AA211" t="s">
        <v>3246</v>
      </c>
      <c r="AB211">
        <v>7</v>
      </c>
      <c r="AC211" t="s">
        <v>78</v>
      </c>
      <c r="AD211" t="s">
        <v>3247</v>
      </c>
      <c r="AE211" t="s">
        <v>3248</v>
      </c>
      <c r="AF211" t="s">
        <v>882</v>
      </c>
      <c r="AG211">
        <v>5223750</v>
      </c>
      <c r="AH211" s="13">
        <v>78356</v>
      </c>
      <c r="AL211" t="s">
        <v>6099</v>
      </c>
      <c r="AM211" s="13">
        <v>78356</v>
      </c>
      <c r="AN211" s="16">
        <f>Table9[[#This Row],[Premium]]-Table9[[#This Row],[Tms prem]]</f>
        <v>0</v>
      </c>
    </row>
    <row r="212" spans="1:40" x14ac:dyDescent="0.25">
      <c r="A212">
        <v>246</v>
      </c>
      <c r="B212" t="s">
        <v>37</v>
      </c>
      <c r="C212" t="s">
        <v>3249</v>
      </c>
      <c r="D212" t="s">
        <v>39</v>
      </c>
      <c r="E212" t="s">
        <v>40</v>
      </c>
      <c r="F212" t="s">
        <v>63</v>
      </c>
      <c r="G212" t="s">
        <v>3250</v>
      </c>
      <c r="H212" t="s">
        <v>128</v>
      </c>
      <c r="I212" t="s">
        <v>3251</v>
      </c>
      <c r="J212" t="s">
        <v>3252</v>
      </c>
      <c r="K212" t="s">
        <v>48</v>
      </c>
      <c r="L212" t="s">
        <v>3253</v>
      </c>
      <c r="M212" t="s">
        <v>3254</v>
      </c>
      <c r="N212">
        <v>695688</v>
      </c>
      <c r="O212">
        <v>2899000</v>
      </c>
      <c r="P212" t="s">
        <v>3255</v>
      </c>
      <c r="Q212" s="1">
        <v>45584</v>
      </c>
      <c r="R212" t="s">
        <v>3256</v>
      </c>
      <c r="S212" t="s">
        <v>3257</v>
      </c>
      <c r="T212" t="s">
        <v>51</v>
      </c>
      <c r="U212" t="s">
        <v>48</v>
      </c>
      <c r="V212" t="s">
        <v>915</v>
      </c>
      <c r="W212" t="s">
        <v>552</v>
      </c>
      <c r="X212" t="s">
        <v>3258</v>
      </c>
      <c r="Y212" t="s">
        <v>2996</v>
      </c>
      <c r="Z212" t="s">
        <v>1518</v>
      </c>
      <c r="AA212" t="s">
        <v>3259</v>
      </c>
      <c r="AB212">
        <v>3</v>
      </c>
      <c r="AC212" t="s">
        <v>58</v>
      </c>
      <c r="AD212" t="s">
        <v>3260</v>
      </c>
      <c r="AE212" t="s">
        <v>2744</v>
      </c>
      <c r="AF212" t="s">
        <v>61</v>
      </c>
      <c r="AG212">
        <v>2464150</v>
      </c>
      <c r="AH212" s="13">
        <v>49283</v>
      </c>
      <c r="AL212" t="s">
        <v>6100</v>
      </c>
      <c r="AM212" s="13">
        <v>49283</v>
      </c>
      <c r="AN212" s="16">
        <f>Table9[[#This Row],[Premium]]-Table9[[#This Row],[Tms prem]]</f>
        <v>0</v>
      </c>
    </row>
    <row r="213" spans="1:40" x14ac:dyDescent="0.25">
      <c r="A213">
        <v>247</v>
      </c>
      <c r="B213" t="s">
        <v>37</v>
      </c>
      <c r="C213" t="s">
        <v>3261</v>
      </c>
      <c r="D213" t="s">
        <v>39</v>
      </c>
      <c r="E213" t="s">
        <v>40</v>
      </c>
      <c r="F213" t="s">
        <v>789</v>
      </c>
      <c r="G213" t="s">
        <v>3262</v>
      </c>
      <c r="H213" t="s">
        <v>83</v>
      </c>
      <c r="I213" t="s">
        <v>3263</v>
      </c>
      <c r="J213" t="s">
        <v>3264</v>
      </c>
      <c r="K213" t="s">
        <v>3264</v>
      </c>
      <c r="L213" t="s">
        <v>3264</v>
      </c>
      <c r="M213" t="s">
        <v>3265</v>
      </c>
      <c r="N213">
        <v>1232449</v>
      </c>
      <c r="O213">
        <v>7000000</v>
      </c>
      <c r="P213" t="s">
        <v>3266</v>
      </c>
      <c r="Q213" s="1">
        <v>45572</v>
      </c>
      <c r="R213" t="s">
        <v>3267</v>
      </c>
      <c r="S213" t="s">
        <v>3268</v>
      </c>
      <c r="T213" t="s">
        <v>196</v>
      </c>
      <c r="U213" t="s">
        <v>3269</v>
      </c>
      <c r="V213" t="s">
        <v>3270</v>
      </c>
      <c r="W213" t="s">
        <v>1393</v>
      </c>
      <c r="X213" t="s">
        <v>2981</v>
      </c>
      <c r="Y213" t="s">
        <v>3090</v>
      </c>
      <c r="Z213" t="s">
        <v>108</v>
      </c>
      <c r="AA213" t="s">
        <v>3271</v>
      </c>
      <c r="AB213">
        <v>5</v>
      </c>
      <c r="AC213" t="s">
        <v>2492</v>
      </c>
      <c r="AD213" t="s">
        <v>3272</v>
      </c>
      <c r="AE213" t="s">
        <v>3093</v>
      </c>
      <c r="AF213" t="s">
        <v>882</v>
      </c>
      <c r="AG213">
        <v>5250000</v>
      </c>
      <c r="AH213" s="13">
        <v>78750</v>
      </c>
      <c r="AL213" t="s">
        <v>6101</v>
      </c>
      <c r="AM213" s="13">
        <v>78750</v>
      </c>
      <c r="AN213" s="16">
        <f>Table9[[#This Row],[Premium]]-Table9[[#This Row],[Tms prem]]</f>
        <v>0</v>
      </c>
    </row>
    <row r="214" spans="1:40" x14ac:dyDescent="0.25">
      <c r="A214">
        <v>248</v>
      </c>
      <c r="B214" t="s">
        <v>37</v>
      </c>
      <c r="C214" t="s">
        <v>3273</v>
      </c>
      <c r="D214" t="s">
        <v>39</v>
      </c>
      <c r="E214" t="s">
        <v>40</v>
      </c>
      <c r="F214" t="s">
        <v>434</v>
      </c>
      <c r="G214" t="s">
        <v>3274</v>
      </c>
      <c r="H214" t="s">
        <v>128</v>
      </c>
      <c r="I214" t="s">
        <v>3275</v>
      </c>
      <c r="J214" t="s">
        <v>3276</v>
      </c>
      <c r="K214" t="s">
        <v>48</v>
      </c>
      <c r="L214" t="s">
        <v>3277</v>
      </c>
      <c r="M214" t="s">
        <v>3278</v>
      </c>
      <c r="N214">
        <v>580059</v>
      </c>
      <c r="O214">
        <v>2613000</v>
      </c>
      <c r="P214" t="s">
        <v>3279</v>
      </c>
      <c r="Q214" s="1">
        <v>45572</v>
      </c>
      <c r="R214" t="s">
        <v>3280</v>
      </c>
      <c r="S214" t="s">
        <v>3281</v>
      </c>
      <c r="T214" t="s">
        <v>51</v>
      </c>
      <c r="U214" t="s">
        <v>48</v>
      </c>
      <c r="V214" t="s">
        <v>3282</v>
      </c>
      <c r="W214" t="s">
        <v>198</v>
      </c>
      <c r="X214" t="s">
        <v>3283</v>
      </c>
      <c r="Y214" t="s">
        <v>2448</v>
      </c>
      <c r="Z214" t="s">
        <v>507</v>
      </c>
      <c r="AA214" t="s">
        <v>3284</v>
      </c>
      <c r="AB214">
        <v>5</v>
      </c>
      <c r="AC214" t="s">
        <v>556</v>
      </c>
      <c r="AD214" t="s">
        <v>3285</v>
      </c>
      <c r="AE214" t="s">
        <v>3248</v>
      </c>
      <c r="AF214" t="s">
        <v>1079</v>
      </c>
      <c r="AG214">
        <v>1959750</v>
      </c>
      <c r="AH214" s="13">
        <v>48994</v>
      </c>
      <c r="AL214" t="s">
        <v>6102</v>
      </c>
      <c r="AM214" s="13">
        <v>48994</v>
      </c>
      <c r="AN214" s="16">
        <f>Table9[[#This Row],[Premium]]-Table9[[#This Row],[Tms prem]]</f>
        <v>0</v>
      </c>
    </row>
    <row r="215" spans="1:40" x14ac:dyDescent="0.25">
      <c r="A215">
        <v>249</v>
      </c>
      <c r="B215" t="s">
        <v>37</v>
      </c>
      <c r="C215" t="s">
        <v>3286</v>
      </c>
      <c r="D215" t="s">
        <v>39</v>
      </c>
      <c r="E215" t="s">
        <v>40</v>
      </c>
      <c r="F215" t="s">
        <v>2878</v>
      </c>
      <c r="G215" t="s">
        <v>3287</v>
      </c>
      <c r="H215" t="s">
        <v>83</v>
      </c>
      <c r="I215" t="s">
        <v>3288</v>
      </c>
      <c r="J215" t="s">
        <v>3289</v>
      </c>
      <c r="K215" t="s">
        <v>3289</v>
      </c>
      <c r="L215" t="s">
        <v>3290</v>
      </c>
      <c r="M215" t="s">
        <v>3291</v>
      </c>
      <c r="N215">
        <v>521521</v>
      </c>
      <c r="O215">
        <v>2758000</v>
      </c>
      <c r="P215" t="s">
        <v>3292</v>
      </c>
      <c r="Q215" s="1">
        <v>45571</v>
      </c>
      <c r="R215" t="s">
        <v>3293</v>
      </c>
      <c r="S215" t="s">
        <v>3294</v>
      </c>
      <c r="T215" t="s">
        <v>51</v>
      </c>
      <c r="U215" t="s">
        <v>48</v>
      </c>
      <c r="V215" t="s">
        <v>3295</v>
      </c>
      <c r="W215" t="s">
        <v>198</v>
      </c>
      <c r="X215" t="s">
        <v>3296</v>
      </c>
      <c r="Y215" t="s">
        <v>3090</v>
      </c>
      <c r="Z215" t="s">
        <v>108</v>
      </c>
      <c r="AA215" t="s">
        <v>3297</v>
      </c>
      <c r="AB215">
        <v>5</v>
      </c>
      <c r="AC215" t="s">
        <v>540</v>
      </c>
      <c r="AD215" t="s">
        <v>3298</v>
      </c>
      <c r="AE215" t="s">
        <v>3299</v>
      </c>
      <c r="AF215" t="s">
        <v>1079</v>
      </c>
      <c r="AG215">
        <v>2068500</v>
      </c>
      <c r="AH215" s="13">
        <v>51713</v>
      </c>
      <c r="AL215" t="s">
        <v>6103</v>
      </c>
      <c r="AM215" s="13">
        <v>51713</v>
      </c>
      <c r="AN215" s="16">
        <f>Table9[[#This Row],[Premium]]-Table9[[#This Row],[Tms prem]]</f>
        <v>0</v>
      </c>
    </row>
    <row r="216" spans="1:40" x14ac:dyDescent="0.25">
      <c r="A216">
        <v>250</v>
      </c>
      <c r="B216" t="s">
        <v>37</v>
      </c>
      <c r="C216" t="s">
        <v>3300</v>
      </c>
      <c r="D216" t="s">
        <v>39</v>
      </c>
      <c r="E216" t="s">
        <v>40</v>
      </c>
      <c r="F216" t="s">
        <v>63</v>
      </c>
      <c r="G216" t="s">
        <v>3301</v>
      </c>
      <c r="H216" t="s">
        <v>188</v>
      </c>
      <c r="I216" t="s">
        <v>3302</v>
      </c>
      <c r="J216" t="s">
        <v>3303</v>
      </c>
      <c r="K216" t="s">
        <v>3303</v>
      </c>
      <c r="L216" t="s">
        <v>3304</v>
      </c>
      <c r="M216" t="s">
        <v>3305</v>
      </c>
      <c r="N216">
        <v>384729</v>
      </c>
      <c r="O216">
        <v>1695000</v>
      </c>
      <c r="P216" t="s">
        <v>3306</v>
      </c>
      <c r="Q216" s="1">
        <v>45571</v>
      </c>
      <c r="R216" t="s">
        <v>3307</v>
      </c>
      <c r="S216" t="s">
        <v>3308</v>
      </c>
      <c r="T216" t="s">
        <v>51</v>
      </c>
      <c r="U216" t="s">
        <v>48</v>
      </c>
      <c r="V216" t="s">
        <v>3309</v>
      </c>
      <c r="W216" t="s">
        <v>198</v>
      </c>
      <c r="X216" t="s">
        <v>3196</v>
      </c>
      <c r="Y216" t="s">
        <v>2141</v>
      </c>
      <c r="Z216" t="s">
        <v>1363</v>
      </c>
      <c r="AA216" t="s">
        <v>3310</v>
      </c>
      <c r="AB216">
        <v>5</v>
      </c>
      <c r="AC216" t="s">
        <v>556</v>
      </c>
      <c r="AD216" t="s">
        <v>3311</v>
      </c>
      <c r="AE216" t="s">
        <v>3312</v>
      </c>
      <c r="AF216" t="s">
        <v>61</v>
      </c>
      <c r="AG216">
        <v>1271250</v>
      </c>
      <c r="AH216" s="13">
        <v>25425</v>
      </c>
      <c r="AL216" t="s">
        <v>6104</v>
      </c>
      <c r="AM216" s="13">
        <v>25425</v>
      </c>
      <c r="AN216" s="16">
        <f>Table9[[#This Row],[Premium]]-Table9[[#This Row],[Tms prem]]</f>
        <v>0</v>
      </c>
    </row>
    <row r="217" spans="1:40" x14ac:dyDescent="0.25">
      <c r="A217">
        <v>251</v>
      </c>
      <c r="B217" t="s">
        <v>37</v>
      </c>
      <c r="C217" t="s">
        <v>3313</v>
      </c>
      <c r="D217" t="s">
        <v>39</v>
      </c>
      <c r="E217" t="s">
        <v>40</v>
      </c>
      <c r="F217" t="s">
        <v>2639</v>
      </c>
      <c r="G217" t="s">
        <v>1032</v>
      </c>
      <c r="H217" t="s">
        <v>2641</v>
      </c>
      <c r="I217" t="s">
        <v>3314</v>
      </c>
      <c r="J217" t="s">
        <v>3315</v>
      </c>
      <c r="K217" t="s">
        <v>3315</v>
      </c>
      <c r="L217" t="s">
        <v>3315</v>
      </c>
      <c r="M217" t="s">
        <v>3316</v>
      </c>
      <c r="N217">
        <v>680044</v>
      </c>
      <c r="O217">
        <v>1865000</v>
      </c>
      <c r="P217" t="s">
        <v>3317</v>
      </c>
      <c r="Q217" s="1">
        <v>45571</v>
      </c>
      <c r="R217" t="s">
        <v>3318</v>
      </c>
      <c r="S217" t="s">
        <v>3319</v>
      </c>
      <c r="T217" t="s">
        <v>51</v>
      </c>
      <c r="U217" t="s">
        <v>48</v>
      </c>
      <c r="V217" t="s">
        <v>568</v>
      </c>
      <c r="W217" t="s">
        <v>198</v>
      </c>
      <c r="X217" t="s">
        <v>2075</v>
      </c>
      <c r="Y217" t="s">
        <v>1504</v>
      </c>
      <c r="Z217" t="s">
        <v>824</v>
      </c>
      <c r="AA217" t="s">
        <v>3320</v>
      </c>
      <c r="AB217">
        <v>7</v>
      </c>
      <c r="AC217" t="s">
        <v>123</v>
      </c>
      <c r="AD217" t="s">
        <v>3321</v>
      </c>
      <c r="AE217" t="s">
        <v>3299</v>
      </c>
      <c r="AF217" t="s">
        <v>1079</v>
      </c>
      <c r="AG217">
        <v>1398750</v>
      </c>
      <c r="AH217" s="13">
        <v>34969</v>
      </c>
      <c r="AL217" t="s">
        <v>6105</v>
      </c>
      <c r="AM217" s="13">
        <v>34969</v>
      </c>
      <c r="AN217" s="16">
        <f>Table9[[#This Row],[Premium]]-Table9[[#This Row],[Tms prem]]</f>
        <v>0</v>
      </c>
    </row>
    <row r="218" spans="1:40" x14ac:dyDescent="0.25">
      <c r="A218">
        <v>252</v>
      </c>
      <c r="B218" t="s">
        <v>37</v>
      </c>
      <c r="C218" t="s">
        <v>3322</v>
      </c>
      <c r="D218" t="s">
        <v>39</v>
      </c>
      <c r="E218" t="s">
        <v>40</v>
      </c>
      <c r="F218" t="s">
        <v>63</v>
      </c>
      <c r="G218" t="s">
        <v>2000</v>
      </c>
      <c r="H218" t="s">
        <v>43</v>
      </c>
      <c r="I218" t="s">
        <v>3323</v>
      </c>
      <c r="J218" t="s">
        <v>3324</v>
      </c>
      <c r="K218" t="s">
        <v>3325</v>
      </c>
      <c r="L218" t="s">
        <v>3324</v>
      </c>
      <c r="M218" t="s">
        <v>3326</v>
      </c>
      <c r="N218">
        <v>377652</v>
      </c>
      <c r="O218">
        <v>1695000</v>
      </c>
      <c r="P218" t="s">
        <v>3327</v>
      </c>
      <c r="Q218" s="1">
        <v>45571</v>
      </c>
      <c r="R218" t="s">
        <v>3328</v>
      </c>
      <c r="S218" t="s">
        <v>3329</v>
      </c>
      <c r="T218" t="s">
        <v>51</v>
      </c>
      <c r="U218" t="s">
        <v>48</v>
      </c>
      <c r="V218" t="s">
        <v>364</v>
      </c>
      <c r="W218" t="s">
        <v>198</v>
      </c>
      <c r="X218" t="s">
        <v>3330</v>
      </c>
      <c r="Y218" t="s">
        <v>3090</v>
      </c>
      <c r="Z218" t="s">
        <v>108</v>
      </c>
      <c r="AA218" t="s">
        <v>3331</v>
      </c>
      <c r="AB218">
        <v>5</v>
      </c>
      <c r="AC218" t="s">
        <v>556</v>
      </c>
      <c r="AD218" t="s">
        <v>3332</v>
      </c>
      <c r="AE218" t="s">
        <v>3299</v>
      </c>
      <c r="AF218" t="s">
        <v>61</v>
      </c>
      <c r="AG218">
        <v>1271250</v>
      </c>
      <c r="AH218" s="13">
        <v>25425</v>
      </c>
      <c r="AL218" t="s">
        <v>6106</v>
      </c>
      <c r="AM218" s="13">
        <v>25425</v>
      </c>
      <c r="AN218" s="16">
        <f>Table9[[#This Row],[Premium]]-Table9[[#This Row],[Tms prem]]</f>
        <v>0</v>
      </c>
    </row>
    <row r="219" spans="1:40" x14ac:dyDescent="0.25">
      <c r="A219">
        <v>253</v>
      </c>
      <c r="B219" t="s">
        <v>37</v>
      </c>
      <c r="C219" t="s">
        <v>3333</v>
      </c>
      <c r="D219" t="s">
        <v>39</v>
      </c>
      <c r="E219" t="s">
        <v>40</v>
      </c>
      <c r="F219" t="s">
        <v>853</v>
      </c>
      <c r="G219" t="s">
        <v>3334</v>
      </c>
      <c r="H219" t="s">
        <v>43</v>
      </c>
      <c r="I219" t="s">
        <v>3335</v>
      </c>
      <c r="J219" t="s">
        <v>48</v>
      </c>
      <c r="K219" t="s">
        <v>3336</v>
      </c>
      <c r="L219" t="s">
        <v>48</v>
      </c>
      <c r="M219" t="s">
        <v>3337</v>
      </c>
      <c r="N219">
        <v>426098</v>
      </c>
      <c r="O219">
        <v>1300000</v>
      </c>
      <c r="P219" t="s">
        <v>3338</v>
      </c>
      <c r="Q219" s="1">
        <v>45585</v>
      </c>
      <c r="R219" t="s">
        <v>3339</v>
      </c>
      <c r="S219" t="s">
        <v>3340</v>
      </c>
      <c r="T219" t="s">
        <v>196</v>
      </c>
      <c r="U219" t="s">
        <v>3341</v>
      </c>
      <c r="V219" t="s">
        <v>253</v>
      </c>
      <c r="W219" t="s">
        <v>365</v>
      </c>
      <c r="X219" t="s">
        <v>1430</v>
      </c>
      <c r="Y219" t="s">
        <v>92</v>
      </c>
      <c r="Z219" t="s">
        <v>93</v>
      </c>
      <c r="AA219" t="s">
        <v>3342</v>
      </c>
      <c r="AB219">
        <v>5</v>
      </c>
      <c r="AC219" t="s">
        <v>78</v>
      </c>
      <c r="AD219" t="s">
        <v>3343</v>
      </c>
      <c r="AE219" t="s">
        <v>403</v>
      </c>
      <c r="AF219" t="s">
        <v>61</v>
      </c>
      <c r="AG219">
        <v>1040000</v>
      </c>
      <c r="AH219" s="13">
        <v>20800</v>
      </c>
      <c r="AL219" t="s">
        <v>6107</v>
      </c>
      <c r="AM219" s="13">
        <v>20800</v>
      </c>
      <c r="AN219" s="16">
        <f>Table9[[#This Row],[Premium]]-Table9[[#This Row],[Tms prem]]</f>
        <v>0</v>
      </c>
    </row>
    <row r="220" spans="1:40" x14ac:dyDescent="0.25">
      <c r="A220">
        <v>254</v>
      </c>
      <c r="B220" t="s">
        <v>37</v>
      </c>
      <c r="C220" t="s">
        <v>3344</v>
      </c>
      <c r="D220" t="s">
        <v>39</v>
      </c>
      <c r="E220" t="s">
        <v>40</v>
      </c>
      <c r="F220" t="s">
        <v>2450</v>
      </c>
      <c r="G220" t="s">
        <v>3345</v>
      </c>
      <c r="H220" t="s">
        <v>3346</v>
      </c>
      <c r="I220" t="s">
        <v>3347</v>
      </c>
      <c r="J220" t="s">
        <v>48</v>
      </c>
      <c r="K220" t="s">
        <v>3348</v>
      </c>
      <c r="L220" t="s">
        <v>48</v>
      </c>
      <c r="M220" t="s">
        <v>3349</v>
      </c>
      <c r="N220">
        <v>1010540</v>
      </c>
      <c r="O220">
        <v>4933000</v>
      </c>
      <c r="P220" t="s">
        <v>3350</v>
      </c>
      <c r="Q220" s="1">
        <v>45570</v>
      </c>
      <c r="R220" t="s">
        <v>3351</v>
      </c>
      <c r="S220" t="s">
        <v>3352</v>
      </c>
      <c r="T220" t="s">
        <v>51</v>
      </c>
      <c r="U220" t="s">
        <v>48</v>
      </c>
      <c r="V220" t="s">
        <v>150</v>
      </c>
      <c r="W220" t="s">
        <v>198</v>
      </c>
      <c r="X220" t="s">
        <v>3196</v>
      </c>
      <c r="Y220" t="s">
        <v>3090</v>
      </c>
      <c r="Z220" t="s">
        <v>108</v>
      </c>
      <c r="AA220" t="s">
        <v>3353</v>
      </c>
      <c r="AB220">
        <v>5</v>
      </c>
      <c r="AC220" t="s">
        <v>48</v>
      </c>
      <c r="AD220" t="s">
        <v>48</v>
      </c>
      <c r="AE220" t="s">
        <v>48</v>
      </c>
      <c r="AF220" t="s">
        <v>882</v>
      </c>
      <c r="AG220">
        <v>3699750</v>
      </c>
      <c r="AH220" s="13">
        <v>55496</v>
      </c>
      <c r="AL220" t="s">
        <v>6108</v>
      </c>
      <c r="AM220" s="13">
        <v>55496</v>
      </c>
      <c r="AN220" s="16">
        <f>Table9[[#This Row],[Premium]]-Table9[[#This Row],[Tms prem]]</f>
        <v>0</v>
      </c>
    </row>
    <row r="221" spans="1:40" x14ac:dyDescent="0.25">
      <c r="A221">
        <v>255</v>
      </c>
      <c r="B221" t="s">
        <v>37</v>
      </c>
      <c r="C221" t="s">
        <v>3354</v>
      </c>
      <c r="D221" t="s">
        <v>39</v>
      </c>
      <c r="E221" t="s">
        <v>40</v>
      </c>
      <c r="F221" t="s">
        <v>63</v>
      </c>
      <c r="G221" t="s">
        <v>3355</v>
      </c>
      <c r="H221" t="s">
        <v>83</v>
      </c>
      <c r="I221" t="s">
        <v>3356</v>
      </c>
      <c r="J221" t="s">
        <v>3357</v>
      </c>
      <c r="K221" t="s">
        <v>3357</v>
      </c>
      <c r="L221" t="s">
        <v>3357</v>
      </c>
      <c r="M221" t="s">
        <v>3358</v>
      </c>
      <c r="N221">
        <v>918941</v>
      </c>
      <c r="O221">
        <v>1830000</v>
      </c>
      <c r="P221" t="s">
        <v>3359</v>
      </c>
      <c r="Q221" s="1">
        <v>45585</v>
      </c>
      <c r="R221" t="s">
        <v>3360</v>
      </c>
      <c r="S221" t="s">
        <v>3361</v>
      </c>
      <c r="T221" t="s">
        <v>51</v>
      </c>
      <c r="U221" t="s">
        <v>48</v>
      </c>
      <c r="V221" t="s">
        <v>863</v>
      </c>
      <c r="W221" t="s">
        <v>53</v>
      </c>
      <c r="X221" t="s">
        <v>311</v>
      </c>
      <c r="Y221" t="s">
        <v>92</v>
      </c>
      <c r="Z221" t="s">
        <v>811</v>
      </c>
      <c r="AA221" t="s">
        <v>3362</v>
      </c>
      <c r="AB221">
        <v>7</v>
      </c>
      <c r="AC221" t="s">
        <v>78</v>
      </c>
      <c r="AD221" t="s">
        <v>3363</v>
      </c>
      <c r="AE221" t="s">
        <v>137</v>
      </c>
      <c r="AF221" t="s">
        <v>61</v>
      </c>
      <c r="AG221">
        <v>1464000</v>
      </c>
      <c r="AH221" s="13">
        <v>29280</v>
      </c>
      <c r="AL221" t="s">
        <v>6109</v>
      </c>
      <c r="AM221" s="13">
        <v>29280</v>
      </c>
      <c r="AN221" s="16">
        <f>Table9[[#This Row],[Premium]]-Table9[[#This Row],[Tms prem]]</f>
        <v>0</v>
      </c>
    </row>
    <row r="222" spans="1:40" x14ac:dyDescent="0.25">
      <c r="A222">
        <v>256</v>
      </c>
      <c r="B222" t="s">
        <v>37</v>
      </c>
      <c r="C222" t="s">
        <v>3364</v>
      </c>
      <c r="D222" t="s">
        <v>39</v>
      </c>
      <c r="E222" t="s">
        <v>40</v>
      </c>
      <c r="F222" t="s">
        <v>944</v>
      </c>
      <c r="G222" t="s">
        <v>3365</v>
      </c>
      <c r="H222" t="s">
        <v>65</v>
      </c>
      <c r="I222" t="s">
        <v>3366</v>
      </c>
      <c r="J222" t="s">
        <v>3367</v>
      </c>
      <c r="K222" t="s">
        <v>48</v>
      </c>
      <c r="L222" t="s">
        <v>3368</v>
      </c>
      <c r="M222" t="s">
        <v>3369</v>
      </c>
      <c r="N222">
        <v>477521</v>
      </c>
      <c r="O222">
        <v>1900000</v>
      </c>
      <c r="P222" t="s">
        <v>3370</v>
      </c>
      <c r="Q222" s="1">
        <v>45585</v>
      </c>
      <c r="R222" t="s">
        <v>3371</v>
      </c>
      <c r="S222" t="s">
        <v>3372</v>
      </c>
      <c r="T222" t="s">
        <v>196</v>
      </c>
      <c r="U222" t="s">
        <v>3373</v>
      </c>
      <c r="V222" t="s">
        <v>3160</v>
      </c>
      <c r="W222" t="s">
        <v>1180</v>
      </c>
      <c r="X222" t="s">
        <v>3374</v>
      </c>
      <c r="Y222" t="s">
        <v>92</v>
      </c>
      <c r="Z222" t="s">
        <v>1363</v>
      </c>
      <c r="AA222" t="s">
        <v>3375</v>
      </c>
      <c r="AB222">
        <v>4</v>
      </c>
      <c r="AC222" t="s">
        <v>78</v>
      </c>
      <c r="AD222" t="s">
        <v>3376</v>
      </c>
      <c r="AE222" t="s">
        <v>3374</v>
      </c>
      <c r="AF222" t="s">
        <v>61</v>
      </c>
      <c r="AG222">
        <v>1520000</v>
      </c>
      <c r="AH222" s="13">
        <v>30400</v>
      </c>
      <c r="AL222" t="s">
        <v>6110</v>
      </c>
      <c r="AM222" s="13">
        <v>30400</v>
      </c>
      <c r="AN222" s="16">
        <f>Table9[[#This Row],[Premium]]-Table9[[#This Row],[Tms prem]]</f>
        <v>0</v>
      </c>
    </row>
    <row r="223" spans="1:40" x14ac:dyDescent="0.25">
      <c r="A223">
        <v>257</v>
      </c>
      <c r="B223" t="s">
        <v>37</v>
      </c>
      <c r="C223" t="s">
        <v>3377</v>
      </c>
      <c r="D223" t="s">
        <v>39</v>
      </c>
      <c r="E223" t="s">
        <v>40</v>
      </c>
      <c r="F223" t="s">
        <v>3378</v>
      </c>
      <c r="G223" t="s">
        <v>3379</v>
      </c>
      <c r="H223" t="s">
        <v>188</v>
      </c>
      <c r="I223" t="s">
        <v>3380</v>
      </c>
      <c r="J223" t="s">
        <v>3381</v>
      </c>
      <c r="K223" t="s">
        <v>3382</v>
      </c>
      <c r="L223" t="s">
        <v>438</v>
      </c>
      <c r="M223" t="s">
        <v>3383</v>
      </c>
      <c r="N223">
        <v>703429</v>
      </c>
      <c r="O223">
        <v>2675000</v>
      </c>
      <c r="P223" t="s">
        <v>3384</v>
      </c>
      <c r="Q223" s="1">
        <v>45585</v>
      </c>
      <c r="R223" t="s">
        <v>3385</v>
      </c>
      <c r="S223" t="s">
        <v>3386</v>
      </c>
      <c r="T223" t="s">
        <v>51</v>
      </c>
      <c r="U223" t="s">
        <v>48</v>
      </c>
      <c r="V223" t="s">
        <v>3387</v>
      </c>
      <c r="W223" t="s">
        <v>53</v>
      </c>
      <c r="X223" t="s">
        <v>3388</v>
      </c>
      <c r="Y223" t="s">
        <v>92</v>
      </c>
      <c r="Z223" t="s">
        <v>93</v>
      </c>
      <c r="AA223" t="s">
        <v>3389</v>
      </c>
      <c r="AB223">
        <v>5</v>
      </c>
      <c r="AC223" t="s">
        <v>78</v>
      </c>
      <c r="AD223" t="s">
        <v>3390</v>
      </c>
      <c r="AE223" t="s">
        <v>137</v>
      </c>
      <c r="AF223" t="s">
        <v>61</v>
      </c>
      <c r="AG223">
        <v>2140000</v>
      </c>
      <c r="AH223" s="13">
        <v>42800</v>
      </c>
      <c r="AL223" t="s">
        <v>6111</v>
      </c>
      <c r="AM223" s="13">
        <v>42800</v>
      </c>
      <c r="AN223" s="16">
        <f>Table9[[#This Row],[Premium]]-Table9[[#This Row],[Tms prem]]</f>
        <v>0</v>
      </c>
    </row>
    <row r="224" spans="1:40" x14ac:dyDescent="0.25">
      <c r="A224">
        <v>258</v>
      </c>
      <c r="B224" t="s">
        <v>37</v>
      </c>
      <c r="C224" t="s">
        <v>3391</v>
      </c>
      <c r="D224" t="s">
        <v>39</v>
      </c>
      <c r="E224" t="s">
        <v>40</v>
      </c>
      <c r="F224" t="s">
        <v>1401</v>
      </c>
      <c r="G224" t="s">
        <v>3392</v>
      </c>
      <c r="H224" t="s">
        <v>188</v>
      </c>
      <c r="I224" t="s">
        <v>3393</v>
      </c>
      <c r="J224" t="s">
        <v>48</v>
      </c>
      <c r="K224" t="s">
        <v>3394</v>
      </c>
      <c r="L224" t="s">
        <v>48</v>
      </c>
      <c r="M224" t="s">
        <v>3395</v>
      </c>
      <c r="N224">
        <v>745665</v>
      </c>
      <c r="O224">
        <v>1950000</v>
      </c>
      <c r="P224" t="s">
        <v>3396</v>
      </c>
      <c r="Q224" s="1">
        <v>45585</v>
      </c>
      <c r="R224" t="s">
        <v>3397</v>
      </c>
      <c r="S224" t="s">
        <v>3398</v>
      </c>
      <c r="T224" t="s">
        <v>196</v>
      </c>
      <c r="U224" t="s">
        <v>3399</v>
      </c>
      <c r="V224" t="s">
        <v>3400</v>
      </c>
      <c r="W224" t="s">
        <v>365</v>
      </c>
      <c r="X224" t="s">
        <v>403</v>
      </c>
      <c r="Y224" t="s">
        <v>92</v>
      </c>
      <c r="Z224" t="s">
        <v>93</v>
      </c>
      <c r="AA224" t="s">
        <v>3401</v>
      </c>
      <c r="AB224">
        <v>5</v>
      </c>
      <c r="AC224" t="s">
        <v>78</v>
      </c>
      <c r="AD224" t="s">
        <v>3402</v>
      </c>
      <c r="AE224" t="s">
        <v>403</v>
      </c>
      <c r="AF224" t="s">
        <v>61</v>
      </c>
      <c r="AG224">
        <v>1560000</v>
      </c>
      <c r="AH224" s="13">
        <v>31200</v>
      </c>
      <c r="AL224" t="s">
        <v>6112</v>
      </c>
      <c r="AM224" s="13">
        <v>31200</v>
      </c>
      <c r="AN224" s="16">
        <f>Table9[[#This Row],[Premium]]-Table9[[#This Row],[Tms prem]]</f>
        <v>0</v>
      </c>
    </row>
    <row r="225" spans="1:40" x14ac:dyDescent="0.25">
      <c r="A225">
        <v>259</v>
      </c>
      <c r="B225" t="s">
        <v>37</v>
      </c>
      <c r="C225" t="s">
        <v>3403</v>
      </c>
      <c r="D225" t="s">
        <v>39</v>
      </c>
      <c r="E225" t="s">
        <v>40</v>
      </c>
      <c r="F225" t="s">
        <v>525</v>
      </c>
      <c r="G225" t="s">
        <v>3404</v>
      </c>
      <c r="H225" t="s">
        <v>83</v>
      </c>
      <c r="I225" t="s">
        <v>3405</v>
      </c>
      <c r="J225" t="s">
        <v>48</v>
      </c>
      <c r="K225" t="s">
        <v>3406</v>
      </c>
      <c r="L225" t="s">
        <v>48</v>
      </c>
      <c r="M225" t="s">
        <v>3407</v>
      </c>
      <c r="N225">
        <v>799202</v>
      </c>
      <c r="O225">
        <v>2090000</v>
      </c>
      <c r="P225" t="s">
        <v>3408</v>
      </c>
      <c r="Q225" s="1">
        <v>45585</v>
      </c>
      <c r="R225" t="s">
        <v>3409</v>
      </c>
      <c r="S225" t="s">
        <v>3410</v>
      </c>
      <c r="T225" t="s">
        <v>51</v>
      </c>
      <c r="U225" t="s">
        <v>3411</v>
      </c>
      <c r="V225" t="s">
        <v>179</v>
      </c>
      <c r="W225" t="s">
        <v>1719</v>
      </c>
      <c r="X225" t="s">
        <v>3374</v>
      </c>
      <c r="Y225" t="s">
        <v>92</v>
      </c>
      <c r="Z225" t="s">
        <v>93</v>
      </c>
      <c r="AA225" t="s">
        <v>3412</v>
      </c>
      <c r="AB225">
        <v>5</v>
      </c>
      <c r="AC225" t="s">
        <v>78</v>
      </c>
      <c r="AD225" t="s">
        <v>3413</v>
      </c>
      <c r="AE225" t="s">
        <v>403</v>
      </c>
      <c r="AF225" t="s">
        <v>61</v>
      </c>
      <c r="AG225">
        <v>1672000</v>
      </c>
      <c r="AH225" s="13">
        <v>33440</v>
      </c>
      <c r="AL225" t="s">
        <v>6113</v>
      </c>
      <c r="AM225" s="13">
        <v>33440</v>
      </c>
      <c r="AN225" s="16">
        <f>Table9[[#This Row],[Premium]]-Table9[[#This Row],[Tms prem]]</f>
        <v>0</v>
      </c>
    </row>
    <row r="226" spans="1:40" x14ac:dyDescent="0.25">
      <c r="A226">
        <v>260</v>
      </c>
      <c r="B226" t="s">
        <v>37</v>
      </c>
      <c r="C226" t="s">
        <v>3414</v>
      </c>
      <c r="D226" t="s">
        <v>39</v>
      </c>
      <c r="E226" t="s">
        <v>40</v>
      </c>
      <c r="F226" t="s">
        <v>2528</v>
      </c>
      <c r="G226" t="s">
        <v>3415</v>
      </c>
      <c r="H226" t="s">
        <v>43</v>
      </c>
      <c r="I226" t="s">
        <v>3416</v>
      </c>
      <c r="J226" t="s">
        <v>3417</v>
      </c>
      <c r="K226" t="s">
        <v>3418</v>
      </c>
      <c r="L226" t="s">
        <v>3417</v>
      </c>
      <c r="M226" t="s">
        <v>3419</v>
      </c>
      <c r="N226">
        <v>616979</v>
      </c>
      <c r="O226">
        <v>2574000</v>
      </c>
      <c r="P226" t="s">
        <v>3420</v>
      </c>
      <c r="Q226" s="1">
        <v>45570</v>
      </c>
      <c r="R226" t="s">
        <v>3421</v>
      </c>
      <c r="S226" t="s">
        <v>3422</v>
      </c>
      <c r="T226" t="s">
        <v>51</v>
      </c>
      <c r="U226" t="s">
        <v>48</v>
      </c>
      <c r="V226" t="s">
        <v>3423</v>
      </c>
      <c r="W226" t="s">
        <v>198</v>
      </c>
      <c r="X226" t="s">
        <v>1907</v>
      </c>
      <c r="Y226" t="s">
        <v>2448</v>
      </c>
      <c r="Z226" t="s">
        <v>507</v>
      </c>
      <c r="AA226" t="s">
        <v>3424</v>
      </c>
      <c r="AB226">
        <v>5</v>
      </c>
      <c r="AC226" t="s">
        <v>556</v>
      </c>
      <c r="AD226" t="s">
        <v>3425</v>
      </c>
      <c r="AE226" t="s">
        <v>3426</v>
      </c>
      <c r="AF226" t="s">
        <v>61</v>
      </c>
      <c r="AG226">
        <v>1930500</v>
      </c>
      <c r="AH226" s="13">
        <v>38610</v>
      </c>
      <c r="AL226" t="s">
        <v>6114</v>
      </c>
      <c r="AM226" s="13">
        <v>38610</v>
      </c>
      <c r="AN226" s="16">
        <f>Table9[[#This Row],[Premium]]-Table9[[#This Row],[Tms prem]]</f>
        <v>0</v>
      </c>
    </row>
    <row r="227" spans="1:40" x14ac:dyDescent="0.25">
      <c r="A227">
        <v>261</v>
      </c>
      <c r="B227" t="s">
        <v>37</v>
      </c>
      <c r="C227" t="s">
        <v>3427</v>
      </c>
      <c r="D227" t="s">
        <v>39</v>
      </c>
      <c r="E227" t="s">
        <v>40</v>
      </c>
      <c r="F227" t="s">
        <v>3428</v>
      </c>
      <c r="G227" t="s">
        <v>3429</v>
      </c>
      <c r="H227" t="s">
        <v>83</v>
      </c>
      <c r="I227" t="s">
        <v>3430</v>
      </c>
      <c r="J227" t="s">
        <v>48</v>
      </c>
      <c r="K227" t="s">
        <v>48</v>
      </c>
      <c r="L227" t="s">
        <v>3431</v>
      </c>
      <c r="M227" t="s">
        <v>3432</v>
      </c>
      <c r="N227">
        <v>1074297</v>
      </c>
      <c r="O227">
        <v>2703000</v>
      </c>
      <c r="P227" t="s">
        <v>3433</v>
      </c>
      <c r="Q227" s="1">
        <v>45585</v>
      </c>
      <c r="R227" t="s">
        <v>3434</v>
      </c>
      <c r="S227" t="s">
        <v>3435</v>
      </c>
      <c r="T227" t="s">
        <v>51</v>
      </c>
      <c r="U227" t="s">
        <v>48</v>
      </c>
      <c r="V227" t="s">
        <v>1305</v>
      </c>
      <c r="W227" t="s">
        <v>53</v>
      </c>
      <c r="X227" t="s">
        <v>3436</v>
      </c>
      <c r="Y227" t="s">
        <v>152</v>
      </c>
      <c r="Z227" t="s">
        <v>153</v>
      </c>
      <c r="AA227" t="s">
        <v>3437</v>
      </c>
      <c r="AB227">
        <v>5</v>
      </c>
      <c r="AC227" t="s">
        <v>78</v>
      </c>
      <c r="AD227" t="s">
        <v>3438</v>
      </c>
      <c r="AE227" t="s">
        <v>3374</v>
      </c>
      <c r="AF227" t="s">
        <v>61</v>
      </c>
      <c r="AG227">
        <v>2162400</v>
      </c>
      <c r="AH227" s="13">
        <v>43248</v>
      </c>
      <c r="AL227" t="s">
        <v>6115</v>
      </c>
      <c r="AM227" s="13">
        <v>43248</v>
      </c>
      <c r="AN227" s="16">
        <f>Table9[[#This Row],[Premium]]-Table9[[#This Row],[Tms prem]]</f>
        <v>0</v>
      </c>
    </row>
    <row r="228" spans="1:40" x14ac:dyDescent="0.25">
      <c r="A228">
        <v>262</v>
      </c>
      <c r="B228" t="s">
        <v>37</v>
      </c>
      <c r="C228" t="s">
        <v>3439</v>
      </c>
      <c r="D228" t="s">
        <v>39</v>
      </c>
      <c r="E228" t="s">
        <v>40</v>
      </c>
      <c r="F228" t="s">
        <v>1559</v>
      </c>
      <c r="G228" t="s">
        <v>3440</v>
      </c>
      <c r="H228" t="s">
        <v>188</v>
      </c>
      <c r="I228" t="s">
        <v>3441</v>
      </c>
      <c r="J228" t="s">
        <v>3442</v>
      </c>
      <c r="K228" t="s">
        <v>3443</v>
      </c>
      <c r="L228" t="s">
        <v>3442</v>
      </c>
      <c r="M228" t="s">
        <v>3444</v>
      </c>
      <c r="N228">
        <v>1117655</v>
      </c>
      <c r="O228">
        <v>2589000</v>
      </c>
      <c r="P228" t="s">
        <v>3445</v>
      </c>
      <c r="Q228" s="1">
        <v>45585</v>
      </c>
      <c r="R228" t="s">
        <v>3446</v>
      </c>
      <c r="S228" t="s">
        <v>3447</v>
      </c>
      <c r="T228" t="s">
        <v>51</v>
      </c>
      <c r="U228" t="s">
        <v>48</v>
      </c>
      <c r="V228" t="s">
        <v>3448</v>
      </c>
      <c r="W228" t="s">
        <v>53</v>
      </c>
      <c r="X228" t="s">
        <v>595</v>
      </c>
      <c r="Y228" t="s">
        <v>137</v>
      </c>
      <c r="Z228" t="s">
        <v>138</v>
      </c>
      <c r="AA228" t="s">
        <v>3449</v>
      </c>
      <c r="AB228">
        <v>5</v>
      </c>
      <c r="AC228" t="s">
        <v>58</v>
      </c>
      <c r="AD228" t="s">
        <v>3450</v>
      </c>
      <c r="AE228" t="s">
        <v>2156</v>
      </c>
      <c r="AF228" t="s">
        <v>882</v>
      </c>
      <c r="AG228">
        <v>2071200</v>
      </c>
      <c r="AH228" s="13">
        <v>31068</v>
      </c>
      <c r="AL228" t="s">
        <v>6116</v>
      </c>
      <c r="AM228" s="13">
        <v>31068</v>
      </c>
      <c r="AN228" s="16">
        <f>Table9[[#This Row],[Premium]]-Table9[[#This Row],[Tms prem]]</f>
        <v>0</v>
      </c>
    </row>
    <row r="229" spans="1:40" x14ac:dyDescent="0.25">
      <c r="A229">
        <v>264</v>
      </c>
      <c r="B229" t="s">
        <v>37</v>
      </c>
      <c r="C229" t="s">
        <v>3463</v>
      </c>
      <c r="D229" t="s">
        <v>39</v>
      </c>
      <c r="E229" t="s">
        <v>40</v>
      </c>
      <c r="F229" t="s">
        <v>511</v>
      </c>
      <c r="G229" t="s">
        <v>3464</v>
      </c>
      <c r="H229" t="s">
        <v>188</v>
      </c>
      <c r="I229" t="s">
        <v>3465</v>
      </c>
      <c r="J229" t="s">
        <v>3466</v>
      </c>
      <c r="K229" t="s">
        <v>3466</v>
      </c>
      <c r="L229" t="s">
        <v>3467</v>
      </c>
      <c r="M229" t="s">
        <v>3468</v>
      </c>
      <c r="N229">
        <v>2122598</v>
      </c>
      <c r="O229">
        <v>5276000</v>
      </c>
      <c r="P229" t="s">
        <v>3469</v>
      </c>
      <c r="Q229" s="1">
        <v>45585</v>
      </c>
      <c r="R229" t="s">
        <v>3470</v>
      </c>
      <c r="S229" t="s">
        <v>3471</v>
      </c>
      <c r="T229" t="s">
        <v>51</v>
      </c>
      <c r="U229" t="s">
        <v>48</v>
      </c>
      <c r="V229" t="s">
        <v>521</v>
      </c>
      <c r="W229" t="s">
        <v>53</v>
      </c>
      <c r="X229" t="s">
        <v>1040</v>
      </c>
      <c r="Y229" t="s">
        <v>152</v>
      </c>
      <c r="Z229" t="s">
        <v>153</v>
      </c>
      <c r="AA229" t="s">
        <v>3472</v>
      </c>
      <c r="AB229">
        <v>5</v>
      </c>
      <c r="AC229" t="s">
        <v>48</v>
      </c>
      <c r="AD229" t="s">
        <v>48</v>
      </c>
      <c r="AE229" t="s">
        <v>48</v>
      </c>
      <c r="AF229" t="s">
        <v>61</v>
      </c>
      <c r="AG229">
        <v>4220800</v>
      </c>
      <c r="AH229" s="13">
        <v>84416</v>
      </c>
      <c r="AL229" t="s">
        <v>6117</v>
      </c>
      <c r="AM229" s="13">
        <v>84416</v>
      </c>
      <c r="AN229" s="16">
        <f>Table9[[#This Row],[Premium]]-Table9[[#This Row],[Tms prem]]</f>
        <v>0</v>
      </c>
    </row>
    <row r="230" spans="1:40" x14ac:dyDescent="0.25">
      <c r="A230">
        <v>265</v>
      </c>
      <c r="B230" t="s">
        <v>37</v>
      </c>
      <c r="C230" t="s">
        <v>3473</v>
      </c>
      <c r="D230" t="s">
        <v>39</v>
      </c>
      <c r="E230" t="s">
        <v>40</v>
      </c>
      <c r="F230" t="s">
        <v>2290</v>
      </c>
      <c r="G230" t="s">
        <v>1032</v>
      </c>
      <c r="H230" t="s">
        <v>188</v>
      </c>
      <c r="I230" t="s">
        <v>3474</v>
      </c>
      <c r="J230" t="s">
        <v>48</v>
      </c>
      <c r="K230" t="s">
        <v>3475</v>
      </c>
      <c r="L230" t="s">
        <v>48</v>
      </c>
      <c r="M230" t="s">
        <v>3476</v>
      </c>
      <c r="N230">
        <v>307990</v>
      </c>
      <c r="O230">
        <v>1475000</v>
      </c>
      <c r="P230" t="s">
        <v>3477</v>
      </c>
      <c r="Q230" s="1">
        <v>45570</v>
      </c>
      <c r="R230" t="s">
        <v>3478</v>
      </c>
      <c r="S230" t="s">
        <v>3479</v>
      </c>
      <c r="T230" t="s">
        <v>1516</v>
      </c>
      <c r="U230" t="s">
        <v>48</v>
      </c>
      <c r="V230" t="s">
        <v>3480</v>
      </c>
      <c r="W230" t="s">
        <v>365</v>
      </c>
      <c r="X230" t="s">
        <v>2981</v>
      </c>
      <c r="Y230" t="s">
        <v>3090</v>
      </c>
      <c r="Z230" t="s">
        <v>108</v>
      </c>
      <c r="AA230" t="s">
        <v>3481</v>
      </c>
      <c r="AB230">
        <v>5</v>
      </c>
      <c r="AC230" t="s">
        <v>2492</v>
      </c>
      <c r="AD230" t="s">
        <v>3482</v>
      </c>
      <c r="AE230" t="s">
        <v>3426</v>
      </c>
      <c r="AF230" t="s">
        <v>61</v>
      </c>
      <c r="AG230">
        <v>1106250</v>
      </c>
      <c r="AH230" s="13">
        <v>22125</v>
      </c>
      <c r="AL230" t="s">
        <v>6118</v>
      </c>
      <c r="AM230" s="13">
        <v>22125</v>
      </c>
      <c r="AN230" s="16">
        <f>Table9[[#This Row],[Premium]]-Table9[[#This Row],[Tms prem]]</f>
        <v>0</v>
      </c>
    </row>
    <row r="231" spans="1:40" x14ac:dyDescent="0.25">
      <c r="A231">
        <v>266</v>
      </c>
      <c r="B231" t="s">
        <v>37</v>
      </c>
      <c r="C231" t="s">
        <v>3483</v>
      </c>
      <c r="D231" t="s">
        <v>39</v>
      </c>
      <c r="E231" t="s">
        <v>40</v>
      </c>
      <c r="F231" t="s">
        <v>789</v>
      </c>
      <c r="G231" t="s">
        <v>3484</v>
      </c>
      <c r="H231" t="s">
        <v>83</v>
      </c>
      <c r="I231" t="s">
        <v>3485</v>
      </c>
      <c r="J231" t="s">
        <v>3486</v>
      </c>
      <c r="K231" t="s">
        <v>3486</v>
      </c>
      <c r="L231" t="s">
        <v>3486</v>
      </c>
      <c r="M231" t="s">
        <v>3487</v>
      </c>
      <c r="N231">
        <v>1185108</v>
      </c>
      <c r="O231">
        <v>3800000</v>
      </c>
      <c r="P231" t="s">
        <v>3488</v>
      </c>
      <c r="Q231" s="1">
        <v>45585</v>
      </c>
      <c r="R231" t="s">
        <v>3489</v>
      </c>
      <c r="S231" t="s">
        <v>3490</v>
      </c>
      <c r="T231" t="s">
        <v>196</v>
      </c>
      <c r="U231" t="s">
        <v>3491</v>
      </c>
      <c r="V231" t="s">
        <v>3492</v>
      </c>
      <c r="W231" t="s">
        <v>1393</v>
      </c>
      <c r="X231" t="s">
        <v>3221</v>
      </c>
      <c r="Y231" t="s">
        <v>1490</v>
      </c>
      <c r="Z231" t="s">
        <v>1363</v>
      </c>
      <c r="AA231" t="s">
        <v>3493</v>
      </c>
      <c r="AB231">
        <v>3</v>
      </c>
      <c r="AC231" t="s">
        <v>540</v>
      </c>
      <c r="AD231" t="s">
        <v>3494</v>
      </c>
      <c r="AE231" t="s">
        <v>669</v>
      </c>
      <c r="AF231" t="s">
        <v>155</v>
      </c>
      <c r="AG231">
        <v>3230000</v>
      </c>
      <c r="AH231" s="13">
        <v>56525</v>
      </c>
      <c r="AL231" t="s">
        <v>6119</v>
      </c>
      <c r="AM231" s="13">
        <v>56525</v>
      </c>
      <c r="AN231" s="16">
        <f>Table9[[#This Row],[Premium]]-Table9[[#This Row],[Tms prem]]</f>
        <v>0</v>
      </c>
    </row>
    <row r="232" spans="1:40" x14ac:dyDescent="0.25">
      <c r="A232">
        <v>267</v>
      </c>
      <c r="B232" t="s">
        <v>37</v>
      </c>
      <c r="C232" t="s">
        <v>3495</v>
      </c>
      <c r="D232" t="s">
        <v>39</v>
      </c>
      <c r="E232" t="s">
        <v>40</v>
      </c>
      <c r="F232" t="s">
        <v>1401</v>
      </c>
      <c r="G232" t="s">
        <v>3496</v>
      </c>
      <c r="H232" t="s">
        <v>188</v>
      </c>
      <c r="I232" t="s">
        <v>3497</v>
      </c>
      <c r="J232" t="s">
        <v>48</v>
      </c>
      <c r="K232" t="s">
        <v>3498</v>
      </c>
      <c r="L232" t="s">
        <v>48</v>
      </c>
      <c r="M232" t="s">
        <v>3499</v>
      </c>
      <c r="N232">
        <v>238636</v>
      </c>
      <c r="O232">
        <v>1000000</v>
      </c>
      <c r="P232" t="s">
        <v>3500</v>
      </c>
      <c r="Q232" s="1">
        <v>45569</v>
      </c>
      <c r="R232" t="s">
        <v>3501</v>
      </c>
      <c r="S232" t="s">
        <v>3502</v>
      </c>
      <c r="T232" t="s">
        <v>1516</v>
      </c>
      <c r="U232" t="s">
        <v>3503</v>
      </c>
      <c r="V232" t="s">
        <v>3504</v>
      </c>
      <c r="W232" t="s">
        <v>1106</v>
      </c>
      <c r="X232" t="s">
        <v>3093</v>
      </c>
      <c r="Y232" t="s">
        <v>3090</v>
      </c>
      <c r="Z232" t="s">
        <v>108</v>
      </c>
      <c r="AA232" t="s">
        <v>3505</v>
      </c>
      <c r="AB232">
        <v>5</v>
      </c>
      <c r="AC232" t="s">
        <v>58</v>
      </c>
      <c r="AD232" t="s">
        <v>3506</v>
      </c>
      <c r="AE232" t="s">
        <v>3299</v>
      </c>
      <c r="AF232" t="s">
        <v>61</v>
      </c>
      <c r="AG232">
        <v>750000</v>
      </c>
      <c r="AH232" s="13">
        <v>15000</v>
      </c>
      <c r="AL232" t="s">
        <v>6120</v>
      </c>
      <c r="AM232" s="13">
        <v>15000</v>
      </c>
      <c r="AN232" s="16">
        <f>Table9[[#This Row],[Premium]]-Table9[[#This Row],[Tms prem]]</f>
        <v>0</v>
      </c>
    </row>
    <row r="233" spans="1:40" x14ac:dyDescent="0.25">
      <c r="A233">
        <v>268</v>
      </c>
      <c r="B233" t="s">
        <v>37</v>
      </c>
      <c r="C233" t="s">
        <v>3507</v>
      </c>
      <c r="D233" t="s">
        <v>39</v>
      </c>
      <c r="E233" t="s">
        <v>40</v>
      </c>
      <c r="F233" t="s">
        <v>1961</v>
      </c>
      <c r="G233" t="s">
        <v>3508</v>
      </c>
      <c r="H233" t="s">
        <v>128</v>
      </c>
      <c r="I233" t="s">
        <v>3509</v>
      </c>
      <c r="J233" t="s">
        <v>3510</v>
      </c>
      <c r="K233" t="s">
        <v>48</v>
      </c>
      <c r="L233" t="s">
        <v>3511</v>
      </c>
      <c r="M233" t="s">
        <v>3512</v>
      </c>
      <c r="N233">
        <v>590755</v>
      </c>
      <c r="O233">
        <v>2287500</v>
      </c>
      <c r="P233" t="s">
        <v>3513</v>
      </c>
      <c r="Q233" s="1">
        <v>45567</v>
      </c>
      <c r="R233" t="s">
        <v>3514</v>
      </c>
      <c r="S233" t="s">
        <v>3515</v>
      </c>
      <c r="T233" t="s">
        <v>51</v>
      </c>
      <c r="U233" t="s">
        <v>3516</v>
      </c>
      <c r="V233" t="s">
        <v>3517</v>
      </c>
      <c r="W233" t="s">
        <v>536</v>
      </c>
      <c r="X233" t="s">
        <v>3518</v>
      </c>
      <c r="Y233" t="s">
        <v>1075</v>
      </c>
      <c r="Z233" t="s">
        <v>108</v>
      </c>
      <c r="AA233" t="s">
        <v>3519</v>
      </c>
      <c r="AB233">
        <v>6</v>
      </c>
      <c r="AC233" t="s">
        <v>58</v>
      </c>
      <c r="AD233" t="s">
        <v>3520</v>
      </c>
      <c r="AE233" t="s">
        <v>3521</v>
      </c>
      <c r="AF233" t="s">
        <v>1079</v>
      </c>
      <c r="AG233">
        <v>1601250</v>
      </c>
      <c r="AH233" s="13">
        <v>40031</v>
      </c>
      <c r="AL233" t="s">
        <v>6121</v>
      </c>
      <c r="AM233" s="13">
        <v>40031</v>
      </c>
      <c r="AN233" s="16">
        <f>Table9[[#This Row],[Premium]]-Table9[[#This Row],[Tms prem]]</f>
        <v>0</v>
      </c>
    </row>
    <row r="234" spans="1:40" x14ac:dyDescent="0.25">
      <c r="A234">
        <v>271</v>
      </c>
      <c r="B234" t="s">
        <v>37</v>
      </c>
      <c r="C234" t="s">
        <v>3550</v>
      </c>
      <c r="D234" t="s">
        <v>39</v>
      </c>
      <c r="E234" t="s">
        <v>40</v>
      </c>
      <c r="F234" t="s">
        <v>63</v>
      </c>
      <c r="G234" t="s">
        <v>3551</v>
      </c>
      <c r="H234" t="s">
        <v>128</v>
      </c>
      <c r="I234" t="s">
        <v>3552</v>
      </c>
      <c r="J234" t="s">
        <v>3553</v>
      </c>
      <c r="K234" t="s">
        <v>48</v>
      </c>
      <c r="L234" t="s">
        <v>3554</v>
      </c>
      <c r="M234" t="s">
        <v>3555</v>
      </c>
      <c r="N234">
        <v>810730</v>
      </c>
      <c r="O234">
        <v>1335000</v>
      </c>
      <c r="P234" t="s">
        <v>3556</v>
      </c>
      <c r="Q234" s="1">
        <v>45596</v>
      </c>
      <c r="R234" t="s">
        <v>3557</v>
      </c>
      <c r="S234" t="s">
        <v>3558</v>
      </c>
      <c r="T234" t="s">
        <v>51</v>
      </c>
      <c r="U234" t="s">
        <v>48</v>
      </c>
      <c r="V234" t="s">
        <v>325</v>
      </c>
      <c r="W234" t="s">
        <v>53</v>
      </c>
      <c r="X234" t="s">
        <v>3559</v>
      </c>
      <c r="Y234" t="s">
        <v>697</v>
      </c>
      <c r="Z234" t="s">
        <v>3560</v>
      </c>
      <c r="AA234" t="s">
        <v>3561</v>
      </c>
      <c r="AB234">
        <v>7</v>
      </c>
      <c r="AC234" t="s">
        <v>78</v>
      </c>
      <c r="AD234" t="s">
        <v>3562</v>
      </c>
      <c r="AE234" t="s">
        <v>3563</v>
      </c>
      <c r="AF234" t="s">
        <v>61</v>
      </c>
      <c r="AG234">
        <v>1068000</v>
      </c>
      <c r="AH234" s="13">
        <v>21360</v>
      </c>
      <c r="AL234" t="s">
        <v>6122</v>
      </c>
      <c r="AM234" s="13">
        <v>21360</v>
      </c>
      <c r="AN234" s="16">
        <f>Table9[[#This Row],[Premium]]-Table9[[#This Row],[Tms prem]]</f>
        <v>0</v>
      </c>
    </row>
    <row r="235" spans="1:40" x14ac:dyDescent="0.25">
      <c r="A235">
        <v>272</v>
      </c>
      <c r="B235" t="s">
        <v>37</v>
      </c>
      <c r="C235" t="s">
        <v>3564</v>
      </c>
      <c r="D235" t="s">
        <v>39</v>
      </c>
      <c r="E235" t="s">
        <v>40</v>
      </c>
      <c r="F235" t="s">
        <v>3565</v>
      </c>
      <c r="G235" t="s">
        <v>3566</v>
      </c>
      <c r="H235" t="s">
        <v>43</v>
      </c>
      <c r="I235" t="s">
        <v>3567</v>
      </c>
      <c r="J235" t="s">
        <v>48</v>
      </c>
      <c r="K235" t="s">
        <v>3568</v>
      </c>
      <c r="L235" t="s">
        <v>48</v>
      </c>
      <c r="M235" t="s">
        <v>3569</v>
      </c>
      <c r="N235">
        <v>2359282</v>
      </c>
      <c r="O235">
        <v>5700000</v>
      </c>
      <c r="P235" t="s">
        <v>3570</v>
      </c>
      <c r="Q235" t="s">
        <v>3571</v>
      </c>
      <c r="R235" t="s">
        <v>3572</v>
      </c>
      <c r="S235" t="s">
        <v>3573</v>
      </c>
      <c r="T235" t="s">
        <v>196</v>
      </c>
      <c r="U235" t="s">
        <v>3574</v>
      </c>
      <c r="V235" t="s">
        <v>2700</v>
      </c>
      <c r="W235" t="s">
        <v>552</v>
      </c>
      <c r="X235" s="1">
        <v>45230</v>
      </c>
      <c r="Y235" t="s">
        <v>3575</v>
      </c>
      <c r="Z235" t="s">
        <v>153</v>
      </c>
      <c r="AA235" t="s">
        <v>3576</v>
      </c>
      <c r="AB235">
        <v>3</v>
      </c>
      <c r="AC235" t="s">
        <v>540</v>
      </c>
      <c r="AD235" t="s">
        <v>3577</v>
      </c>
      <c r="AE235" t="s">
        <v>3578</v>
      </c>
      <c r="AF235" t="s">
        <v>155</v>
      </c>
      <c r="AG235">
        <v>5130000</v>
      </c>
      <c r="AH235" s="13">
        <v>89775</v>
      </c>
      <c r="AL235" t="s">
        <v>6123</v>
      </c>
      <c r="AM235" s="13">
        <v>89775</v>
      </c>
      <c r="AN235" s="16">
        <f>Table9[[#This Row],[Premium]]-Table9[[#This Row],[Tms prem]]</f>
        <v>0</v>
      </c>
    </row>
    <row r="236" spans="1:40" x14ac:dyDescent="0.25">
      <c r="A236">
        <v>273</v>
      </c>
      <c r="B236" t="s">
        <v>37</v>
      </c>
      <c r="C236" t="s">
        <v>3579</v>
      </c>
      <c r="D236" t="s">
        <v>39</v>
      </c>
      <c r="E236" t="s">
        <v>40</v>
      </c>
      <c r="F236" t="s">
        <v>789</v>
      </c>
      <c r="G236" t="s">
        <v>3580</v>
      </c>
      <c r="H236" t="s">
        <v>83</v>
      </c>
      <c r="I236" t="s">
        <v>3581</v>
      </c>
      <c r="J236" t="s">
        <v>48</v>
      </c>
      <c r="K236" t="s">
        <v>3582</v>
      </c>
      <c r="L236" t="s">
        <v>48</v>
      </c>
      <c r="M236" t="s">
        <v>3583</v>
      </c>
      <c r="N236">
        <v>510436</v>
      </c>
      <c r="O236">
        <v>1525000</v>
      </c>
      <c r="P236" t="s">
        <v>3584</v>
      </c>
      <c r="Q236" s="1">
        <v>45595</v>
      </c>
      <c r="R236" t="s">
        <v>3585</v>
      </c>
      <c r="S236" t="s">
        <v>3586</v>
      </c>
      <c r="T236" t="s">
        <v>196</v>
      </c>
      <c r="U236" t="s">
        <v>3587</v>
      </c>
      <c r="V236" t="s">
        <v>364</v>
      </c>
      <c r="W236" t="s">
        <v>1393</v>
      </c>
      <c r="X236" t="s">
        <v>3588</v>
      </c>
      <c r="Y236" t="s">
        <v>2996</v>
      </c>
      <c r="Z236" t="s">
        <v>1518</v>
      </c>
      <c r="AA236" t="s">
        <v>3589</v>
      </c>
      <c r="AB236">
        <v>3</v>
      </c>
      <c r="AC236" t="s">
        <v>556</v>
      </c>
      <c r="AD236" t="s">
        <v>3590</v>
      </c>
      <c r="AE236" t="s">
        <v>3588</v>
      </c>
      <c r="AF236" t="s">
        <v>155</v>
      </c>
      <c r="AG236">
        <v>1296250</v>
      </c>
      <c r="AH236" s="13">
        <v>22684</v>
      </c>
      <c r="AL236" t="s">
        <v>6124</v>
      </c>
      <c r="AM236" s="13">
        <v>22684</v>
      </c>
      <c r="AN236" s="16">
        <f>Table9[[#This Row],[Premium]]-Table9[[#This Row],[Tms prem]]</f>
        <v>0</v>
      </c>
    </row>
    <row r="237" spans="1:40" x14ac:dyDescent="0.25">
      <c r="A237">
        <v>274</v>
      </c>
      <c r="B237" t="s">
        <v>37</v>
      </c>
      <c r="C237" t="s">
        <v>3591</v>
      </c>
      <c r="D237" t="s">
        <v>39</v>
      </c>
      <c r="E237" t="s">
        <v>40</v>
      </c>
      <c r="F237" t="s">
        <v>3592</v>
      </c>
      <c r="G237" t="s">
        <v>3593</v>
      </c>
      <c r="H237" t="s">
        <v>83</v>
      </c>
      <c r="I237" t="s">
        <v>3594</v>
      </c>
      <c r="J237" t="s">
        <v>3595</v>
      </c>
      <c r="K237" t="s">
        <v>3595</v>
      </c>
      <c r="L237" t="s">
        <v>3595</v>
      </c>
      <c r="M237" t="s">
        <v>3596</v>
      </c>
      <c r="N237">
        <v>1416359</v>
      </c>
      <c r="O237">
        <v>6350000</v>
      </c>
      <c r="P237" t="s">
        <v>3597</v>
      </c>
      <c r="Q237" s="1">
        <v>45595</v>
      </c>
      <c r="R237" t="s">
        <v>3598</v>
      </c>
      <c r="S237" t="s">
        <v>3599</v>
      </c>
      <c r="T237" t="s">
        <v>51</v>
      </c>
      <c r="U237" t="s">
        <v>48</v>
      </c>
      <c r="V237" t="s">
        <v>3600</v>
      </c>
      <c r="W237" t="s">
        <v>552</v>
      </c>
      <c r="X237" t="s">
        <v>3601</v>
      </c>
      <c r="Y237" t="s">
        <v>2996</v>
      </c>
      <c r="Z237" t="s">
        <v>1518</v>
      </c>
      <c r="AA237" t="s">
        <v>3602</v>
      </c>
      <c r="AB237">
        <v>3</v>
      </c>
      <c r="AC237" t="s">
        <v>556</v>
      </c>
      <c r="AD237" t="s">
        <v>3603</v>
      </c>
      <c r="AE237" t="s">
        <v>3588</v>
      </c>
      <c r="AF237" t="s">
        <v>882</v>
      </c>
      <c r="AG237">
        <v>5397500</v>
      </c>
      <c r="AH237" s="13">
        <v>80963</v>
      </c>
      <c r="AL237" t="s">
        <v>6125</v>
      </c>
      <c r="AM237" s="13">
        <v>80963</v>
      </c>
      <c r="AN237" s="16">
        <f>Table9[[#This Row],[Premium]]-Table9[[#This Row],[Tms prem]]</f>
        <v>0</v>
      </c>
    </row>
    <row r="238" spans="1:40" x14ac:dyDescent="0.25">
      <c r="A238">
        <v>276</v>
      </c>
      <c r="B238" t="s">
        <v>184</v>
      </c>
      <c r="C238" t="s">
        <v>3614</v>
      </c>
      <c r="D238" t="s">
        <v>39</v>
      </c>
      <c r="E238" t="s">
        <v>40</v>
      </c>
      <c r="F238" t="s">
        <v>715</v>
      </c>
      <c r="G238" t="s">
        <v>3615</v>
      </c>
      <c r="H238" t="s">
        <v>43</v>
      </c>
      <c r="I238" t="s">
        <v>3616</v>
      </c>
      <c r="J238" t="s">
        <v>3617</v>
      </c>
      <c r="K238" t="s">
        <v>3618</v>
      </c>
      <c r="L238" t="s">
        <v>3617</v>
      </c>
      <c r="M238" t="s">
        <v>3619</v>
      </c>
      <c r="N238">
        <v>1065687</v>
      </c>
      <c r="O238">
        <v>2623000</v>
      </c>
      <c r="P238" t="s">
        <v>3620</v>
      </c>
      <c r="Q238" s="1">
        <v>45585</v>
      </c>
      <c r="R238" t="s">
        <v>3621</v>
      </c>
      <c r="S238" t="s">
        <v>3622</v>
      </c>
      <c r="T238" t="s">
        <v>51</v>
      </c>
      <c r="U238" t="s">
        <v>48</v>
      </c>
      <c r="V238" t="s">
        <v>3623</v>
      </c>
      <c r="W238" t="s">
        <v>53</v>
      </c>
      <c r="X238" t="s">
        <v>1430</v>
      </c>
      <c r="Y238" t="s">
        <v>92</v>
      </c>
      <c r="Z238" t="s">
        <v>93</v>
      </c>
      <c r="AA238" t="s">
        <v>3624</v>
      </c>
      <c r="AB238">
        <v>5</v>
      </c>
      <c r="AC238" t="s">
        <v>78</v>
      </c>
      <c r="AD238" t="s">
        <v>3625</v>
      </c>
      <c r="AE238" t="s">
        <v>403</v>
      </c>
      <c r="AF238" t="s">
        <v>61</v>
      </c>
      <c r="AG238">
        <v>2098400</v>
      </c>
      <c r="AH238" s="13">
        <v>41968</v>
      </c>
      <c r="AL238" t="s">
        <v>6126</v>
      </c>
      <c r="AM238" s="13">
        <v>41968</v>
      </c>
      <c r="AN238" s="16">
        <f>Table9[[#This Row],[Premium]]-Table9[[#This Row],[Tms prem]]</f>
        <v>0</v>
      </c>
    </row>
    <row r="239" spans="1:40" x14ac:dyDescent="0.25">
      <c r="A239">
        <v>277</v>
      </c>
      <c r="B239" t="s">
        <v>37</v>
      </c>
      <c r="C239" t="s">
        <v>3626</v>
      </c>
      <c r="D239" t="s">
        <v>39</v>
      </c>
      <c r="E239" t="s">
        <v>40</v>
      </c>
      <c r="F239" t="s">
        <v>789</v>
      </c>
      <c r="G239" t="s">
        <v>1990</v>
      </c>
      <c r="H239" t="s">
        <v>83</v>
      </c>
      <c r="I239" t="s">
        <v>3627</v>
      </c>
      <c r="J239" t="s">
        <v>3628</v>
      </c>
      <c r="K239" t="s">
        <v>3628</v>
      </c>
      <c r="L239" t="s">
        <v>3628</v>
      </c>
      <c r="M239" t="s">
        <v>3629</v>
      </c>
      <c r="N239">
        <v>1331649</v>
      </c>
      <c r="O239">
        <v>4600000</v>
      </c>
      <c r="P239" t="s">
        <v>3630</v>
      </c>
      <c r="Q239" s="1">
        <v>45595</v>
      </c>
      <c r="R239" t="s">
        <v>3631</v>
      </c>
      <c r="S239" t="s">
        <v>3632</v>
      </c>
      <c r="T239" t="s">
        <v>196</v>
      </c>
      <c r="U239" t="s">
        <v>3633</v>
      </c>
      <c r="V239" t="s">
        <v>3634</v>
      </c>
      <c r="W239" t="s">
        <v>53</v>
      </c>
      <c r="X239" t="s">
        <v>3588</v>
      </c>
      <c r="Y239" t="s">
        <v>2996</v>
      </c>
      <c r="Z239" t="s">
        <v>1518</v>
      </c>
      <c r="AA239" t="s">
        <v>3635</v>
      </c>
      <c r="AB239">
        <v>3</v>
      </c>
      <c r="AC239" t="s">
        <v>78</v>
      </c>
      <c r="AD239" t="s">
        <v>3636</v>
      </c>
      <c r="AE239" t="s">
        <v>3588</v>
      </c>
      <c r="AF239" t="s">
        <v>155</v>
      </c>
      <c r="AG239">
        <v>3910000</v>
      </c>
      <c r="AH239" s="13">
        <v>68425</v>
      </c>
      <c r="AL239" t="s">
        <v>6127</v>
      </c>
      <c r="AM239" s="13">
        <v>68425</v>
      </c>
      <c r="AN239" s="16">
        <f>Table9[[#This Row],[Premium]]-Table9[[#This Row],[Tms prem]]</f>
        <v>0</v>
      </c>
    </row>
    <row r="240" spans="1:40" x14ac:dyDescent="0.25">
      <c r="A240">
        <v>278</v>
      </c>
      <c r="B240" t="s">
        <v>37</v>
      </c>
      <c r="C240" t="s">
        <v>3637</v>
      </c>
      <c r="D240" t="s">
        <v>39</v>
      </c>
      <c r="E240" t="s">
        <v>40</v>
      </c>
      <c r="F240" t="s">
        <v>1096</v>
      </c>
      <c r="G240" t="s">
        <v>3638</v>
      </c>
      <c r="H240" t="s">
        <v>188</v>
      </c>
      <c r="I240" t="s">
        <v>3639</v>
      </c>
      <c r="J240" t="s">
        <v>48</v>
      </c>
      <c r="K240" t="s">
        <v>3640</v>
      </c>
      <c r="L240" t="s">
        <v>48</v>
      </c>
      <c r="M240" t="s">
        <v>3641</v>
      </c>
      <c r="N240">
        <v>685518</v>
      </c>
      <c r="O240">
        <v>5350000</v>
      </c>
      <c r="P240" t="s">
        <v>3642</v>
      </c>
      <c r="Q240" s="1">
        <v>45595</v>
      </c>
      <c r="R240" t="s">
        <v>3643</v>
      </c>
      <c r="S240" t="s">
        <v>3644</v>
      </c>
      <c r="T240" t="s">
        <v>196</v>
      </c>
      <c r="U240" t="s">
        <v>3645</v>
      </c>
      <c r="V240" t="s">
        <v>1770</v>
      </c>
      <c r="W240" t="s">
        <v>53</v>
      </c>
      <c r="X240" t="s">
        <v>3588</v>
      </c>
      <c r="Y240" t="s">
        <v>2996</v>
      </c>
      <c r="Z240" t="s">
        <v>1518</v>
      </c>
      <c r="AA240" t="s">
        <v>3646</v>
      </c>
      <c r="AB240">
        <v>3</v>
      </c>
      <c r="AC240" t="s">
        <v>556</v>
      </c>
      <c r="AD240" t="s">
        <v>3647</v>
      </c>
      <c r="AE240" t="s">
        <v>3648</v>
      </c>
      <c r="AF240" t="s">
        <v>155</v>
      </c>
      <c r="AG240">
        <v>4547500</v>
      </c>
      <c r="AH240" s="13">
        <v>79581</v>
      </c>
      <c r="AL240" t="s">
        <v>6128</v>
      </c>
      <c r="AM240" s="13">
        <v>79581</v>
      </c>
      <c r="AN240" s="16">
        <f>Table9[[#This Row],[Premium]]-Table9[[#This Row],[Tms prem]]</f>
        <v>0</v>
      </c>
    </row>
    <row r="241" spans="1:40" x14ac:dyDescent="0.25">
      <c r="A241">
        <v>279</v>
      </c>
      <c r="B241" t="s">
        <v>37</v>
      </c>
      <c r="C241" t="s">
        <v>3649</v>
      </c>
      <c r="D241" t="s">
        <v>39</v>
      </c>
      <c r="E241" t="s">
        <v>40</v>
      </c>
      <c r="F241" t="s">
        <v>1096</v>
      </c>
      <c r="G241" t="s">
        <v>3650</v>
      </c>
      <c r="H241" t="s">
        <v>188</v>
      </c>
      <c r="I241" t="s">
        <v>3651</v>
      </c>
      <c r="J241" t="s">
        <v>3652</v>
      </c>
      <c r="K241" t="s">
        <v>3653</v>
      </c>
      <c r="L241" t="s">
        <v>3652</v>
      </c>
      <c r="M241" t="s">
        <v>3654</v>
      </c>
      <c r="N241">
        <v>740330</v>
      </c>
      <c r="O241">
        <v>2600000</v>
      </c>
      <c r="P241" t="s">
        <v>3655</v>
      </c>
      <c r="Q241" s="1">
        <v>45595</v>
      </c>
      <c r="R241" t="s">
        <v>3656</v>
      </c>
      <c r="S241" t="s">
        <v>3657</v>
      </c>
      <c r="T241" t="s">
        <v>196</v>
      </c>
      <c r="U241" t="s">
        <v>3658</v>
      </c>
      <c r="V241" t="s">
        <v>3659</v>
      </c>
      <c r="W241" t="s">
        <v>1393</v>
      </c>
      <c r="X241" t="s">
        <v>3588</v>
      </c>
      <c r="Y241" t="s">
        <v>2996</v>
      </c>
      <c r="Z241" t="s">
        <v>1518</v>
      </c>
      <c r="AA241" t="s">
        <v>3660</v>
      </c>
      <c r="AB241">
        <v>3</v>
      </c>
      <c r="AC241" t="s">
        <v>556</v>
      </c>
      <c r="AD241" t="s">
        <v>3661</v>
      </c>
      <c r="AE241" t="s">
        <v>3588</v>
      </c>
      <c r="AF241" t="s">
        <v>155</v>
      </c>
      <c r="AG241">
        <v>2210000</v>
      </c>
      <c r="AH241" s="13">
        <v>38675</v>
      </c>
      <c r="AL241" t="s">
        <v>6129</v>
      </c>
      <c r="AM241" s="13">
        <v>38675</v>
      </c>
      <c r="AN241" s="16">
        <f>Table9[[#This Row],[Premium]]-Table9[[#This Row],[Tms prem]]</f>
        <v>0</v>
      </c>
    </row>
    <row r="242" spans="1:40" x14ac:dyDescent="0.25">
      <c r="A242">
        <v>280</v>
      </c>
      <c r="B242" t="s">
        <v>37</v>
      </c>
      <c r="C242" t="s">
        <v>3662</v>
      </c>
      <c r="D242" t="s">
        <v>39</v>
      </c>
      <c r="E242" t="s">
        <v>40</v>
      </c>
      <c r="F242" t="s">
        <v>63</v>
      </c>
      <c r="G242" t="s">
        <v>3663</v>
      </c>
      <c r="H242" t="s">
        <v>896</v>
      </c>
      <c r="I242" t="s">
        <v>3664</v>
      </c>
      <c r="J242" t="s">
        <v>3665</v>
      </c>
      <c r="K242" t="s">
        <v>3665</v>
      </c>
      <c r="L242" t="s">
        <v>3665</v>
      </c>
      <c r="M242" t="s">
        <v>3666</v>
      </c>
      <c r="N242">
        <v>527413</v>
      </c>
      <c r="O242">
        <v>1335000</v>
      </c>
      <c r="P242" t="s">
        <v>3667</v>
      </c>
      <c r="Q242" s="1">
        <v>45586</v>
      </c>
      <c r="R242" t="s">
        <v>3668</v>
      </c>
      <c r="S242" t="s">
        <v>3669</v>
      </c>
      <c r="T242" t="s">
        <v>51</v>
      </c>
      <c r="U242" t="s">
        <v>48</v>
      </c>
      <c r="V242" t="s">
        <v>2008</v>
      </c>
      <c r="W242" t="s">
        <v>53</v>
      </c>
      <c r="X242" t="s">
        <v>1555</v>
      </c>
      <c r="Y242" t="s">
        <v>152</v>
      </c>
      <c r="Z242" t="s">
        <v>153</v>
      </c>
      <c r="AA242" t="s">
        <v>3670</v>
      </c>
      <c r="AB242">
        <v>5</v>
      </c>
      <c r="AC242" t="s">
        <v>58</v>
      </c>
      <c r="AD242" t="s">
        <v>3671</v>
      </c>
      <c r="AE242" t="s">
        <v>403</v>
      </c>
      <c r="AF242" t="s">
        <v>61</v>
      </c>
      <c r="AG242">
        <v>1068000</v>
      </c>
      <c r="AH242" s="13">
        <v>21360</v>
      </c>
      <c r="AL242" t="s">
        <v>6130</v>
      </c>
      <c r="AM242" s="13">
        <v>21360</v>
      </c>
      <c r="AN242" s="16">
        <f>Table9[[#This Row],[Premium]]-Table9[[#This Row],[Tms prem]]</f>
        <v>0</v>
      </c>
    </row>
    <row r="243" spans="1:40" x14ac:dyDescent="0.25">
      <c r="A243">
        <v>281</v>
      </c>
      <c r="B243" t="s">
        <v>37</v>
      </c>
      <c r="C243" t="s">
        <v>3672</v>
      </c>
      <c r="D243" t="s">
        <v>39</v>
      </c>
      <c r="E243" t="s">
        <v>40</v>
      </c>
      <c r="F243" t="s">
        <v>63</v>
      </c>
      <c r="G243" t="s">
        <v>3673</v>
      </c>
      <c r="H243" t="s">
        <v>43</v>
      </c>
      <c r="I243" t="s">
        <v>3674</v>
      </c>
      <c r="J243" t="s">
        <v>3675</v>
      </c>
      <c r="K243" t="s">
        <v>3676</v>
      </c>
      <c r="L243" t="s">
        <v>3677</v>
      </c>
      <c r="M243" t="s">
        <v>3678</v>
      </c>
      <c r="N243">
        <v>710934</v>
      </c>
      <c r="O243">
        <v>1335000</v>
      </c>
      <c r="P243" t="s">
        <v>3679</v>
      </c>
      <c r="Q243" s="1">
        <v>45586</v>
      </c>
      <c r="R243" t="s">
        <v>3680</v>
      </c>
      <c r="S243" t="s">
        <v>3681</v>
      </c>
      <c r="T243" t="s">
        <v>51</v>
      </c>
      <c r="U243" t="s">
        <v>48</v>
      </c>
      <c r="V243" t="s">
        <v>810</v>
      </c>
      <c r="W243" t="s">
        <v>53</v>
      </c>
      <c r="X243" t="s">
        <v>569</v>
      </c>
      <c r="Y243" t="s">
        <v>92</v>
      </c>
      <c r="Z243" t="s">
        <v>811</v>
      </c>
      <c r="AA243" t="s">
        <v>3682</v>
      </c>
      <c r="AB243">
        <v>7</v>
      </c>
      <c r="AC243" t="s">
        <v>58</v>
      </c>
      <c r="AD243" t="s">
        <v>3683</v>
      </c>
      <c r="AE243" t="s">
        <v>403</v>
      </c>
      <c r="AF243" t="s">
        <v>61</v>
      </c>
      <c r="AG243">
        <v>1068000</v>
      </c>
      <c r="AH243" s="13">
        <v>21360</v>
      </c>
      <c r="AL243" t="s">
        <v>6131</v>
      </c>
      <c r="AM243" s="13">
        <v>21360</v>
      </c>
      <c r="AN243" s="16">
        <f>Table9[[#This Row],[Premium]]-Table9[[#This Row],[Tms prem]]</f>
        <v>0</v>
      </c>
    </row>
    <row r="244" spans="1:40" x14ac:dyDescent="0.25">
      <c r="A244">
        <v>282</v>
      </c>
      <c r="B244" t="s">
        <v>37</v>
      </c>
      <c r="C244" t="s">
        <v>3684</v>
      </c>
      <c r="D244" t="s">
        <v>39</v>
      </c>
      <c r="E244" t="s">
        <v>40</v>
      </c>
      <c r="F244" t="s">
        <v>63</v>
      </c>
      <c r="G244" t="s">
        <v>3685</v>
      </c>
      <c r="H244" t="s">
        <v>43</v>
      </c>
      <c r="I244" t="s">
        <v>3686</v>
      </c>
      <c r="J244" t="s">
        <v>3687</v>
      </c>
      <c r="K244" t="s">
        <v>3688</v>
      </c>
      <c r="L244" t="s">
        <v>3687</v>
      </c>
      <c r="M244" t="s">
        <v>3689</v>
      </c>
      <c r="N244">
        <v>587344</v>
      </c>
      <c r="O244">
        <v>1335000</v>
      </c>
      <c r="P244" t="s">
        <v>3690</v>
      </c>
      <c r="Q244" s="1">
        <v>45586</v>
      </c>
      <c r="R244" t="s">
        <v>3691</v>
      </c>
      <c r="S244" t="s">
        <v>3692</v>
      </c>
      <c r="T244" t="s">
        <v>51</v>
      </c>
      <c r="U244" t="s">
        <v>48</v>
      </c>
      <c r="V244" t="s">
        <v>325</v>
      </c>
      <c r="W244" t="s">
        <v>53</v>
      </c>
      <c r="X244" t="s">
        <v>684</v>
      </c>
      <c r="Y244" t="s">
        <v>92</v>
      </c>
      <c r="Z244" t="s">
        <v>93</v>
      </c>
      <c r="AA244" t="s">
        <v>3693</v>
      </c>
      <c r="AB244">
        <v>5</v>
      </c>
      <c r="AC244" t="s">
        <v>58</v>
      </c>
      <c r="AD244" t="s">
        <v>3694</v>
      </c>
      <c r="AE244" t="s">
        <v>403</v>
      </c>
      <c r="AF244" t="s">
        <v>61</v>
      </c>
      <c r="AG244">
        <v>1068000</v>
      </c>
      <c r="AH244" s="13">
        <v>21360</v>
      </c>
      <c r="AL244" t="s">
        <v>6132</v>
      </c>
      <c r="AM244" s="13">
        <v>21360</v>
      </c>
      <c r="AN244" s="16">
        <f>Table9[[#This Row],[Premium]]-Table9[[#This Row],[Tms prem]]</f>
        <v>0</v>
      </c>
    </row>
    <row r="245" spans="1:40" x14ac:dyDescent="0.25">
      <c r="A245">
        <v>283</v>
      </c>
      <c r="B245" t="s">
        <v>37</v>
      </c>
      <c r="C245" t="s">
        <v>3695</v>
      </c>
      <c r="D245" t="s">
        <v>39</v>
      </c>
      <c r="E245" t="s">
        <v>40</v>
      </c>
      <c r="F245" t="s">
        <v>1096</v>
      </c>
      <c r="G245" t="s">
        <v>3696</v>
      </c>
      <c r="H245" t="s">
        <v>188</v>
      </c>
      <c r="I245" t="s">
        <v>3697</v>
      </c>
      <c r="J245" t="s">
        <v>3698</v>
      </c>
      <c r="K245" t="s">
        <v>48</v>
      </c>
      <c r="L245" t="s">
        <v>3699</v>
      </c>
      <c r="M245" t="s">
        <v>3700</v>
      </c>
      <c r="N245">
        <v>801586</v>
      </c>
      <c r="O245">
        <v>2223000</v>
      </c>
      <c r="P245" t="s">
        <v>3701</v>
      </c>
      <c r="Q245" s="1">
        <v>45595</v>
      </c>
      <c r="R245" t="s">
        <v>3702</v>
      </c>
      <c r="S245" t="s">
        <v>3703</v>
      </c>
      <c r="T245" t="s">
        <v>196</v>
      </c>
      <c r="U245" t="s">
        <v>3704</v>
      </c>
      <c r="V245" t="s">
        <v>106</v>
      </c>
      <c r="W245" t="s">
        <v>53</v>
      </c>
      <c r="X245" t="s">
        <v>3588</v>
      </c>
      <c r="Y245" t="s">
        <v>2996</v>
      </c>
      <c r="Z245" t="s">
        <v>824</v>
      </c>
      <c r="AA245" t="s">
        <v>3705</v>
      </c>
      <c r="AB245">
        <v>5</v>
      </c>
      <c r="AC245" t="s">
        <v>556</v>
      </c>
      <c r="AD245" t="s">
        <v>3706</v>
      </c>
      <c r="AE245" t="s">
        <v>3588</v>
      </c>
      <c r="AF245" t="s">
        <v>155</v>
      </c>
      <c r="AG245">
        <v>1889550</v>
      </c>
      <c r="AH245" s="13">
        <v>33067</v>
      </c>
      <c r="AL245" t="s">
        <v>6133</v>
      </c>
      <c r="AM245" s="13">
        <v>33067</v>
      </c>
      <c r="AN245" s="16">
        <f>Table9[[#This Row],[Premium]]-Table9[[#This Row],[Tms prem]]</f>
        <v>0</v>
      </c>
    </row>
    <row r="246" spans="1:40" x14ac:dyDescent="0.25">
      <c r="A246">
        <v>284</v>
      </c>
      <c r="B246" t="s">
        <v>37</v>
      </c>
      <c r="C246" t="s">
        <v>3707</v>
      </c>
      <c r="D246" t="s">
        <v>39</v>
      </c>
      <c r="E246" t="s">
        <v>40</v>
      </c>
      <c r="F246" t="s">
        <v>63</v>
      </c>
      <c r="G246" t="s">
        <v>3708</v>
      </c>
      <c r="H246" t="s">
        <v>43</v>
      </c>
      <c r="I246" t="s">
        <v>3709</v>
      </c>
      <c r="J246" t="s">
        <v>3710</v>
      </c>
      <c r="K246" t="s">
        <v>3711</v>
      </c>
      <c r="L246" t="s">
        <v>3712</v>
      </c>
      <c r="M246" t="s">
        <v>3713</v>
      </c>
      <c r="N246">
        <v>475525</v>
      </c>
      <c r="O246">
        <v>1655000</v>
      </c>
      <c r="P246" t="s">
        <v>3714</v>
      </c>
      <c r="Q246" s="1">
        <v>45586</v>
      </c>
      <c r="R246" t="s">
        <v>3715</v>
      </c>
      <c r="S246" t="s">
        <v>3716</v>
      </c>
      <c r="T246" t="s">
        <v>51</v>
      </c>
      <c r="U246" t="s">
        <v>48</v>
      </c>
      <c r="V246" t="s">
        <v>1105</v>
      </c>
      <c r="W246" t="s">
        <v>53</v>
      </c>
      <c r="X246" t="s">
        <v>595</v>
      </c>
      <c r="Y246" t="s">
        <v>92</v>
      </c>
      <c r="Z246" t="s">
        <v>1363</v>
      </c>
      <c r="AA246" t="s">
        <v>3717</v>
      </c>
      <c r="AB246">
        <v>4</v>
      </c>
      <c r="AC246" t="s">
        <v>78</v>
      </c>
      <c r="AD246" t="s">
        <v>3718</v>
      </c>
      <c r="AE246" t="s">
        <v>403</v>
      </c>
      <c r="AF246" t="s">
        <v>61</v>
      </c>
      <c r="AG246">
        <v>1324000</v>
      </c>
      <c r="AH246" s="13">
        <v>26480</v>
      </c>
      <c r="AL246" t="s">
        <v>6134</v>
      </c>
      <c r="AM246" s="13">
        <v>26480</v>
      </c>
      <c r="AN246" s="16">
        <f>Table9[[#This Row],[Premium]]-Table9[[#This Row],[Tms prem]]</f>
        <v>0</v>
      </c>
    </row>
    <row r="247" spans="1:40" x14ac:dyDescent="0.25">
      <c r="A247">
        <v>285</v>
      </c>
      <c r="B247" t="s">
        <v>37</v>
      </c>
      <c r="C247" t="s">
        <v>3719</v>
      </c>
      <c r="D247" t="s">
        <v>39</v>
      </c>
      <c r="E247" t="s">
        <v>40</v>
      </c>
      <c r="F247" t="s">
        <v>3720</v>
      </c>
      <c r="G247" t="s">
        <v>3721</v>
      </c>
      <c r="H247" t="s">
        <v>65</v>
      </c>
      <c r="I247" t="s">
        <v>3722</v>
      </c>
      <c r="J247" t="s">
        <v>48</v>
      </c>
      <c r="K247" t="s">
        <v>3723</v>
      </c>
      <c r="L247" t="s">
        <v>48</v>
      </c>
      <c r="M247" t="s">
        <v>3724</v>
      </c>
      <c r="N247">
        <v>1630492</v>
      </c>
      <c r="O247">
        <v>2564000</v>
      </c>
      <c r="P247" t="s">
        <v>3725</v>
      </c>
      <c r="Q247" s="1">
        <v>45595</v>
      </c>
      <c r="R247" t="s">
        <v>3726</v>
      </c>
      <c r="S247" t="s">
        <v>3727</v>
      </c>
      <c r="T247" t="s">
        <v>293</v>
      </c>
      <c r="U247" t="s">
        <v>48</v>
      </c>
      <c r="V247" t="s">
        <v>364</v>
      </c>
      <c r="W247" t="s">
        <v>552</v>
      </c>
      <c r="X247" t="s">
        <v>3588</v>
      </c>
      <c r="Y247" t="s">
        <v>2996</v>
      </c>
      <c r="Z247" t="s">
        <v>824</v>
      </c>
      <c r="AA247" t="s">
        <v>3728</v>
      </c>
      <c r="AB247">
        <v>5</v>
      </c>
      <c r="AC247" t="s">
        <v>556</v>
      </c>
      <c r="AD247" t="s">
        <v>3729</v>
      </c>
      <c r="AE247" t="s">
        <v>3588</v>
      </c>
      <c r="AF247" t="s">
        <v>299</v>
      </c>
      <c r="AG247">
        <v>2179400</v>
      </c>
      <c r="AH247" s="13">
        <v>30512</v>
      </c>
      <c r="AL247" t="s">
        <v>6135</v>
      </c>
      <c r="AM247" s="13">
        <v>30512</v>
      </c>
      <c r="AN247" s="16">
        <f>Table9[[#This Row],[Premium]]-Table9[[#This Row],[Tms prem]]</f>
        <v>0</v>
      </c>
    </row>
    <row r="248" spans="1:40" x14ac:dyDescent="0.25">
      <c r="A248">
        <v>286</v>
      </c>
      <c r="B248" t="s">
        <v>37</v>
      </c>
      <c r="C248" t="s">
        <v>3730</v>
      </c>
      <c r="D248" t="s">
        <v>39</v>
      </c>
      <c r="E248" t="s">
        <v>40</v>
      </c>
      <c r="F248" t="s">
        <v>3731</v>
      </c>
      <c r="G248" t="s">
        <v>3732</v>
      </c>
      <c r="H248" t="s">
        <v>2944</v>
      </c>
      <c r="I248" t="s">
        <v>3733</v>
      </c>
      <c r="J248" t="s">
        <v>3734</v>
      </c>
      <c r="K248" t="s">
        <v>3735</v>
      </c>
      <c r="L248" t="s">
        <v>3734</v>
      </c>
      <c r="M248" t="s">
        <v>3736</v>
      </c>
      <c r="N248">
        <v>1235713</v>
      </c>
      <c r="O248">
        <v>3283000</v>
      </c>
      <c r="P248" t="s">
        <v>3737</v>
      </c>
      <c r="Q248" s="1">
        <v>45586</v>
      </c>
      <c r="R248" t="s">
        <v>3738</v>
      </c>
      <c r="S248" t="s">
        <v>3739</v>
      </c>
      <c r="T248" t="s">
        <v>51</v>
      </c>
      <c r="U248" t="s">
        <v>48</v>
      </c>
      <c r="V248" t="s">
        <v>3740</v>
      </c>
      <c r="W248" t="s">
        <v>53</v>
      </c>
      <c r="X248" t="s">
        <v>3741</v>
      </c>
      <c r="Y248" t="s">
        <v>152</v>
      </c>
      <c r="Z248" t="s">
        <v>153</v>
      </c>
      <c r="AA248" t="s">
        <v>3742</v>
      </c>
      <c r="AB248">
        <v>5</v>
      </c>
      <c r="AC248" t="s">
        <v>540</v>
      </c>
      <c r="AD248" t="s">
        <v>3743</v>
      </c>
      <c r="AE248" t="s">
        <v>403</v>
      </c>
      <c r="AF248" t="s">
        <v>61</v>
      </c>
      <c r="AG248">
        <v>2626400</v>
      </c>
      <c r="AH248" s="13">
        <v>52528</v>
      </c>
      <c r="AL248" t="s">
        <v>6136</v>
      </c>
      <c r="AM248" s="13">
        <v>52528</v>
      </c>
      <c r="AN248" s="16">
        <f>Table9[[#This Row],[Premium]]-Table9[[#This Row],[Tms prem]]</f>
        <v>0</v>
      </c>
    </row>
    <row r="249" spans="1:40" x14ac:dyDescent="0.25">
      <c r="A249">
        <v>287</v>
      </c>
      <c r="B249" t="s">
        <v>37</v>
      </c>
      <c r="C249" t="s">
        <v>3744</v>
      </c>
      <c r="D249" t="s">
        <v>39</v>
      </c>
      <c r="E249" t="s">
        <v>40</v>
      </c>
      <c r="F249" t="s">
        <v>659</v>
      </c>
      <c r="G249" t="s">
        <v>3745</v>
      </c>
      <c r="H249" t="s">
        <v>83</v>
      </c>
      <c r="I249" t="s">
        <v>3746</v>
      </c>
      <c r="J249" t="s">
        <v>3747</v>
      </c>
      <c r="K249" t="s">
        <v>3747</v>
      </c>
      <c r="L249" t="s">
        <v>3747</v>
      </c>
      <c r="M249" t="s">
        <v>3748</v>
      </c>
      <c r="N249">
        <v>1199900</v>
      </c>
      <c r="O249">
        <v>2300000</v>
      </c>
      <c r="P249" t="s">
        <v>3749</v>
      </c>
      <c r="Q249" s="1">
        <v>45595</v>
      </c>
      <c r="R249" t="s">
        <v>3750</v>
      </c>
      <c r="S249" t="s">
        <v>3751</v>
      </c>
      <c r="T249" t="s">
        <v>196</v>
      </c>
      <c r="U249" t="s">
        <v>3752</v>
      </c>
      <c r="V249" t="s">
        <v>3753</v>
      </c>
      <c r="W249" t="s">
        <v>198</v>
      </c>
      <c r="X249" t="s">
        <v>3588</v>
      </c>
      <c r="Y249" t="s">
        <v>2996</v>
      </c>
      <c r="Z249" t="s">
        <v>824</v>
      </c>
      <c r="AA249" t="s">
        <v>3754</v>
      </c>
      <c r="AB249">
        <v>5</v>
      </c>
      <c r="AC249" t="s">
        <v>556</v>
      </c>
      <c r="AD249" t="s">
        <v>3661</v>
      </c>
      <c r="AE249" t="s">
        <v>3588</v>
      </c>
      <c r="AF249" t="s">
        <v>155</v>
      </c>
      <c r="AG249">
        <v>1955000</v>
      </c>
      <c r="AH249" s="13">
        <v>34213</v>
      </c>
      <c r="AL249" t="s">
        <v>6137</v>
      </c>
      <c r="AM249" s="13">
        <v>34213</v>
      </c>
      <c r="AN249" s="16">
        <f>Table9[[#This Row],[Premium]]-Table9[[#This Row],[Tms prem]]</f>
        <v>0</v>
      </c>
    </row>
    <row r="250" spans="1:40" x14ac:dyDescent="0.25">
      <c r="A250">
        <v>288</v>
      </c>
      <c r="B250" t="s">
        <v>37</v>
      </c>
      <c r="C250" t="s">
        <v>3755</v>
      </c>
      <c r="D250" t="s">
        <v>39</v>
      </c>
      <c r="E250" t="s">
        <v>40</v>
      </c>
      <c r="F250" t="s">
        <v>2290</v>
      </c>
      <c r="G250" t="s">
        <v>3756</v>
      </c>
      <c r="H250" t="s">
        <v>188</v>
      </c>
      <c r="I250" t="s">
        <v>3757</v>
      </c>
      <c r="J250" t="s">
        <v>3758</v>
      </c>
      <c r="K250" t="s">
        <v>3759</v>
      </c>
      <c r="L250" t="s">
        <v>3758</v>
      </c>
      <c r="M250" t="s">
        <v>3760</v>
      </c>
      <c r="N250">
        <v>1029334</v>
      </c>
      <c r="O250">
        <v>2080000</v>
      </c>
      <c r="P250" t="s">
        <v>3761</v>
      </c>
      <c r="Q250" s="1">
        <v>45595</v>
      </c>
      <c r="R250" t="s">
        <v>3762</v>
      </c>
      <c r="S250" t="s">
        <v>3763</v>
      </c>
      <c r="T250" t="s">
        <v>196</v>
      </c>
      <c r="U250" t="s">
        <v>3764</v>
      </c>
      <c r="V250" t="s">
        <v>106</v>
      </c>
      <c r="W250" t="s">
        <v>536</v>
      </c>
      <c r="X250" t="s">
        <v>3588</v>
      </c>
      <c r="Y250" t="s">
        <v>2996</v>
      </c>
      <c r="Z250" t="s">
        <v>824</v>
      </c>
      <c r="AA250" t="s">
        <v>3765</v>
      </c>
      <c r="AB250">
        <v>5</v>
      </c>
      <c r="AC250" t="s">
        <v>556</v>
      </c>
      <c r="AD250" t="s">
        <v>3766</v>
      </c>
      <c r="AE250" t="s">
        <v>3588</v>
      </c>
      <c r="AF250" t="s">
        <v>155</v>
      </c>
      <c r="AG250">
        <v>1768000</v>
      </c>
      <c r="AH250" s="13">
        <v>30940</v>
      </c>
      <c r="AL250" t="s">
        <v>6138</v>
      </c>
      <c r="AM250" s="13">
        <v>30940</v>
      </c>
      <c r="AN250" s="16">
        <f>Table9[[#This Row],[Premium]]-Table9[[#This Row],[Tms prem]]</f>
        <v>0</v>
      </c>
    </row>
    <row r="251" spans="1:40" x14ac:dyDescent="0.25">
      <c r="A251">
        <v>289</v>
      </c>
      <c r="B251" t="s">
        <v>37</v>
      </c>
      <c r="C251" t="s">
        <v>3767</v>
      </c>
      <c r="D251" t="s">
        <v>39</v>
      </c>
      <c r="E251" t="s">
        <v>40</v>
      </c>
      <c r="F251" t="s">
        <v>3768</v>
      </c>
      <c r="G251" t="s">
        <v>3769</v>
      </c>
      <c r="H251" t="s">
        <v>188</v>
      </c>
      <c r="I251" t="s">
        <v>3770</v>
      </c>
      <c r="J251" t="s">
        <v>3771</v>
      </c>
      <c r="K251" t="s">
        <v>3771</v>
      </c>
      <c r="L251" t="s">
        <v>438</v>
      </c>
      <c r="M251" t="s">
        <v>3772</v>
      </c>
      <c r="N251">
        <v>1370693</v>
      </c>
      <c r="O251">
        <v>2564000</v>
      </c>
      <c r="P251" t="s">
        <v>3773</v>
      </c>
      <c r="Q251" s="1">
        <v>45595</v>
      </c>
      <c r="R251" t="s">
        <v>3774</v>
      </c>
      <c r="S251" t="s">
        <v>3775</v>
      </c>
      <c r="T251" t="s">
        <v>51</v>
      </c>
      <c r="U251" t="s">
        <v>48</v>
      </c>
      <c r="V251" t="s">
        <v>364</v>
      </c>
      <c r="W251" t="s">
        <v>552</v>
      </c>
      <c r="X251" t="s">
        <v>3588</v>
      </c>
      <c r="Y251" t="s">
        <v>2996</v>
      </c>
      <c r="Z251" t="s">
        <v>824</v>
      </c>
      <c r="AA251" t="s">
        <v>3776</v>
      </c>
      <c r="AB251">
        <v>5</v>
      </c>
      <c r="AC251" t="s">
        <v>556</v>
      </c>
      <c r="AD251" t="s">
        <v>3777</v>
      </c>
      <c r="AE251" t="s">
        <v>3588</v>
      </c>
      <c r="AF251" t="s">
        <v>155</v>
      </c>
      <c r="AG251">
        <v>2179400</v>
      </c>
      <c r="AH251" s="13">
        <v>38140</v>
      </c>
      <c r="AL251" t="s">
        <v>6139</v>
      </c>
      <c r="AM251" s="13">
        <v>38140</v>
      </c>
      <c r="AN251" s="16">
        <f>Table9[[#This Row],[Premium]]-Table9[[#This Row],[Tms prem]]</f>
        <v>0</v>
      </c>
    </row>
    <row r="252" spans="1:40" x14ac:dyDescent="0.25">
      <c r="A252">
        <v>290</v>
      </c>
      <c r="B252" t="s">
        <v>37</v>
      </c>
      <c r="C252" t="s">
        <v>3778</v>
      </c>
      <c r="D252" t="s">
        <v>39</v>
      </c>
      <c r="E252" t="s">
        <v>40</v>
      </c>
      <c r="F252" t="s">
        <v>2290</v>
      </c>
      <c r="G252" t="s">
        <v>3779</v>
      </c>
      <c r="H252" t="s">
        <v>188</v>
      </c>
      <c r="I252" t="s">
        <v>3780</v>
      </c>
      <c r="J252" t="s">
        <v>48</v>
      </c>
      <c r="K252" t="s">
        <v>48</v>
      </c>
      <c r="L252" t="s">
        <v>3781</v>
      </c>
      <c r="M252" t="s">
        <v>3782</v>
      </c>
      <c r="N252">
        <v>702894</v>
      </c>
      <c r="O252">
        <v>2100000</v>
      </c>
      <c r="P252" t="s">
        <v>3783</v>
      </c>
      <c r="Q252" s="1">
        <v>45595</v>
      </c>
      <c r="R252" t="s">
        <v>3784</v>
      </c>
      <c r="S252" t="s">
        <v>3785</v>
      </c>
      <c r="T252" t="s">
        <v>196</v>
      </c>
      <c r="U252" t="s">
        <v>3786</v>
      </c>
      <c r="V252" t="s">
        <v>106</v>
      </c>
      <c r="W252" t="s">
        <v>536</v>
      </c>
      <c r="X252" t="s">
        <v>3588</v>
      </c>
      <c r="Y252" t="s">
        <v>2996</v>
      </c>
      <c r="Z252" t="s">
        <v>1518</v>
      </c>
      <c r="AA252" t="s">
        <v>3787</v>
      </c>
      <c r="AB252">
        <v>3</v>
      </c>
      <c r="AC252" t="s">
        <v>556</v>
      </c>
      <c r="AD252" t="s">
        <v>3788</v>
      </c>
      <c r="AE252" t="s">
        <v>3588</v>
      </c>
      <c r="AF252" t="s">
        <v>155</v>
      </c>
      <c r="AG252">
        <v>1785000</v>
      </c>
      <c r="AH252" s="13">
        <v>31238</v>
      </c>
      <c r="AL252" t="s">
        <v>6140</v>
      </c>
      <c r="AM252" s="13">
        <v>31238</v>
      </c>
      <c r="AN252" s="16">
        <f>Table9[[#This Row],[Premium]]-Table9[[#This Row],[Tms prem]]</f>
        <v>0</v>
      </c>
    </row>
    <row r="253" spans="1:40" x14ac:dyDescent="0.25">
      <c r="A253">
        <v>291</v>
      </c>
      <c r="B253" t="s">
        <v>37</v>
      </c>
      <c r="C253" t="s">
        <v>3789</v>
      </c>
      <c r="D253" t="s">
        <v>39</v>
      </c>
      <c r="E253" t="s">
        <v>40</v>
      </c>
      <c r="F253" t="s">
        <v>1708</v>
      </c>
      <c r="G253" t="s">
        <v>3790</v>
      </c>
      <c r="H253" t="s">
        <v>1875</v>
      </c>
      <c r="I253" t="s">
        <v>3791</v>
      </c>
      <c r="J253" t="s">
        <v>48</v>
      </c>
      <c r="K253" t="s">
        <v>3792</v>
      </c>
      <c r="L253" t="s">
        <v>48</v>
      </c>
      <c r="M253" t="s">
        <v>3793</v>
      </c>
      <c r="N253">
        <v>209871</v>
      </c>
      <c r="O253">
        <v>735000</v>
      </c>
      <c r="P253" t="s">
        <v>3794</v>
      </c>
      <c r="Q253" s="1">
        <v>45594</v>
      </c>
      <c r="R253" t="s">
        <v>3795</v>
      </c>
      <c r="S253" t="s">
        <v>3796</v>
      </c>
      <c r="T253" t="s">
        <v>196</v>
      </c>
      <c r="U253" t="s">
        <v>3797</v>
      </c>
      <c r="V253" t="s">
        <v>3798</v>
      </c>
      <c r="W253" t="s">
        <v>365</v>
      </c>
      <c r="X253" t="s">
        <v>3136</v>
      </c>
      <c r="Y253" t="s">
        <v>152</v>
      </c>
      <c r="Z253" t="s">
        <v>1518</v>
      </c>
      <c r="AA253" t="s">
        <v>3799</v>
      </c>
      <c r="AB253">
        <v>4</v>
      </c>
      <c r="AC253" t="s">
        <v>78</v>
      </c>
      <c r="AD253" t="s">
        <v>3800</v>
      </c>
      <c r="AE253" t="s">
        <v>3136</v>
      </c>
      <c r="AF253" t="s">
        <v>61</v>
      </c>
      <c r="AG253">
        <v>588000</v>
      </c>
      <c r="AH253" s="13">
        <v>11760</v>
      </c>
      <c r="AL253" t="s">
        <v>6141</v>
      </c>
      <c r="AM253" s="13">
        <v>11760</v>
      </c>
      <c r="AN253" s="16">
        <f>Table9[[#This Row],[Premium]]-Table9[[#This Row],[Tms prem]]</f>
        <v>0</v>
      </c>
    </row>
    <row r="254" spans="1:40" x14ac:dyDescent="0.25">
      <c r="A254">
        <v>292</v>
      </c>
      <c r="B254" t="s">
        <v>37</v>
      </c>
      <c r="C254" t="s">
        <v>3801</v>
      </c>
      <c r="D254" t="s">
        <v>39</v>
      </c>
      <c r="E254" t="s">
        <v>40</v>
      </c>
      <c r="F254" t="s">
        <v>63</v>
      </c>
      <c r="G254" t="s">
        <v>3802</v>
      </c>
      <c r="H254" t="s">
        <v>128</v>
      </c>
      <c r="I254" t="s">
        <v>3803</v>
      </c>
      <c r="J254" t="s">
        <v>48</v>
      </c>
      <c r="K254" t="s">
        <v>3804</v>
      </c>
      <c r="L254" t="s">
        <v>3805</v>
      </c>
      <c r="M254" t="s">
        <v>3806</v>
      </c>
      <c r="N254">
        <v>1872246</v>
      </c>
      <c r="O254">
        <v>2935000</v>
      </c>
      <c r="P254" t="s">
        <v>3807</v>
      </c>
      <c r="Q254" t="s">
        <v>3808</v>
      </c>
      <c r="R254" t="s">
        <v>3809</v>
      </c>
      <c r="S254" t="s">
        <v>3810</v>
      </c>
      <c r="T254" t="s">
        <v>51</v>
      </c>
      <c r="U254" t="s">
        <v>48</v>
      </c>
      <c r="V254" t="s">
        <v>73</v>
      </c>
      <c r="W254" t="s">
        <v>74</v>
      </c>
      <c r="X254" s="1">
        <v>45182</v>
      </c>
      <c r="Y254" t="s">
        <v>3575</v>
      </c>
      <c r="Z254" t="s">
        <v>1156</v>
      </c>
      <c r="AA254" t="s">
        <v>3811</v>
      </c>
      <c r="AB254">
        <v>5</v>
      </c>
      <c r="AC254" t="s">
        <v>78</v>
      </c>
      <c r="AD254" t="s">
        <v>3812</v>
      </c>
      <c r="AE254" t="s">
        <v>3813</v>
      </c>
      <c r="AF254" t="s">
        <v>61</v>
      </c>
      <c r="AG254">
        <v>2641500</v>
      </c>
      <c r="AH254" s="13">
        <v>52830</v>
      </c>
      <c r="AL254" t="s">
        <v>6142</v>
      </c>
      <c r="AM254" s="13">
        <v>52830</v>
      </c>
      <c r="AN254" s="16">
        <f>Table9[[#This Row],[Premium]]-Table9[[#This Row],[Tms prem]]</f>
        <v>0</v>
      </c>
    </row>
    <row r="255" spans="1:40" x14ac:dyDescent="0.25">
      <c r="A255">
        <v>293</v>
      </c>
      <c r="B255" t="s">
        <v>37</v>
      </c>
      <c r="C255" t="s">
        <v>3814</v>
      </c>
      <c r="D255" t="s">
        <v>39</v>
      </c>
      <c r="E255" t="s">
        <v>40</v>
      </c>
      <c r="F255" t="s">
        <v>63</v>
      </c>
      <c r="G255" t="s">
        <v>3815</v>
      </c>
      <c r="H255" t="s">
        <v>43</v>
      </c>
      <c r="I255" t="s">
        <v>3816</v>
      </c>
      <c r="J255" t="s">
        <v>3817</v>
      </c>
      <c r="K255" t="s">
        <v>3818</v>
      </c>
      <c r="L255" t="s">
        <v>3817</v>
      </c>
      <c r="M255" t="s">
        <v>3819</v>
      </c>
      <c r="N255">
        <v>1161597</v>
      </c>
      <c r="O255">
        <v>1886000</v>
      </c>
      <c r="P255" t="s">
        <v>3820</v>
      </c>
      <c r="Q255" s="1">
        <v>45588</v>
      </c>
      <c r="R255" t="s">
        <v>3821</v>
      </c>
      <c r="S255" t="s">
        <v>3822</v>
      </c>
      <c r="T255" t="s">
        <v>51</v>
      </c>
      <c r="U255" t="s">
        <v>48</v>
      </c>
      <c r="V255" t="s">
        <v>1690</v>
      </c>
      <c r="W255" t="s">
        <v>552</v>
      </c>
      <c r="X255" t="s">
        <v>2620</v>
      </c>
      <c r="Y255" t="s">
        <v>1490</v>
      </c>
      <c r="Z255" t="s">
        <v>1229</v>
      </c>
      <c r="AA255" t="s">
        <v>3823</v>
      </c>
      <c r="AB255">
        <v>5</v>
      </c>
      <c r="AC255" t="s">
        <v>556</v>
      </c>
      <c r="AD255" t="s">
        <v>3824</v>
      </c>
      <c r="AE255" t="s">
        <v>3221</v>
      </c>
      <c r="AF255" t="s">
        <v>61</v>
      </c>
      <c r="AG255">
        <v>1603100</v>
      </c>
      <c r="AH255" s="13">
        <v>32062</v>
      </c>
      <c r="AL255" t="s">
        <v>6143</v>
      </c>
      <c r="AM255" s="13">
        <v>32062</v>
      </c>
      <c r="AN255" s="16">
        <f>Table9[[#This Row],[Premium]]-Table9[[#This Row],[Tms prem]]</f>
        <v>0</v>
      </c>
    </row>
    <row r="256" spans="1:40" x14ac:dyDescent="0.25">
      <c r="A256">
        <v>294</v>
      </c>
      <c r="B256" t="s">
        <v>37</v>
      </c>
      <c r="C256" t="s">
        <v>3825</v>
      </c>
      <c r="D256" t="s">
        <v>39</v>
      </c>
      <c r="E256" t="s">
        <v>40</v>
      </c>
      <c r="F256" t="s">
        <v>1096</v>
      </c>
      <c r="G256" t="s">
        <v>3826</v>
      </c>
      <c r="H256" t="s">
        <v>188</v>
      </c>
      <c r="I256" t="s">
        <v>3827</v>
      </c>
      <c r="J256" t="s">
        <v>48</v>
      </c>
      <c r="K256" t="s">
        <v>3828</v>
      </c>
      <c r="L256" t="s">
        <v>48</v>
      </c>
      <c r="M256" t="s">
        <v>3829</v>
      </c>
      <c r="N256">
        <v>1282156</v>
      </c>
      <c r="O256">
        <v>4500000</v>
      </c>
      <c r="P256" t="s">
        <v>3830</v>
      </c>
      <c r="Q256" s="1">
        <v>45588</v>
      </c>
      <c r="R256" t="s">
        <v>3831</v>
      </c>
      <c r="S256" t="s">
        <v>3832</v>
      </c>
      <c r="T256" t="s">
        <v>196</v>
      </c>
      <c r="U256" t="s">
        <v>48</v>
      </c>
      <c r="V256" t="s">
        <v>3833</v>
      </c>
      <c r="W256" t="s">
        <v>53</v>
      </c>
      <c r="X256" t="s">
        <v>3834</v>
      </c>
      <c r="Y256" t="s">
        <v>1490</v>
      </c>
      <c r="Z256" t="s">
        <v>1363</v>
      </c>
      <c r="AA256" t="s">
        <v>3835</v>
      </c>
      <c r="AB256">
        <v>3</v>
      </c>
      <c r="AC256" t="s">
        <v>556</v>
      </c>
      <c r="AD256" t="s">
        <v>3836</v>
      </c>
      <c r="AE256" t="s">
        <v>3221</v>
      </c>
      <c r="AF256" t="s">
        <v>155</v>
      </c>
      <c r="AG256">
        <v>3825000</v>
      </c>
      <c r="AH256" s="13">
        <v>66938</v>
      </c>
      <c r="AL256" t="s">
        <v>6144</v>
      </c>
      <c r="AM256" s="13">
        <v>66938</v>
      </c>
      <c r="AN256" s="16">
        <f>Table9[[#This Row],[Premium]]-Table9[[#This Row],[Tms prem]]</f>
        <v>0</v>
      </c>
    </row>
    <row r="257" spans="1:40" x14ac:dyDescent="0.25">
      <c r="A257">
        <v>295</v>
      </c>
      <c r="B257" t="s">
        <v>37</v>
      </c>
      <c r="C257" t="s">
        <v>3837</v>
      </c>
      <c r="D257" t="s">
        <v>39</v>
      </c>
      <c r="E257" t="s">
        <v>40</v>
      </c>
      <c r="F257" t="s">
        <v>1096</v>
      </c>
      <c r="G257" t="s">
        <v>3838</v>
      </c>
      <c r="H257" t="s">
        <v>188</v>
      </c>
      <c r="I257" t="s">
        <v>3839</v>
      </c>
      <c r="J257" t="s">
        <v>48</v>
      </c>
      <c r="K257" t="s">
        <v>3840</v>
      </c>
      <c r="L257" t="s">
        <v>48</v>
      </c>
      <c r="M257" t="s">
        <v>3841</v>
      </c>
      <c r="N257">
        <v>764075</v>
      </c>
      <c r="O257">
        <v>1400000</v>
      </c>
      <c r="P257" t="s">
        <v>3842</v>
      </c>
      <c r="Q257" s="1">
        <v>45594</v>
      </c>
      <c r="R257" t="s">
        <v>3843</v>
      </c>
      <c r="S257" t="s">
        <v>3844</v>
      </c>
      <c r="T257" t="s">
        <v>196</v>
      </c>
      <c r="U257" t="s">
        <v>3845</v>
      </c>
      <c r="V257" t="s">
        <v>350</v>
      </c>
      <c r="W257" t="s">
        <v>365</v>
      </c>
      <c r="X257" t="s">
        <v>3588</v>
      </c>
      <c r="Y257" t="s">
        <v>2996</v>
      </c>
      <c r="Z257" t="s">
        <v>824</v>
      </c>
      <c r="AA257" t="s">
        <v>3846</v>
      </c>
      <c r="AB257">
        <v>5</v>
      </c>
      <c r="AC257" t="s">
        <v>556</v>
      </c>
      <c r="AD257" t="s">
        <v>3847</v>
      </c>
      <c r="AE257" t="s">
        <v>3848</v>
      </c>
      <c r="AF257" t="s">
        <v>155</v>
      </c>
      <c r="AG257">
        <v>1190000</v>
      </c>
      <c r="AH257" s="13">
        <v>20825</v>
      </c>
      <c r="AL257" t="s">
        <v>6145</v>
      </c>
      <c r="AM257" s="13">
        <v>20825</v>
      </c>
      <c r="AN257" s="16">
        <f>Table9[[#This Row],[Premium]]-Table9[[#This Row],[Tms prem]]</f>
        <v>0</v>
      </c>
    </row>
    <row r="258" spans="1:40" x14ac:dyDescent="0.25">
      <c r="A258">
        <v>296</v>
      </c>
      <c r="B258" t="s">
        <v>37</v>
      </c>
      <c r="C258" t="s">
        <v>3849</v>
      </c>
      <c r="D258" t="s">
        <v>39</v>
      </c>
      <c r="E258" t="s">
        <v>40</v>
      </c>
      <c r="F258" t="s">
        <v>1096</v>
      </c>
      <c r="G258" t="s">
        <v>3850</v>
      </c>
      <c r="H258" t="s">
        <v>188</v>
      </c>
      <c r="I258" t="s">
        <v>3851</v>
      </c>
      <c r="J258" t="s">
        <v>48</v>
      </c>
      <c r="K258" t="s">
        <v>3852</v>
      </c>
      <c r="L258" t="s">
        <v>48</v>
      </c>
      <c r="M258" t="s">
        <v>3853</v>
      </c>
      <c r="N258">
        <v>810565</v>
      </c>
      <c r="O258">
        <v>2800000</v>
      </c>
      <c r="P258" t="s">
        <v>3854</v>
      </c>
      <c r="Q258" s="1">
        <v>45594</v>
      </c>
      <c r="R258" t="s">
        <v>3855</v>
      </c>
      <c r="S258" t="s">
        <v>3856</v>
      </c>
      <c r="T258" t="s">
        <v>196</v>
      </c>
      <c r="U258" t="s">
        <v>3857</v>
      </c>
      <c r="V258" t="s">
        <v>3858</v>
      </c>
      <c r="W258" t="s">
        <v>365</v>
      </c>
      <c r="X258" t="s">
        <v>3588</v>
      </c>
      <c r="Y258" t="s">
        <v>2996</v>
      </c>
      <c r="Z258" t="s">
        <v>1518</v>
      </c>
      <c r="AA258" t="s">
        <v>3859</v>
      </c>
      <c r="AB258">
        <v>3</v>
      </c>
      <c r="AC258" t="s">
        <v>556</v>
      </c>
      <c r="AD258" t="s">
        <v>3860</v>
      </c>
      <c r="AE258" t="s">
        <v>3588</v>
      </c>
      <c r="AF258" t="s">
        <v>155</v>
      </c>
      <c r="AG258">
        <v>2380000</v>
      </c>
      <c r="AH258" s="13">
        <v>41650</v>
      </c>
      <c r="AL258" t="s">
        <v>6146</v>
      </c>
      <c r="AM258" s="13">
        <v>41650</v>
      </c>
      <c r="AN258" s="16">
        <f>Table9[[#This Row],[Premium]]-Table9[[#This Row],[Tms prem]]</f>
        <v>0</v>
      </c>
    </row>
    <row r="259" spans="1:40" x14ac:dyDescent="0.25">
      <c r="A259">
        <v>297</v>
      </c>
      <c r="B259" t="s">
        <v>37</v>
      </c>
      <c r="C259" t="s">
        <v>3861</v>
      </c>
      <c r="D259" t="s">
        <v>39</v>
      </c>
      <c r="E259" t="s">
        <v>40</v>
      </c>
      <c r="F259" t="s">
        <v>1401</v>
      </c>
      <c r="G259" t="s">
        <v>3862</v>
      </c>
      <c r="H259" t="s">
        <v>188</v>
      </c>
      <c r="I259" t="s">
        <v>3863</v>
      </c>
      <c r="J259" t="s">
        <v>3864</v>
      </c>
      <c r="K259" t="s">
        <v>3864</v>
      </c>
      <c r="L259" t="s">
        <v>3865</v>
      </c>
      <c r="M259" t="s">
        <v>3866</v>
      </c>
      <c r="N259">
        <v>856924</v>
      </c>
      <c r="O259">
        <v>2250000</v>
      </c>
      <c r="P259" t="s">
        <v>3867</v>
      </c>
      <c r="Q259" s="1">
        <v>45588</v>
      </c>
      <c r="R259" t="s">
        <v>3868</v>
      </c>
      <c r="S259" t="s">
        <v>3869</v>
      </c>
      <c r="T259" t="s">
        <v>196</v>
      </c>
      <c r="U259" t="s">
        <v>3870</v>
      </c>
      <c r="V259" t="s">
        <v>73</v>
      </c>
      <c r="W259" t="s">
        <v>552</v>
      </c>
      <c r="X259" t="s">
        <v>1490</v>
      </c>
      <c r="Y259" t="s">
        <v>1490</v>
      </c>
      <c r="Z259" t="s">
        <v>1229</v>
      </c>
      <c r="AA259" t="s">
        <v>3871</v>
      </c>
      <c r="AB259">
        <v>5</v>
      </c>
      <c r="AC259" t="s">
        <v>556</v>
      </c>
      <c r="AD259" t="s">
        <v>3872</v>
      </c>
      <c r="AE259" t="s">
        <v>3221</v>
      </c>
      <c r="AF259" t="s">
        <v>155</v>
      </c>
      <c r="AG259">
        <v>1912500</v>
      </c>
      <c r="AH259" s="13">
        <v>33469</v>
      </c>
      <c r="AL259" t="s">
        <v>6147</v>
      </c>
      <c r="AM259" s="13">
        <v>33469</v>
      </c>
      <c r="AN259" s="16">
        <f>Table9[[#This Row],[Premium]]-Table9[[#This Row],[Tms prem]]</f>
        <v>0</v>
      </c>
    </row>
    <row r="260" spans="1:40" x14ac:dyDescent="0.25">
      <c r="A260">
        <v>298</v>
      </c>
      <c r="B260" t="s">
        <v>37</v>
      </c>
      <c r="C260" t="s">
        <v>3873</v>
      </c>
      <c r="D260" t="s">
        <v>39</v>
      </c>
      <c r="E260" t="s">
        <v>40</v>
      </c>
      <c r="F260" t="s">
        <v>1401</v>
      </c>
      <c r="G260" t="s">
        <v>3874</v>
      </c>
      <c r="H260" t="s">
        <v>188</v>
      </c>
      <c r="I260" t="s">
        <v>3875</v>
      </c>
      <c r="J260" t="s">
        <v>3876</v>
      </c>
      <c r="K260" t="s">
        <v>3877</v>
      </c>
      <c r="L260" t="s">
        <v>3878</v>
      </c>
      <c r="M260" t="s">
        <v>3879</v>
      </c>
      <c r="N260">
        <v>1338223</v>
      </c>
      <c r="O260">
        <v>7450000</v>
      </c>
      <c r="P260" t="s">
        <v>3880</v>
      </c>
      <c r="Q260" s="1">
        <v>45588</v>
      </c>
      <c r="R260" t="s">
        <v>3881</v>
      </c>
      <c r="S260" t="s">
        <v>3882</v>
      </c>
      <c r="T260" t="s">
        <v>196</v>
      </c>
      <c r="U260" t="s">
        <v>3883</v>
      </c>
      <c r="V260" t="s">
        <v>2888</v>
      </c>
      <c r="W260" t="s">
        <v>1054</v>
      </c>
      <c r="X260" t="s">
        <v>3884</v>
      </c>
      <c r="Y260" t="s">
        <v>1490</v>
      </c>
      <c r="Z260" t="s">
        <v>1363</v>
      </c>
      <c r="AA260" t="s">
        <v>3885</v>
      </c>
      <c r="AB260">
        <v>3</v>
      </c>
      <c r="AC260" t="s">
        <v>540</v>
      </c>
      <c r="AD260" t="s">
        <v>3886</v>
      </c>
      <c r="AE260" t="s">
        <v>3221</v>
      </c>
      <c r="AF260" t="s">
        <v>155</v>
      </c>
      <c r="AG260">
        <v>6332500</v>
      </c>
      <c r="AH260" s="13">
        <v>110819</v>
      </c>
      <c r="AL260" t="s">
        <v>6148</v>
      </c>
      <c r="AM260" s="13">
        <v>110819</v>
      </c>
      <c r="AN260" s="16">
        <f>Table9[[#This Row],[Premium]]-Table9[[#This Row],[Tms prem]]</f>
        <v>0</v>
      </c>
    </row>
    <row r="261" spans="1:40" x14ac:dyDescent="0.25">
      <c r="A261">
        <v>299</v>
      </c>
      <c r="B261" t="s">
        <v>37</v>
      </c>
      <c r="C261" t="s">
        <v>3887</v>
      </c>
      <c r="D261" t="s">
        <v>39</v>
      </c>
      <c r="E261" t="s">
        <v>40</v>
      </c>
      <c r="F261" t="s">
        <v>715</v>
      </c>
      <c r="G261" t="s">
        <v>3888</v>
      </c>
      <c r="H261" t="s">
        <v>83</v>
      </c>
      <c r="I261" t="s">
        <v>3889</v>
      </c>
      <c r="J261" t="s">
        <v>3890</v>
      </c>
      <c r="K261" t="s">
        <v>3890</v>
      </c>
      <c r="L261" t="s">
        <v>3890</v>
      </c>
      <c r="M261" t="s">
        <v>3891</v>
      </c>
      <c r="N261">
        <v>1069269</v>
      </c>
      <c r="O261">
        <v>4000000</v>
      </c>
      <c r="P261" t="s">
        <v>3892</v>
      </c>
      <c r="Q261" s="1">
        <v>45588</v>
      </c>
      <c r="R261" t="s">
        <v>3893</v>
      </c>
      <c r="S261" t="s">
        <v>3894</v>
      </c>
      <c r="T261" t="s">
        <v>196</v>
      </c>
      <c r="U261" t="s">
        <v>3895</v>
      </c>
      <c r="V261" t="s">
        <v>551</v>
      </c>
      <c r="W261" t="s">
        <v>552</v>
      </c>
      <c r="X261" t="s">
        <v>3884</v>
      </c>
      <c r="Y261" t="s">
        <v>1490</v>
      </c>
      <c r="Z261" t="s">
        <v>1363</v>
      </c>
      <c r="AA261" t="s">
        <v>3896</v>
      </c>
      <c r="AB261">
        <v>3</v>
      </c>
      <c r="AC261" t="s">
        <v>556</v>
      </c>
      <c r="AD261" t="s">
        <v>3897</v>
      </c>
      <c r="AE261" t="s">
        <v>3221</v>
      </c>
      <c r="AF261" t="s">
        <v>155</v>
      </c>
      <c r="AG261">
        <v>3400000</v>
      </c>
      <c r="AH261" s="13">
        <v>59500</v>
      </c>
      <c r="AL261" t="s">
        <v>6149</v>
      </c>
      <c r="AM261" s="13">
        <v>59500</v>
      </c>
      <c r="AN261" s="16">
        <f>Table9[[#This Row],[Premium]]-Table9[[#This Row],[Tms prem]]</f>
        <v>0</v>
      </c>
    </row>
    <row r="262" spans="1:40" x14ac:dyDescent="0.25">
      <c r="A262">
        <v>300</v>
      </c>
      <c r="B262" t="s">
        <v>37</v>
      </c>
      <c r="C262" t="s">
        <v>3898</v>
      </c>
      <c r="D262" t="s">
        <v>39</v>
      </c>
      <c r="E262" t="s">
        <v>40</v>
      </c>
      <c r="F262" t="s">
        <v>3899</v>
      </c>
      <c r="G262" t="s">
        <v>3900</v>
      </c>
      <c r="H262" t="s">
        <v>188</v>
      </c>
      <c r="I262" t="s">
        <v>3901</v>
      </c>
      <c r="J262" t="s">
        <v>514</v>
      </c>
      <c r="K262" t="s">
        <v>3902</v>
      </c>
      <c r="L262" t="s">
        <v>514</v>
      </c>
      <c r="M262" t="s">
        <v>3903</v>
      </c>
      <c r="N262">
        <v>2397132</v>
      </c>
      <c r="O262">
        <v>7048500</v>
      </c>
      <c r="P262" t="s">
        <v>3904</v>
      </c>
      <c r="Q262" s="1">
        <v>45594</v>
      </c>
      <c r="R262" t="s">
        <v>3905</v>
      </c>
      <c r="S262" t="s">
        <v>3906</v>
      </c>
      <c r="T262" t="s">
        <v>51</v>
      </c>
      <c r="U262" t="s">
        <v>48</v>
      </c>
      <c r="V262" t="s">
        <v>3907</v>
      </c>
      <c r="W262" t="s">
        <v>53</v>
      </c>
      <c r="X262" t="s">
        <v>3908</v>
      </c>
      <c r="Y262" t="s">
        <v>152</v>
      </c>
      <c r="Z262" t="s">
        <v>153</v>
      </c>
      <c r="AA262" t="s">
        <v>3909</v>
      </c>
      <c r="AB262">
        <v>5</v>
      </c>
      <c r="AC262" t="s">
        <v>78</v>
      </c>
      <c r="AD262" t="s">
        <v>3910</v>
      </c>
      <c r="AE262" t="s">
        <v>3136</v>
      </c>
      <c r="AF262" t="s">
        <v>155</v>
      </c>
      <c r="AG262">
        <v>5638800</v>
      </c>
      <c r="AH262" s="13">
        <v>98679</v>
      </c>
      <c r="AL262" t="s">
        <v>6150</v>
      </c>
      <c r="AM262" s="13">
        <v>98679</v>
      </c>
      <c r="AN262" s="16">
        <f>Table9[[#This Row],[Premium]]-Table9[[#This Row],[Tms prem]]</f>
        <v>0</v>
      </c>
    </row>
    <row r="263" spans="1:40" x14ac:dyDescent="0.25">
      <c r="A263">
        <v>301</v>
      </c>
      <c r="B263" t="s">
        <v>37</v>
      </c>
      <c r="C263" t="s">
        <v>3911</v>
      </c>
      <c r="D263" t="s">
        <v>39</v>
      </c>
      <c r="E263" t="s">
        <v>40</v>
      </c>
      <c r="F263" t="s">
        <v>644</v>
      </c>
      <c r="G263" t="s">
        <v>3912</v>
      </c>
      <c r="H263" t="s">
        <v>83</v>
      </c>
      <c r="I263" t="s">
        <v>3913</v>
      </c>
      <c r="J263" t="s">
        <v>3914</v>
      </c>
      <c r="K263" t="s">
        <v>3914</v>
      </c>
      <c r="L263" t="s">
        <v>3915</v>
      </c>
      <c r="M263" t="s">
        <v>3916</v>
      </c>
      <c r="N263">
        <v>1253727</v>
      </c>
      <c r="O263">
        <v>3180000</v>
      </c>
      <c r="P263" t="s">
        <v>3917</v>
      </c>
      <c r="Q263" s="1">
        <v>45594</v>
      </c>
      <c r="R263" t="s">
        <v>3918</v>
      </c>
      <c r="S263" t="s">
        <v>3919</v>
      </c>
      <c r="T263" t="s">
        <v>51</v>
      </c>
      <c r="U263" t="s">
        <v>48</v>
      </c>
      <c r="V263" t="s">
        <v>478</v>
      </c>
      <c r="W263" t="s">
        <v>53</v>
      </c>
      <c r="X263" t="s">
        <v>3136</v>
      </c>
      <c r="Y263" t="s">
        <v>152</v>
      </c>
      <c r="Z263" t="s">
        <v>153</v>
      </c>
      <c r="AA263" t="s">
        <v>3920</v>
      </c>
      <c r="AB263">
        <v>5</v>
      </c>
      <c r="AC263" t="s">
        <v>78</v>
      </c>
      <c r="AD263" t="s">
        <v>3921</v>
      </c>
      <c r="AE263" t="s">
        <v>3136</v>
      </c>
      <c r="AF263" t="s">
        <v>61</v>
      </c>
      <c r="AG263">
        <v>2544000</v>
      </c>
      <c r="AH263" s="13">
        <v>50880</v>
      </c>
      <c r="AL263" t="s">
        <v>6151</v>
      </c>
      <c r="AM263" s="13">
        <v>50880</v>
      </c>
      <c r="AN263" s="16">
        <f>Table9[[#This Row],[Premium]]-Table9[[#This Row],[Tms prem]]</f>
        <v>0</v>
      </c>
    </row>
    <row r="264" spans="1:40" x14ac:dyDescent="0.25">
      <c r="A264">
        <v>302</v>
      </c>
      <c r="B264" t="s">
        <v>37</v>
      </c>
      <c r="C264" t="s">
        <v>3922</v>
      </c>
      <c r="D264" t="s">
        <v>39</v>
      </c>
      <c r="E264" t="s">
        <v>40</v>
      </c>
      <c r="F264" t="s">
        <v>884</v>
      </c>
      <c r="G264" t="s">
        <v>3923</v>
      </c>
      <c r="H264" t="s">
        <v>188</v>
      </c>
      <c r="I264" t="s">
        <v>3924</v>
      </c>
      <c r="J264" t="s">
        <v>48</v>
      </c>
      <c r="K264" t="s">
        <v>3925</v>
      </c>
      <c r="L264" t="s">
        <v>48</v>
      </c>
      <c r="M264" t="s">
        <v>3926</v>
      </c>
      <c r="N264">
        <v>1149703</v>
      </c>
      <c r="O264">
        <v>2905000</v>
      </c>
      <c r="P264" t="s">
        <v>3927</v>
      </c>
      <c r="Q264" s="1">
        <v>45594</v>
      </c>
      <c r="R264" t="s">
        <v>3928</v>
      </c>
      <c r="S264" t="s">
        <v>3929</v>
      </c>
      <c r="T264" t="s">
        <v>51</v>
      </c>
      <c r="U264" t="s">
        <v>48</v>
      </c>
      <c r="V264" t="s">
        <v>52</v>
      </c>
      <c r="W264" t="s">
        <v>53</v>
      </c>
      <c r="X264" t="s">
        <v>298</v>
      </c>
      <c r="Y264" t="s">
        <v>152</v>
      </c>
      <c r="Z264" t="s">
        <v>153</v>
      </c>
      <c r="AA264" t="s">
        <v>3930</v>
      </c>
      <c r="AB264">
        <v>5</v>
      </c>
      <c r="AC264" t="s">
        <v>78</v>
      </c>
      <c r="AD264" t="s">
        <v>3931</v>
      </c>
      <c r="AE264" t="s">
        <v>1885</v>
      </c>
      <c r="AF264" t="s">
        <v>61</v>
      </c>
      <c r="AG264">
        <v>2324000</v>
      </c>
      <c r="AH264" s="13">
        <v>46480</v>
      </c>
      <c r="AL264" t="s">
        <v>6152</v>
      </c>
      <c r="AM264" s="13">
        <v>46480</v>
      </c>
      <c r="AN264" s="16">
        <f>Table9[[#This Row],[Premium]]-Table9[[#This Row],[Tms prem]]</f>
        <v>0</v>
      </c>
    </row>
    <row r="265" spans="1:40" x14ac:dyDescent="0.25">
      <c r="A265">
        <v>303</v>
      </c>
      <c r="B265" t="s">
        <v>37</v>
      </c>
      <c r="C265" t="s">
        <v>3932</v>
      </c>
      <c r="D265" t="s">
        <v>39</v>
      </c>
      <c r="E265" t="s">
        <v>40</v>
      </c>
      <c r="F265" t="s">
        <v>659</v>
      </c>
      <c r="G265" t="s">
        <v>3933</v>
      </c>
      <c r="H265" t="s">
        <v>83</v>
      </c>
      <c r="I265" t="s">
        <v>3934</v>
      </c>
      <c r="J265" t="s">
        <v>3935</v>
      </c>
      <c r="K265" t="s">
        <v>3936</v>
      </c>
      <c r="L265" t="s">
        <v>3937</v>
      </c>
      <c r="M265" t="s">
        <v>3938</v>
      </c>
      <c r="N265">
        <v>1102505</v>
      </c>
      <c r="O265">
        <v>3375000</v>
      </c>
      <c r="P265" t="s">
        <v>3939</v>
      </c>
      <c r="Q265" s="1">
        <v>45594</v>
      </c>
      <c r="R265" t="s">
        <v>3940</v>
      </c>
      <c r="S265" t="s">
        <v>3941</v>
      </c>
      <c r="T265" t="s">
        <v>196</v>
      </c>
      <c r="U265" t="s">
        <v>3942</v>
      </c>
      <c r="V265" t="s">
        <v>1894</v>
      </c>
      <c r="W265" t="s">
        <v>1393</v>
      </c>
      <c r="X265" t="s">
        <v>3136</v>
      </c>
      <c r="Y265" t="s">
        <v>152</v>
      </c>
      <c r="Z265" t="s">
        <v>153</v>
      </c>
      <c r="AA265" t="s">
        <v>3943</v>
      </c>
      <c r="AB265">
        <v>5</v>
      </c>
      <c r="AC265" t="s">
        <v>78</v>
      </c>
      <c r="AD265" t="s">
        <v>3944</v>
      </c>
      <c r="AE265" t="s">
        <v>3136</v>
      </c>
      <c r="AF265" t="s">
        <v>61</v>
      </c>
      <c r="AG265">
        <v>2700000</v>
      </c>
      <c r="AH265" s="13">
        <v>54000</v>
      </c>
      <c r="AL265" t="s">
        <v>6153</v>
      </c>
      <c r="AM265" s="13">
        <v>54000</v>
      </c>
      <c r="AN265" s="16">
        <f>Table9[[#This Row],[Premium]]-Table9[[#This Row],[Tms prem]]</f>
        <v>0</v>
      </c>
    </row>
    <row r="266" spans="1:40" x14ac:dyDescent="0.25">
      <c r="A266">
        <v>304</v>
      </c>
      <c r="B266" t="s">
        <v>37</v>
      </c>
      <c r="C266" t="s">
        <v>3945</v>
      </c>
      <c r="D266" t="s">
        <v>39</v>
      </c>
      <c r="E266" t="s">
        <v>40</v>
      </c>
      <c r="F266" t="s">
        <v>2290</v>
      </c>
      <c r="G266" t="s">
        <v>3946</v>
      </c>
      <c r="H266" t="s">
        <v>188</v>
      </c>
      <c r="I266" t="s">
        <v>3947</v>
      </c>
      <c r="J266" t="s">
        <v>48</v>
      </c>
      <c r="K266" t="s">
        <v>3948</v>
      </c>
      <c r="L266" t="s">
        <v>48</v>
      </c>
      <c r="M266" t="s">
        <v>3949</v>
      </c>
      <c r="N266">
        <v>932883</v>
      </c>
      <c r="O266">
        <v>2750000</v>
      </c>
      <c r="P266" t="s">
        <v>3950</v>
      </c>
      <c r="Q266" s="1">
        <v>45594</v>
      </c>
      <c r="R266" t="s">
        <v>3951</v>
      </c>
      <c r="S266" t="s">
        <v>3952</v>
      </c>
      <c r="T266" t="s">
        <v>196</v>
      </c>
      <c r="U266" t="s">
        <v>3953</v>
      </c>
      <c r="V266" t="s">
        <v>2583</v>
      </c>
      <c r="W266" t="s">
        <v>1393</v>
      </c>
      <c r="X266" t="s">
        <v>3136</v>
      </c>
      <c r="Y266" t="s">
        <v>152</v>
      </c>
      <c r="Z266" t="s">
        <v>153</v>
      </c>
      <c r="AA266" t="s">
        <v>3954</v>
      </c>
      <c r="AB266">
        <v>5</v>
      </c>
      <c r="AC266" t="s">
        <v>78</v>
      </c>
      <c r="AD266" t="s">
        <v>3955</v>
      </c>
      <c r="AE266" t="s">
        <v>3136</v>
      </c>
      <c r="AF266" t="s">
        <v>61</v>
      </c>
      <c r="AG266">
        <v>2200000</v>
      </c>
      <c r="AH266" s="13">
        <v>44000</v>
      </c>
      <c r="AL266" t="s">
        <v>6154</v>
      </c>
      <c r="AM266" s="13">
        <v>44000</v>
      </c>
      <c r="AN266" s="16">
        <f>Table9[[#This Row],[Premium]]-Table9[[#This Row],[Tms prem]]</f>
        <v>0</v>
      </c>
    </row>
    <row r="267" spans="1:40" x14ac:dyDescent="0.25">
      <c r="A267">
        <v>305</v>
      </c>
      <c r="B267" t="s">
        <v>37</v>
      </c>
      <c r="C267" t="s">
        <v>3956</v>
      </c>
      <c r="D267" t="s">
        <v>39</v>
      </c>
      <c r="E267" t="s">
        <v>40</v>
      </c>
      <c r="F267" t="s">
        <v>853</v>
      </c>
      <c r="G267" t="s">
        <v>3957</v>
      </c>
      <c r="H267" t="s">
        <v>43</v>
      </c>
      <c r="I267" t="s">
        <v>3958</v>
      </c>
      <c r="J267" t="s">
        <v>3959</v>
      </c>
      <c r="K267" t="s">
        <v>3960</v>
      </c>
      <c r="L267" t="s">
        <v>3961</v>
      </c>
      <c r="M267" t="s">
        <v>3962</v>
      </c>
      <c r="N267">
        <v>742060</v>
      </c>
      <c r="O267">
        <v>1750000</v>
      </c>
      <c r="P267" t="s">
        <v>3963</v>
      </c>
      <c r="Q267" s="1">
        <v>45594</v>
      </c>
      <c r="R267" t="s">
        <v>3964</v>
      </c>
      <c r="S267" t="s">
        <v>3965</v>
      </c>
      <c r="T267" t="s">
        <v>196</v>
      </c>
      <c r="U267" t="s">
        <v>3966</v>
      </c>
      <c r="V267" t="s">
        <v>3967</v>
      </c>
      <c r="W267" t="s">
        <v>1054</v>
      </c>
      <c r="X267" t="s">
        <v>3136</v>
      </c>
      <c r="Y267" t="s">
        <v>152</v>
      </c>
      <c r="Z267" t="s">
        <v>153</v>
      </c>
      <c r="AA267" t="s">
        <v>3968</v>
      </c>
      <c r="AB267">
        <v>5</v>
      </c>
      <c r="AC267" t="s">
        <v>78</v>
      </c>
      <c r="AD267" t="s">
        <v>3969</v>
      </c>
      <c r="AE267" t="s">
        <v>3136</v>
      </c>
      <c r="AF267" t="s">
        <v>61</v>
      </c>
      <c r="AG267">
        <v>1400000</v>
      </c>
      <c r="AH267" s="13">
        <v>28000</v>
      </c>
      <c r="AL267" t="s">
        <v>6155</v>
      </c>
      <c r="AM267" s="13">
        <v>28000</v>
      </c>
      <c r="AN267" s="16">
        <f>Table9[[#This Row],[Premium]]-Table9[[#This Row],[Tms prem]]</f>
        <v>0</v>
      </c>
    </row>
    <row r="268" spans="1:40" x14ac:dyDescent="0.25">
      <c r="A268">
        <v>306</v>
      </c>
      <c r="B268" t="s">
        <v>37</v>
      </c>
      <c r="C268" t="s">
        <v>3970</v>
      </c>
      <c r="D268" t="s">
        <v>39</v>
      </c>
      <c r="E268" t="s">
        <v>40</v>
      </c>
      <c r="F268" t="s">
        <v>525</v>
      </c>
      <c r="G268" t="s">
        <v>3971</v>
      </c>
      <c r="H268" t="s">
        <v>83</v>
      </c>
      <c r="I268" t="s">
        <v>3972</v>
      </c>
      <c r="J268" t="s">
        <v>3973</v>
      </c>
      <c r="K268" t="s">
        <v>3973</v>
      </c>
      <c r="L268" t="s">
        <v>3973</v>
      </c>
      <c r="M268" t="s">
        <v>3974</v>
      </c>
      <c r="N268">
        <v>646297</v>
      </c>
      <c r="O268">
        <v>1530000</v>
      </c>
      <c r="P268" t="s">
        <v>3975</v>
      </c>
      <c r="Q268" s="1">
        <v>45594</v>
      </c>
      <c r="R268" t="s">
        <v>3976</v>
      </c>
      <c r="S268" t="s">
        <v>3977</v>
      </c>
      <c r="T268" t="s">
        <v>196</v>
      </c>
      <c r="U268" t="s">
        <v>3978</v>
      </c>
      <c r="V268" t="s">
        <v>364</v>
      </c>
      <c r="W268" t="s">
        <v>1054</v>
      </c>
      <c r="X268" t="s">
        <v>3136</v>
      </c>
      <c r="Y268" t="s">
        <v>152</v>
      </c>
      <c r="Z268" t="s">
        <v>153</v>
      </c>
      <c r="AA268" t="s">
        <v>3979</v>
      </c>
      <c r="AB268">
        <v>5</v>
      </c>
      <c r="AC268" t="s">
        <v>78</v>
      </c>
      <c r="AD268" t="s">
        <v>3980</v>
      </c>
      <c r="AE268" t="s">
        <v>3136</v>
      </c>
      <c r="AF268" t="s">
        <v>61</v>
      </c>
      <c r="AG268">
        <v>1224000</v>
      </c>
      <c r="AH268" s="13">
        <v>24480</v>
      </c>
      <c r="AL268" t="s">
        <v>6156</v>
      </c>
      <c r="AM268" s="13">
        <v>24480</v>
      </c>
      <c r="AN268" s="16">
        <f>Table9[[#This Row],[Premium]]-Table9[[#This Row],[Tms prem]]</f>
        <v>0</v>
      </c>
    </row>
    <row r="269" spans="1:40" x14ac:dyDescent="0.25">
      <c r="A269">
        <v>307</v>
      </c>
      <c r="B269" t="s">
        <v>37</v>
      </c>
      <c r="C269" t="s">
        <v>3981</v>
      </c>
      <c r="D269" t="s">
        <v>39</v>
      </c>
      <c r="E269" t="s">
        <v>40</v>
      </c>
      <c r="F269" t="s">
        <v>1618</v>
      </c>
      <c r="G269" t="s">
        <v>3982</v>
      </c>
      <c r="H269" t="s">
        <v>188</v>
      </c>
      <c r="I269" t="s">
        <v>3983</v>
      </c>
      <c r="J269" t="s">
        <v>3984</v>
      </c>
      <c r="K269" t="s">
        <v>3985</v>
      </c>
      <c r="L269" t="s">
        <v>3986</v>
      </c>
      <c r="M269" t="s">
        <v>3987</v>
      </c>
      <c r="N269">
        <v>642494</v>
      </c>
      <c r="O269">
        <v>1521000</v>
      </c>
      <c r="P269" t="s">
        <v>3988</v>
      </c>
      <c r="Q269" s="1">
        <v>45594</v>
      </c>
      <c r="R269" t="s">
        <v>3989</v>
      </c>
      <c r="S269" t="s">
        <v>3990</v>
      </c>
      <c r="T269" t="s">
        <v>51</v>
      </c>
      <c r="U269" t="s">
        <v>48</v>
      </c>
      <c r="V269" t="s">
        <v>73</v>
      </c>
      <c r="W269" t="s">
        <v>53</v>
      </c>
      <c r="X269" t="s">
        <v>3136</v>
      </c>
      <c r="Y269" t="s">
        <v>152</v>
      </c>
      <c r="Z269" t="s">
        <v>153</v>
      </c>
      <c r="AA269" t="s">
        <v>3991</v>
      </c>
      <c r="AB269">
        <v>5</v>
      </c>
      <c r="AC269" t="s">
        <v>78</v>
      </c>
      <c r="AD269" t="s">
        <v>3992</v>
      </c>
      <c r="AE269" t="s">
        <v>3136</v>
      </c>
      <c r="AF269" t="s">
        <v>61</v>
      </c>
      <c r="AG269">
        <v>1216800</v>
      </c>
      <c r="AH269" s="13">
        <v>24336</v>
      </c>
      <c r="AL269" t="s">
        <v>6157</v>
      </c>
      <c r="AM269" s="13">
        <v>24336</v>
      </c>
      <c r="AN269" s="16">
        <f>Table9[[#This Row],[Premium]]-Table9[[#This Row],[Tms prem]]</f>
        <v>0</v>
      </c>
    </row>
    <row r="270" spans="1:40" x14ac:dyDescent="0.25">
      <c r="A270">
        <v>308</v>
      </c>
      <c r="B270" t="s">
        <v>37</v>
      </c>
      <c r="C270" t="s">
        <v>3993</v>
      </c>
      <c r="D270" t="s">
        <v>39</v>
      </c>
      <c r="E270" t="s">
        <v>40</v>
      </c>
      <c r="F270" t="s">
        <v>63</v>
      </c>
      <c r="G270" t="s">
        <v>3994</v>
      </c>
      <c r="H270" t="s">
        <v>188</v>
      </c>
      <c r="I270" t="s">
        <v>3995</v>
      </c>
      <c r="J270" t="s">
        <v>3996</v>
      </c>
      <c r="K270" t="s">
        <v>3997</v>
      </c>
      <c r="L270" t="s">
        <v>3998</v>
      </c>
      <c r="M270" t="s">
        <v>3999</v>
      </c>
      <c r="N270">
        <v>762671</v>
      </c>
      <c r="O270">
        <v>1335000</v>
      </c>
      <c r="P270" t="s">
        <v>4000</v>
      </c>
      <c r="Q270" s="1">
        <v>45594</v>
      </c>
      <c r="R270" t="s">
        <v>4001</v>
      </c>
      <c r="S270" t="s">
        <v>4002</v>
      </c>
      <c r="T270" t="s">
        <v>51</v>
      </c>
      <c r="U270" t="s">
        <v>48</v>
      </c>
      <c r="V270" t="s">
        <v>325</v>
      </c>
      <c r="W270" t="s">
        <v>53</v>
      </c>
      <c r="X270" t="s">
        <v>595</v>
      </c>
      <c r="Y270" t="s">
        <v>152</v>
      </c>
      <c r="Z270" t="s">
        <v>1156</v>
      </c>
      <c r="AA270" t="s">
        <v>4003</v>
      </c>
      <c r="AB270">
        <v>7</v>
      </c>
      <c r="AC270" t="s">
        <v>58</v>
      </c>
      <c r="AD270" t="s">
        <v>4004</v>
      </c>
      <c r="AE270" t="s">
        <v>137</v>
      </c>
      <c r="AF270" t="s">
        <v>61</v>
      </c>
      <c r="AG270">
        <v>1068000</v>
      </c>
      <c r="AH270" s="13">
        <v>21360</v>
      </c>
      <c r="AL270" t="s">
        <v>6158</v>
      </c>
      <c r="AM270" s="13">
        <v>21360</v>
      </c>
      <c r="AN270" s="16">
        <f>Table9[[#This Row],[Premium]]-Table9[[#This Row],[Tms prem]]</f>
        <v>0</v>
      </c>
    </row>
    <row r="271" spans="1:40" x14ac:dyDescent="0.25">
      <c r="A271">
        <v>309</v>
      </c>
      <c r="B271" t="s">
        <v>37</v>
      </c>
      <c r="C271" t="s">
        <v>4005</v>
      </c>
      <c r="D271" t="s">
        <v>39</v>
      </c>
      <c r="E271" t="s">
        <v>40</v>
      </c>
      <c r="F271" t="s">
        <v>1096</v>
      </c>
      <c r="G271" t="s">
        <v>4006</v>
      </c>
      <c r="H271" t="s">
        <v>188</v>
      </c>
      <c r="I271" t="s">
        <v>4007</v>
      </c>
      <c r="J271" t="s">
        <v>4008</v>
      </c>
      <c r="K271" t="s">
        <v>4008</v>
      </c>
      <c r="L271" t="s">
        <v>4008</v>
      </c>
      <c r="M271" t="s">
        <v>4009</v>
      </c>
      <c r="N271">
        <v>402131</v>
      </c>
      <c r="O271">
        <v>1020000</v>
      </c>
      <c r="P271" t="s">
        <v>4010</v>
      </c>
      <c r="Q271" s="1">
        <v>45594</v>
      </c>
      <c r="R271" t="s">
        <v>4011</v>
      </c>
      <c r="S271" t="s">
        <v>4012</v>
      </c>
      <c r="T271" t="s">
        <v>196</v>
      </c>
      <c r="U271" t="s">
        <v>4013</v>
      </c>
      <c r="V271" t="s">
        <v>1228</v>
      </c>
      <c r="W271" t="s">
        <v>1180</v>
      </c>
      <c r="X271" t="s">
        <v>3136</v>
      </c>
      <c r="Y271" t="s">
        <v>152</v>
      </c>
      <c r="Z271" t="s">
        <v>153</v>
      </c>
      <c r="AA271" t="s">
        <v>4014</v>
      </c>
      <c r="AB271">
        <v>5</v>
      </c>
      <c r="AC271" t="s">
        <v>78</v>
      </c>
      <c r="AD271" t="s">
        <v>4015</v>
      </c>
      <c r="AE271" t="s">
        <v>3136</v>
      </c>
      <c r="AF271" t="s">
        <v>61</v>
      </c>
      <c r="AG271">
        <v>816000</v>
      </c>
      <c r="AH271" s="13">
        <v>16320</v>
      </c>
      <c r="AL271" t="s">
        <v>6159</v>
      </c>
      <c r="AM271" s="13">
        <v>16320</v>
      </c>
      <c r="AN271" s="16">
        <f>Table9[[#This Row],[Premium]]-Table9[[#This Row],[Tms prem]]</f>
        <v>0</v>
      </c>
    </row>
    <row r="272" spans="1:40" x14ac:dyDescent="0.25">
      <c r="A272">
        <v>310</v>
      </c>
      <c r="B272" t="s">
        <v>37</v>
      </c>
      <c r="C272" t="s">
        <v>4016</v>
      </c>
      <c r="D272" t="s">
        <v>39</v>
      </c>
      <c r="E272" t="s">
        <v>40</v>
      </c>
      <c r="F272" t="s">
        <v>1096</v>
      </c>
      <c r="G272" t="s">
        <v>4017</v>
      </c>
      <c r="H272" t="s">
        <v>188</v>
      </c>
      <c r="I272" t="s">
        <v>4018</v>
      </c>
      <c r="J272" t="s">
        <v>4019</v>
      </c>
      <c r="K272" t="s">
        <v>4019</v>
      </c>
      <c r="L272" t="s">
        <v>438</v>
      </c>
      <c r="M272" t="s">
        <v>4020</v>
      </c>
      <c r="N272">
        <v>1926694</v>
      </c>
      <c r="O272">
        <v>3070000</v>
      </c>
      <c r="P272" t="s">
        <v>4021</v>
      </c>
      <c r="Q272" t="s">
        <v>4022</v>
      </c>
      <c r="R272" t="s">
        <v>4023</v>
      </c>
      <c r="S272" t="s">
        <v>4024</v>
      </c>
      <c r="T272" t="s">
        <v>196</v>
      </c>
      <c r="U272" t="s">
        <v>4025</v>
      </c>
      <c r="V272" t="s">
        <v>581</v>
      </c>
      <c r="W272" t="s">
        <v>536</v>
      </c>
      <c r="X272" s="1">
        <v>45223</v>
      </c>
      <c r="Y272" t="s">
        <v>4026</v>
      </c>
      <c r="Z272" t="s">
        <v>811</v>
      </c>
      <c r="AA272" t="s">
        <v>4027</v>
      </c>
      <c r="AB272">
        <v>5</v>
      </c>
      <c r="AC272" t="s">
        <v>540</v>
      </c>
      <c r="AD272" t="s">
        <v>4028</v>
      </c>
      <c r="AE272" t="s">
        <v>4029</v>
      </c>
      <c r="AF272" t="s">
        <v>882</v>
      </c>
      <c r="AG272">
        <v>2763000</v>
      </c>
      <c r="AH272" s="13">
        <v>41445</v>
      </c>
      <c r="AL272" t="s">
        <v>6160</v>
      </c>
      <c r="AM272" s="13">
        <v>41445</v>
      </c>
      <c r="AN272" s="16">
        <f>Table9[[#This Row],[Premium]]-Table9[[#This Row],[Tms prem]]</f>
        <v>0</v>
      </c>
    </row>
    <row r="273" spans="1:40" x14ac:dyDescent="0.25">
      <c r="A273">
        <v>311</v>
      </c>
      <c r="B273" t="s">
        <v>37</v>
      </c>
      <c r="C273" t="s">
        <v>4030</v>
      </c>
      <c r="D273" t="s">
        <v>39</v>
      </c>
      <c r="E273" t="s">
        <v>40</v>
      </c>
      <c r="F273" t="s">
        <v>3768</v>
      </c>
      <c r="G273" t="s">
        <v>4031</v>
      </c>
      <c r="H273" t="s">
        <v>188</v>
      </c>
      <c r="I273" t="s">
        <v>4032</v>
      </c>
      <c r="J273" t="s">
        <v>4033</v>
      </c>
      <c r="K273" t="s">
        <v>4033</v>
      </c>
      <c r="L273" t="s">
        <v>4033</v>
      </c>
      <c r="M273" t="s">
        <v>4034</v>
      </c>
      <c r="N273">
        <v>1131586</v>
      </c>
      <c r="O273">
        <v>2120000</v>
      </c>
      <c r="P273" t="s">
        <v>4035</v>
      </c>
      <c r="Q273" s="1">
        <v>45593</v>
      </c>
      <c r="R273" t="s">
        <v>4036</v>
      </c>
      <c r="S273" t="s">
        <v>4037</v>
      </c>
      <c r="T273" t="s">
        <v>51</v>
      </c>
      <c r="U273" t="s">
        <v>48</v>
      </c>
      <c r="V273" t="s">
        <v>4038</v>
      </c>
      <c r="W273" t="s">
        <v>552</v>
      </c>
      <c r="X273" t="s">
        <v>4039</v>
      </c>
      <c r="Y273" t="s">
        <v>2996</v>
      </c>
      <c r="Z273" t="s">
        <v>824</v>
      </c>
      <c r="AA273" t="s">
        <v>4040</v>
      </c>
      <c r="AB273">
        <v>5</v>
      </c>
      <c r="AC273" t="s">
        <v>58</v>
      </c>
      <c r="AD273" t="s">
        <v>4041</v>
      </c>
      <c r="AE273" t="s">
        <v>3848</v>
      </c>
      <c r="AF273" t="s">
        <v>155</v>
      </c>
      <c r="AG273">
        <v>1802000</v>
      </c>
      <c r="AH273" s="13">
        <v>31535</v>
      </c>
      <c r="AL273" t="s">
        <v>6161</v>
      </c>
      <c r="AM273" s="13">
        <v>31535</v>
      </c>
      <c r="AN273" s="16">
        <f>Table9[[#This Row],[Premium]]-Table9[[#This Row],[Tms prem]]</f>
        <v>0</v>
      </c>
    </row>
    <row r="274" spans="1:40" x14ac:dyDescent="0.25">
      <c r="A274">
        <v>312</v>
      </c>
      <c r="B274" t="s">
        <v>37</v>
      </c>
      <c r="C274" t="s">
        <v>4042</v>
      </c>
      <c r="D274" t="s">
        <v>39</v>
      </c>
      <c r="E274" t="s">
        <v>40</v>
      </c>
      <c r="F274" t="s">
        <v>1618</v>
      </c>
      <c r="G274" t="s">
        <v>4043</v>
      </c>
      <c r="H274" t="s">
        <v>188</v>
      </c>
      <c r="I274" t="s">
        <v>4044</v>
      </c>
      <c r="J274" t="s">
        <v>48</v>
      </c>
      <c r="K274" t="s">
        <v>4045</v>
      </c>
      <c r="L274" t="s">
        <v>4046</v>
      </c>
      <c r="M274" t="s">
        <v>4047</v>
      </c>
      <c r="N274">
        <v>1052557</v>
      </c>
      <c r="O274">
        <v>1975000</v>
      </c>
      <c r="P274" t="s">
        <v>4048</v>
      </c>
      <c r="Q274" s="1">
        <v>45593</v>
      </c>
      <c r="R274" t="s">
        <v>4049</v>
      </c>
      <c r="S274" t="s">
        <v>4050</v>
      </c>
      <c r="T274" t="s">
        <v>196</v>
      </c>
      <c r="U274" t="s">
        <v>4051</v>
      </c>
      <c r="V274" t="s">
        <v>4052</v>
      </c>
      <c r="W274" t="s">
        <v>53</v>
      </c>
      <c r="X274" t="s">
        <v>3588</v>
      </c>
      <c r="Y274" t="s">
        <v>2996</v>
      </c>
      <c r="Z274" t="s">
        <v>824</v>
      </c>
      <c r="AA274" t="s">
        <v>4053</v>
      </c>
      <c r="AB274">
        <v>5</v>
      </c>
      <c r="AC274" t="s">
        <v>556</v>
      </c>
      <c r="AD274" t="s">
        <v>4054</v>
      </c>
      <c r="AE274" t="s">
        <v>3588</v>
      </c>
      <c r="AF274" t="s">
        <v>155</v>
      </c>
      <c r="AG274">
        <v>1678750</v>
      </c>
      <c r="AH274" s="13">
        <v>29378</v>
      </c>
      <c r="AL274" t="s">
        <v>6162</v>
      </c>
      <c r="AM274" s="13">
        <v>29378</v>
      </c>
      <c r="AN274" s="16">
        <f>Table9[[#This Row],[Premium]]-Table9[[#This Row],[Tms prem]]</f>
        <v>0</v>
      </c>
    </row>
    <row r="275" spans="1:40" x14ac:dyDescent="0.25">
      <c r="A275">
        <v>313</v>
      </c>
      <c r="B275" t="s">
        <v>37</v>
      </c>
      <c r="C275" t="s">
        <v>4055</v>
      </c>
      <c r="D275" t="s">
        <v>39</v>
      </c>
      <c r="E275" t="s">
        <v>40</v>
      </c>
      <c r="F275" t="s">
        <v>63</v>
      </c>
      <c r="G275" t="s">
        <v>4056</v>
      </c>
      <c r="H275" t="s">
        <v>43</v>
      </c>
      <c r="I275" t="s">
        <v>4057</v>
      </c>
      <c r="J275" t="s">
        <v>4058</v>
      </c>
      <c r="K275" t="s">
        <v>4059</v>
      </c>
      <c r="L275" t="s">
        <v>4060</v>
      </c>
      <c r="M275" t="s">
        <v>4061</v>
      </c>
      <c r="N275">
        <v>442138</v>
      </c>
      <c r="O275">
        <v>1113000</v>
      </c>
      <c r="P275" t="s">
        <v>4062</v>
      </c>
      <c r="Q275" s="1">
        <v>45589</v>
      </c>
      <c r="R275" t="s">
        <v>4063</v>
      </c>
      <c r="S275" t="s">
        <v>4064</v>
      </c>
      <c r="T275" t="s">
        <v>51</v>
      </c>
      <c r="U275" t="s">
        <v>48</v>
      </c>
      <c r="V275" t="s">
        <v>4065</v>
      </c>
      <c r="W275" t="s">
        <v>53</v>
      </c>
      <c r="X275" t="s">
        <v>311</v>
      </c>
      <c r="Y275" t="s">
        <v>697</v>
      </c>
      <c r="Z275" t="s">
        <v>984</v>
      </c>
      <c r="AA275" t="s">
        <v>4066</v>
      </c>
      <c r="AB275">
        <v>5</v>
      </c>
      <c r="AC275" t="s">
        <v>78</v>
      </c>
      <c r="AD275" t="s">
        <v>4067</v>
      </c>
      <c r="AE275" t="s">
        <v>1430</v>
      </c>
      <c r="AF275" t="s">
        <v>61</v>
      </c>
      <c r="AG275">
        <v>890400</v>
      </c>
      <c r="AH275" s="13">
        <v>17808</v>
      </c>
      <c r="AL275" t="s">
        <v>6163</v>
      </c>
      <c r="AM275" s="13">
        <v>17808</v>
      </c>
      <c r="AN275" s="16">
        <f>Table9[[#This Row],[Premium]]-Table9[[#This Row],[Tms prem]]</f>
        <v>0</v>
      </c>
    </row>
    <row r="276" spans="1:40" x14ac:dyDescent="0.25">
      <c r="A276">
        <v>314</v>
      </c>
      <c r="B276" t="s">
        <v>37</v>
      </c>
      <c r="C276" t="s">
        <v>4068</v>
      </c>
      <c r="D276" t="s">
        <v>39</v>
      </c>
      <c r="E276" t="s">
        <v>40</v>
      </c>
      <c r="F276" t="s">
        <v>354</v>
      </c>
      <c r="G276" t="s">
        <v>4069</v>
      </c>
      <c r="H276" t="s">
        <v>43</v>
      </c>
      <c r="I276" t="s">
        <v>4070</v>
      </c>
      <c r="J276" t="s">
        <v>48</v>
      </c>
      <c r="K276" t="s">
        <v>4071</v>
      </c>
      <c r="L276" t="s">
        <v>48</v>
      </c>
      <c r="M276" t="s">
        <v>4072</v>
      </c>
      <c r="N276">
        <v>522780</v>
      </c>
      <c r="O276">
        <v>1430000</v>
      </c>
      <c r="P276" t="s">
        <v>4073</v>
      </c>
      <c r="Q276" s="1">
        <v>45589</v>
      </c>
      <c r="R276" t="s">
        <v>4074</v>
      </c>
      <c r="S276" t="s">
        <v>4075</v>
      </c>
      <c r="T276" t="s">
        <v>196</v>
      </c>
      <c r="U276" t="s">
        <v>4076</v>
      </c>
      <c r="V276" t="s">
        <v>696</v>
      </c>
      <c r="W276" t="s">
        <v>53</v>
      </c>
      <c r="X276" t="s">
        <v>3374</v>
      </c>
      <c r="Y276" t="s">
        <v>92</v>
      </c>
      <c r="Z276" t="s">
        <v>93</v>
      </c>
      <c r="AA276" t="s">
        <v>4077</v>
      </c>
      <c r="AB276">
        <v>5</v>
      </c>
      <c r="AC276" t="s">
        <v>78</v>
      </c>
      <c r="AD276" t="s">
        <v>4078</v>
      </c>
      <c r="AE276" t="s">
        <v>1430</v>
      </c>
      <c r="AF276" t="s">
        <v>61</v>
      </c>
      <c r="AG276">
        <v>1144000</v>
      </c>
      <c r="AH276" s="13">
        <v>22880</v>
      </c>
      <c r="AL276" t="s">
        <v>6164</v>
      </c>
      <c r="AM276" s="13">
        <v>22880</v>
      </c>
      <c r="AN276" s="16">
        <f>Table9[[#This Row],[Premium]]-Table9[[#This Row],[Tms prem]]</f>
        <v>0</v>
      </c>
    </row>
    <row r="277" spans="1:40" x14ac:dyDescent="0.25">
      <c r="A277">
        <v>315</v>
      </c>
      <c r="B277" t="s">
        <v>37</v>
      </c>
      <c r="C277" t="s">
        <v>4079</v>
      </c>
      <c r="D277" t="s">
        <v>39</v>
      </c>
      <c r="E277" t="s">
        <v>40</v>
      </c>
      <c r="F277" t="s">
        <v>394</v>
      </c>
      <c r="G277" t="s">
        <v>4080</v>
      </c>
      <c r="H277" t="s">
        <v>83</v>
      </c>
      <c r="I277" t="s">
        <v>4081</v>
      </c>
      <c r="J277" t="s">
        <v>4082</v>
      </c>
      <c r="K277" t="s">
        <v>4082</v>
      </c>
      <c r="L277" t="s">
        <v>4082</v>
      </c>
      <c r="M277" t="s">
        <v>4083</v>
      </c>
      <c r="N277">
        <v>680081</v>
      </c>
      <c r="O277">
        <v>1610000</v>
      </c>
      <c r="P277" t="s">
        <v>4084</v>
      </c>
      <c r="Q277" s="1">
        <v>45589</v>
      </c>
      <c r="R277" t="s">
        <v>4085</v>
      </c>
      <c r="S277" t="s">
        <v>4086</v>
      </c>
      <c r="T277" t="s">
        <v>51</v>
      </c>
      <c r="U277" t="s">
        <v>48</v>
      </c>
      <c r="V277" t="s">
        <v>364</v>
      </c>
      <c r="W277" t="s">
        <v>53</v>
      </c>
      <c r="X277" t="s">
        <v>4087</v>
      </c>
      <c r="Y277" t="s">
        <v>152</v>
      </c>
      <c r="Z277" t="s">
        <v>153</v>
      </c>
      <c r="AA277" t="s">
        <v>4088</v>
      </c>
      <c r="AB277">
        <v>5</v>
      </c>
      <c r="AC277" t="s">
        <v>78</v>
      </c>
      <c r="AD277" t="s">
        <v>4089</v>
      </c>
      <c r="AE277" t="s">
        <v>1430</v>
      </c>
      <c r="AF277" t="s">
        <v>61</v>
      </c>
      <c r="AG277">
        <v>1288000</v>
      </c>
      <c r="AH277" s="13">
        <v>25760</v>
      </c>
      <c r="AL277" t="s">
        <v>6165</v>
      </c>
      <c r="AM277" s="13">
        <v>25760</v>
      </c>
      <c r="AN277" s="16">
        <f>Table9[[#This Row],[Premium]]-Table9[[#This Row],[Tms prem]]</f>
        <v>0</v>
      </c>
    </row>
    <row r="278" spans="1:40" x14ac:dyDescent="0.25">
      <c r="A278">
        <v>317</v>
      </c>
      <c r="B278" t="s">
        <v>37</v>
      </c>
      <c r="C278" t="s">
        <v>4100</v>
      </c>
      <c r="D278" t="s">
        <v>39</v>
      </c>
      <c r="E278" t="s">
        <v>40</v>
      </c>
      <c r="F278" t="s">
        <v>63</v>
      </c>
      <c r="G278" t="s">
        <v>674</v>
      </c>
      <c r="H278" t="s">
        <v>43</v>
      </c>
      <c r="I278" t="s">
        <v>4101</v>
      </c>
      <c r="J278" t="s">
        <v>4102</v>
      </c>
      <c r="K278" t="s">
        <v>4103</v>
      </c>
      <c r="L278" t="s">
        <v>4104</v>
      </c>
      <c r="M278" t="s">
        <v>4105</v>
      </c>
      <c r="N278">
        <v>860096</v>
      </c>
      <c r="O278">
        <v>1975000</v>
      </c>
      <c r="P278" t="s">
        <v>4106</v>
      </c>
      <c r="Q278" s="1">
        <v>45589</v>
      </c>
      <c r="R278" t="s">
        <v>4107</v>
      </c>
      <c r="S278" t="s">
        <v>4108</v>
      </c>
      <c r="T278" t="s">
        <v>51</v>
      </c>
      <c r="U278" t="s">
        <v>48</v>
      </c>
      <c r="V278" t="s">
        <v>4109</v>
      </c>
      <c r="W278" t="s">
        <v>53</v>
      </c>
      <c r="X278" t="s">
        <v>823</v>
      </c>
      <c r="Y278" t="s">
        <v>697</v>
      </c>
      <c r="Z278" t="s">
        <v>984</v>
      </c>
      <c r="AA278" t="s">
        <v>4110</v>
      </c>
      <c r="AB278">
        <v>5</v>
      </c>
      <c r="AC278" t="s">
        <v>78</v>
      </c>
      <c r="AD278" t="s">
        <v>4111</v>
      </c>
      <c r="AE278" t="s">
        <v>1430</v>
      </c>
      <c r="AF278" t="s">
        <v>61</v>
      </c>
      <c r="AG278">
        <v>1580000</v>
      </c>
      <c r="AH278" s="13">
        <v>31600</v>
      </c>
      <c r="AL278" t="s">
        <v>6166</v>
      </c>
      <c r="AM278" s="13">
        <v>31600</v>
      </c>
      <c r="AN278" s="16">
        <f>Table9[[#This Row],[Premium]]-Table9[[#This Row],[Tms prem]]</f>
        <v>0</v>
      </c>
    </row>
    <row r="279" spans="1:40" x14ac:dyDescent="0.25">
      <c r="A279">
        <v>318</v>
      </c>
      <c r="B279" t="s">
        <v>37</v>
      </c>
      <c r="C279" t="s">
        <v>4112</v>
      </c>
      <c r="D279" t="s">
        <v>39</v>
      </c>
      <c r="E279" t="s">
        <v>40</v>
      </c>
      <c r="F279" t="s">
        <v>1618</v>
      </c>
      <c r="G279" t="s">
        <v>4113</v>
      </c>
      <c r="H279" t="s">
        <v>188</v>
      </c>
      <c r="I279" t="s">
        <v>4114</v>
      </c>
      <c r="J279" t="s">
        <v>4115</v>
      </c>
      <c r="K279" t="s">
        <v>4116</v>
      </c>
      <c r="L279" t="s">
        <v>4115</v>
      </c>
      <c r="M279" t="s">
        <v>4117</v>
      </c>
      <c r="N279">
        <v>1334419</v>
      </c>
      <c r="O279">
        <v>2500000</v>
      </c>
      <c r="P279" t="s">
        <v>4118</v>
      </c>
      <c r="Q279" s="1">
        <v>45593</v>
      </c>
      <c r="R279" t="s">
        <v>4119</v>
      </c>
      <c r="S279" t="s">
        <v>4120</v>
      </c>
      <c r="T279" t="s">
        <v>196</v>
      </c>
      <c r="U279" t="s">
        <v>4121</v>
      </c>
      <c r="V279" t="s">
        <v>4122</v>
      </c>
      <c r="W279" t="s">
        <v>552</v>
      </c>
      <c r="X279" t="s">
        <v>3848</v>
      </c>
      <c r="Y279" t="s">
        <v>2996</v>
      </c>
      <c r="Z279" t="s">
        <v>824</v>
      </c>
      <c r="AA279" t="s">
        <v>4123</v>
      </c>
      <c r="AB279">
        <v>5</v>
      </c>
      <c r="AC279" t="s">
        <v>556</v>
      </c>
      <c r="AD279" t="s">
        <v>4124</v>
      </c>
      <c r="AE279" t="s">
        <v>3848</v>
      </c>
      <c r="AF279" t="s">
        <v>155</v>
      </c>
      <c r="AG279">
        <v>2125000</v>
      </c>
      <c r="AH279" s="13">
        <v>37188</v>
      </c>
      <c r="AL279" t="s">
        <v>6167</v>
      </c>
      <c r="AM279" s="13">
        <v>37188</v>
      </c>
      <c r="AN279" s="16">
        <f>Table9[[#This Row],[Premium]]-Table9[[#This Row],[Tms prem]]</f>
        <v>0</v>
      </c>
    </row>
    <row r="280" spans="1:40" x14ac:dyDescent="0.25">
      <c r="A280">
        <v>319</v>
      </c>
      <c r="B280" t="s">
        <v>37</v>
      </c>
      <c r="C280" t="s">
        <v>4125</v>
      </c>
      <c r="D280" t="s">
        <v>39</v>
      </c>
      <c r="E280" t="s">
        <v>40</v>
      </c>
      <c r="F280" t="s">
        <v>3731</v>
      </c>
      <c r="G280" t="s">
        <v>4126</v>
      </c>
      <c r="H280" t="s">
        <v>43</v>
      </c>
      <c r="I280" t="s">
        <v>4127</v>
      </c>
      <c r="J280" t="s">
        <v>4128</v>
      </c>
      <c r="K280" t="s">
        <v>4129</v>
      </c>
      <c r="L280" t="s">
        <v>4128</v>
      </c>
      <c r="M280" t="s">
        <v>4130</v>
      </c>
      <c r="N280">
        <v>1160814</v>
      </c>
      <c r="O280">
        <v>2933000</v>
      </c>
      <c r="P280" t="s">
        <v>4131</v>
      </c>
      <c r="Q280" s="1">
        <v>45589</v>
      </c>
      <c r="R280" t="s">
        <v>4132</v>
      </c>
      <c r="S280" t="s">
        <v>4133</v>
      </c>
      <c r="T280" t="s">
        <v>51</v>
      </c>
      <c r="U280" t="s">
        <v>48</v>
      </c>
      <c r="V280" t="s">
        <v>52</v>
      </c>
      <c r="W280" t="s">
        <v>53</v>
      </c>
      <c r="X280" t="s">
        <v>55</v>
      </c>
      <c r="Y280" t="s">
        <v>697</v>
      </c>
      <c r="Z280" t="s">
        <v>984</v>
      </c>
      <c r="AA280" t="s">
        <v>4134</v>
      </c>
      <c r="AB280">
        <v>5</v>
      </c>
      <c r="AC280" t="s">
        <v>78</v>
      </c>
      <c r="AD280" t="s">
        <v>4135</v>
      </c>
      <c r="AE280" t="s">
        <v>1430</v>
      </c>
      <c r="AF280" t="s">
        <v>61</v>
      </c>
      <c r="AG280">
        <v>2346400</v>
      </c>
      <c r="AH280" s="13">
        <v>46928</v>
      </c>
      <c r="AL280" t="s">
        <v>6168</v>
      </c>
      <c r="AM280" s="13">
        <v>46928</v>
      </c>
      <c r="AN280" s="16">
        <f>Table9[[#This Row],[Premium]]-Table9[[#This Row],[Tms prem]]</f>
        <v>0</v>
      </c>
    </row>
    <row r="281" spans="1:40" x14ac:dyDescent="0.25">
      <c r="A281">
        <v>320</v>
      </c>
      <c r="B281" t="s">
        <v>37</v>
      </c>
      <c r="C281" t="s">
        <v>4136</v>
      </c>
      <c r="D281" t="s">
        <v>39</v>
      </c>
      <c r="E281" t="s">
        <v>40</v>
      </c>
      <c r="F281" t="s">
        <v>1862</v>
      </c>
      <c r="G281" t="s">
        <v>4137</v>
      </c>
      <c r="H281" t="s">
        <v>422</v>
      </c>
      <c r="I281" t="s">
        <v>4138</v>
      </c>
      <c r="J281" t="s">
        <v>4139</v>
      </c>
      <c r="K281" t="s">
        <v>4139</v>
      </c>
      <c r="L281" t="s">
        <v>4139</v>
      </c>
      <c r="M281" t="s">
        <v>4140</v>
      </c>
      <c r="N281">
        <v>1456256</v>
      </c>
      <c r="O281">
        <v>2675000</v>
      </c>
      <c r="P281" t="s">
        <v>4141</v>
      </c>
      <c r="Q281" s="1">
        <v>45589</v>
      </c>
      <c r="R281" t="s">
        <v>4142</v>
      </c>
      <c r="S281" t="s">
        <v>4143</v>
      </c>
      <c r="T281" t="s">
        <v>51</v>
      </c>
      <c r="U281" t="s">
        <v>48</v>
      </c>
      <c r="V281" t="s">
        <v>3387</v>
      </c>
      <c r="W281" t="s">
        <v>53</v>
      </c>
      <c r="X281" t="s">
        <v>641</v>
      </c>
      <c r="Y281" t="s">
        <v>152</v>
      </c>
      <c r="Z281" t="s">
        <v>824</v>
      </c>
      <c r="AA281" t="s">
        <v>4144</v>
      </c>
      <c r="AB281">
        <v>6</v>
      </c>
      <c r="AC281" t="s">
        <v>78</v>
      </c>
      <c r="AD281" t="s">
        <v>4145</v>
      </c>
      <c r="AE281" t="s">
        <v>1454</v>
      </c>
      <c r="AF281" t="s">
        <v>61</v>
      </c>
      <c r="AG281">
        <v>2140000</v>
      </c>
      <c r="AH281" s="13">
        <v>42800</v>
      </c>
      <c r="AL281" t="s">
        <v>6169</v>
      </c>
      <c r="AM281" s="13">
        <v>42800</v>
      </c>
      <c r="AN281" s="16">
        <f>Table9[[#This Row],[Premium]]-Table9[[#This Row],[Tms prem]]</f>
        <v>0</v>
      </c>
    </row>
    <row r="282" spans="1:40" x14ac:dyDescent="0.25">
      <c r="A282">
        <v>321</v>
      </c>
      <c r="B282" t="s">
        <v>37</v>
      </c>
      <c r="C282" t="s">
        <v>4146</v>
      </c>
      <c r="D282" t="s">
        <v>39</v>
      </c>
      <c r="E282" t="s">
        <v>40</v>
      </c>
      <c r="F282" t="s">
        <v>4147</v>
      </c>
      <c r="G282" t="s">
        <v>4148</v>
      </c>
      <c r="H282" t="s">
        <v>128</v>
      </c>
      <c r="I282" t="s">
        <v>4149</v>
      </c>
      <c r="J282" t="s">
        <v>4150</v>
      </c>
      <c r="K282" t="s">
        <v>48</v>
      </c>
      <c r="L282" t="s">
        <v>438</v>
      </c>
      <c r="M282" t="s">
        <v>4151</v>
      </c>
      <c r="N282">
        <v>415162</v>
      </c>
      <c r="O282">
        <v>1049000</v>
      </c>
      <c r="P282" t="s">
        <v>4152</v>
      </c>
      <c r="Q282" s="1">
        <v>45593</v>
      </c>
      <c r="R282" t="s">
        <v>4153</v>
      </c>
      <c r="S282" t="s">
        <v>4154</v>
      </c>
      <c r="T282" t="s">
        <v>51</v>
      </c>
      <c r="U282" t="s">
        <v>48</v>
      </c>
      <c r="V282" t="s">
        <v>1678</v>
      </c>
      <c r="W282" t="s">
        <v>53</v>
      </c>
      <c r="X282" t="s">
        <v>3136</v>
      </c>
      <c r="Y282" t="s">
        <v>152</v>
      </c>
      <c r="Z282" t="s">
        <v>153</v>
      </c>
      <c r="AA282" t="s">
        <v>4155</v>
      </c>
      <c r="AB282">
        <v>5</v>
      </c>
      <c r="AC282" t="s">
        <v>78</v>
      </c>
      <c r="AD282" t="s">
        <v>4156</v>
      </c>
      <c r="AE282" t="s">
        <v>3136</v>
      </c>
      <c r="AF282" t="s">
        <v>61</v>
      </c>
      <c r="AG282">
        <v>839200</v>
      </c>
      <c r="AH282" s="13">
        <v>16784</v>
      </c>
      <c r="AL282" t="s">
        <v>6170</v>
      </c>
      <c r="AM282" s="13">
        <v>16784</v>
      </c>
      <c r="AN282" s="16">
        <f>Table9[[#This Row],[Premium]]-Table9[[#This Row],[Tms prem]]</f>
        <v>0</v>
      </c>
    </row>
    <row r="283" spans="1:40" x14ac:dyDescent="0.25">
      <c r="A283">
        <v>322</v>
      </c>
      <c r="B283" t="s">
        <v>37</v>
      </c>
      <c r="C283" t="s">
        <v>4157</v>
      </c>
      <c r="D283" t="s">
        <v>39</v>
      </c>
      <c r="E283" t="s">
        <v>40</v>
      </c>
      <c r="F283" t="s">
        <v>41</v>
      </c>
      <c r="G283" t="s">
        <v>4158</v>
      </c>
      <c r="H283" t="s">
        <v>4159</v>
      </c>
      <c r="I283" t="s">
        <v>4160</v>
      </c>
      <c r="J283" t="s">
        <v>4161</v>
      </c>
      <c r="K283" t="s">
        <v>4162</v>
      </c>
      <c r="L283" t="s">
        <v>4163</v>
      </c>
      <c r="M283" t="s">
        <v>4164</v>
      </c>
      <c r="N283">
        <v>1008814</v>
      </c>
      <c r="O283">
        <v>2553000</v>
      </c>
      <c r="P283" t="s">
        <v>4165</v>
      </c>
      <c r="Q283" s="1">
        <v>45589</v>
      </c>
      <c r="R283" t="s">
        <v>4166</v>
      </c>
      <c r="S283" t="s">
        <v>4167</v>
      </c>
      <c r="T283" t="s">
        <v>51</v>
      </c>
      <c r="U283" t="s">
        <v>48</v>
      </c>
      <c r="V283" t="s">
        <v>4168</v>
      </c>
      <c r="W283" t="s">
        <v>53</v>
      </c>
      <c r="X283" t="s">
        <v>641</v>
      </c>
      <c r="Y283" t="s">
        <v>697</v>
      </c>
      <c r="Z283" t="s">
        <v>984</v>
      </c>
      <c r="AA283" t="s">
        <v>4169</v>
      </c>
      <c r="AB283">
        <v>5</v>
      </c>
      <c r="AC283" t="s">
        <v>58</v>
      </c>
      <c r="AD283" t="s">
        <v>4170</v>
      </c>
      <c r="AE283" t="s">
        <v>1430</v>
      </c>
      <c r="AF283" t="s">
        <v>61</v>
      </c>
      <c r="AG283">
        <v>2042400</v>
      </c>
      <c r="AH283" s="13">
        <v>40848</v>
      </c>
      <c r="AL283" t="s">
        <v>6171</v>
      </c>
      <c r="AM283" s="13">
        <v>40848</v>
      </c>
      <c r="AN283" s="16">
        <f>Table9[[#This Row],[Premium]]-Table9[[#This Row],[Tms prem]]</f>
        <v>0</v>
      </c>
    </row>
    <row r="284" spans="1:40" x14ac:dyDescent="0.25">
      <c r="A284">
        <v>323</v>
      </c>
      <c r="B284" t="s">
        <v>37</v>
      </c>
      <c r="C284" t="s">
        <v>4171</v>
      </c>
      <c r="D284" t="s">
        <v>39</v>
      </c>
      <c r="E284" t="s">
        <v>40</v>
      </c>
      <c r="F284" t="s">
        <v>186</v>
      </c>
      <c r="G284" t="s">
        <v>4172</v>
      </c>
      <c r="H284" t="s">
        <v>188</v>
      </c>
      <c r="I284" t="s">
        <v>4173</v>
      </c>
      <c r="J284" t="s">
        <v>4174</v>
      </c>
      <c r="K284" t="s">
        <v>4174</v>
      </c>
      <c r="L284" t="s">
        <v>4174</v>
      </c>
      <c r="M284" t="s">
        <v>4175</v>
      </c>
      <c r="N284">
        <v>1265733</v>
      </c>
      <c r="O284">
        <v>2375000</v>
      </c>
      <c r="P284" t="s">
        <v>4176</v>
      </c>
      <c r="Q284" s="1">
        <v>45593</v>
      </c>
      <c r="R284" t="s">
        <v>4177</v>
      </c>
      <c r="S284" t="s">
        <v>4178</v>
      </c>
      <c r="T284" t="s">
        <v>196</v>
      </c>
      <c r="U284" t="s">
        <v>4179</v>
      </c>
      <c r="V284" t="s">
        <v>106</v>
      </c>
      <c r="W284" t="s">
        <v>53</v>
      </c>
      <c r="X284" t="s">
        <v>3588</v>
      </c>
      <c r="Y284" t="s">
        <v>2996</v>
      </c>
      <c r="Z284" t="s">
        <v>824</v>
      </c>
      <c r="AA284" t="s">
        <v>4180</v>
      </c>
      <c r="AB284">
        <v>5</v>
      </c>
      <c r="AC284" t="s">
        <v>556</v>
      </c>
      <c r="AD284" t="s">
        <v>4181</v>
      </c>
      <c r="AE284" t="s">
        <v>3588</v>
      </c>
      <c r="AF284" t="s">
        <v>155</v>
      </c>
      <c r="AG284">
        <v>2018750</v>
      </c>
      <c r="AH284" s="13">
        <v>35328</v>
      </c>
      <c r="AL284" t="s">
        <v>6172</v>
      </c>
      <c r="AM284" s="13">
        <v>35328</v>
      </c>
      <c r="AN284" s="16">
        <f>Table9[[#This Row],[Premium]]-Table9[[#This Row],[Tms prem]]</f>
        <v>0</v>
      </c>
    </row>
    <row r="285" spans="1:40" x14ac:dyDescent="0.25">
      <c r="A285">
        <v>324</v>
      </c>
      <c r="B285" t="s">
        <v>37</v>
      </c>
      <c r="C285" t="s">
        <v>4182</v>
      </c>
      <c r="D285" t="s">
        <v>39</v>
      </c>
      <c r="E285" t="s">
        <v>40</v>
      </c>
      <c r="F285" t="s">
        <v>1618</v>
      </c>
      <c r="G285" t="s">
        <v>4183</v>
      </c>
      <c r="H285" t="s">
        <v>188</v>
      </c>
      <c r="I285" t="s">
        <v>4184</v>
      </c>
      <c r="J285" t="s">
        <v>4185</v>
      </c>
      <c r="K285" t="s">
        <v>4186</v>
      </c>
      <c r="L285" t="s">
        <v>4185</v>
      </c>
      <c r="M285" t="s">
        <v>4187</v>
      </c>
      <c r="N285">
        <v>935615</v>
      </c>
      <c r="O285">
        <v>3000000</v>
      </c>
      <c r="P285" t="s">
        <v>3725</v>
      </c>
      <c r="Q285" s="1">
        <v>45589</v>
      </c>
      <c r="R285" t="s">
        <v>4188</v>
      </c>
      <c r="S285" t="s">
        <v>4189</v>
      </c>
      <c r="T285" t="s">
        <v>196</v>
      </c>
      <c r="U285" t="s">
        <v>4190</v>
      </c>
      <c r="V285" t="s">
        <v>551</v>
      </c>
      <c r="W285" t="s">
        <v>1393</v>
      </c>
      <c r="X285" t="s">
        <v>1490</v>
      </c>
      <c r="Y285" t="s">
        <v>1490</v>
      </c>
      <c r="Z285" t="s">
        <v>1363</v>
      </c>
      <c r="AA285" t="s">
        <v>4191</v>
      </c>
      <c r="AB285">
        <v>3</v>
      </c>
      <c r="AC285" t="s">
        <v>556</v>
      </c>
      <c r="AD285" t="s">
        <v>4192</v>
      </c>
      <c r="AE285" t="s">
        <v>1490</v>
      </c>
      <c r="AF285" t="s">
        <v>155</v>
      </c>
      <c r="AG285">
        <v>2550000</v>
      </c>
      <c r="AH285" s="13">
        <v>44625</v>
      </c>
      <c r="AL285" t="s">
        <v>6173</v>
      </c>
      <c r="AM285" s="13">
        <v>44625</v>
      </c>
      <c r="AN285" s="16">
        <f>Table9[[#This Row],[Premium]]-Table9[[#This Row],[Tms prem]]</f>
        <v>0</v>
      </c>
    </row>
    <row r="286" spans="1:40" x14ac:dyDescent="0.25">
      <c r="A286">
        <v>325</v>
      </c>
      <c r="B286" t="s">
        <v>37</v>
      </c>
      <c r="C286" t="s">
        <v>4193</v>
      </c>
      <c r="D286" t="s">
        <v>39</v>
      </c>
      <c r="E286" t="s">
        <v>40</v>
      </c>
      <c r="F286" t="s">
        <v>1401</v>
      </c>
      <c r="G286" t="s">
        <v>4194</v>
      </c>
      <c r="H286" t="s">
        <v>188</v>
      </c>
      <c r="I286" t="s">
        <v>4195</v>
      </c>
      <c r="J286" t="s">
        <v>4196</v>
      </c>
      <c r="K286" t="s">
        <v>4197</v>
      </c>
      <c r="L286" t="s">
        <v>4196</v>
      </c>
      <c r="M286" t="s">
        <v>4198</v>
      </c>
      <c r="N286">
        <v>1263161</v>
      </c>
      <c r="O286">
        <v>3800000</v>
      </c>
      <c r="P286" t="s">
        <v>4199</v>
      </c>
      <c r="Q286" s="1">
        <v>45589</v>
      </c>
      <c r="R286" t="s">
        <v>4200</v>
      </c>
      <c r="S286" t="s">
        <v>4201</v>
      </c>
      <c r="T286" t="s">
        <v>196</v>
      </c>
      <c r="U286" t="s">
        <v>4202</v>
      </c>
      <c r="V286" t="s">
        <v>4203</v>
      </c>
      <c r="W286" t="s">
        <v>1393</v>
      </c>
      <c r="X286" t="s">
        <v>1490</v>
      </c>
      <c r="Y286" t="s">
        <v>1490</v>
      </c>
      <c r="Z286" t="s">
        <v>1363</v>
      </c>
      <c r="AA286" t="s">
        <v>4204</v>
      </c>
      <c r="AB286">
        <v>3</v>
      </c>
      <c r="AC286" t="s">
        <v>556</v>
      </c>
      <c r="AD286" t="s">
        <v>4205</v>
      </c>
      <c r="AE286" t="s">
        <v>3884</v>
      </c>
      <c r="AF286" t="s">
        <v>155</v>
      </c>
      <c r="AG286">
        <v>3230000</v>
      </c>
      <c r="AH286" s="13">
        <v>56525</v>
      </c>
      <c r="AL286" t="s">
        <v>6174</v>
      </c>
      <c r="AM286" s="13">
        <v>56525</v>
      </c>
      <c r="AN286" s="16">
        <f>Table9[[#This Row],[Premium]]-Table9[[#This Row],[Tms prem]]</f>
        <v>0</v>
      </c>
    </row>
    <row r="287" spans="1:40" x14ac:dyDescent="0.25">
      <c r="A287">
        <v>326</v>
      </c>
      <c r="B287" t="s">
        <v>37</v>
      </c>
      <c r="C287" t="s">
        <v>4206</v>
      </c>
      <c r="D287" t="s">
        <v>39</v>
      </c>
      <c r="E287" t="s">
        <v>40</v>
      </c>
      <c r="F287" t="s">
        <v>715</v>
      </c>
      <c r="G287" t="s">
        <v>4207</v>
      </c>
      <c r="H287" t="s">
        <v>83</v>
      </c>
      <c r="I287" t="s">
        <v>4208</v>
      </c>
      <c r="J287" t="s">
        <v>48</v>
      </c>
      <c r="K287" t="s">
        <v>4209</v>
      </c>
      <c r="L287" t="s">
        <v>4210</v>
      </c>
      <c r="M287" t="s">
        <v>4211</v>
      </c>
      <c r="N287">
        <v>2717386</v>
      </c>
      <c r="O287">
        <v>7414000</v>
      </c>
      <c r="P287" t="s">
        <v>4212</v>
      </c>
      <c r="Q287" s="1">
        <v>45593</v>
      </c>
      <c r="R287" t="s">
        <v>4213</v>
      </c>
      <c r="S287" t="s">
        <v>4214</v>
      </c>
      <c r="T287" t="s">
        <v>51</v>
      </c>
      <c r="U287" t="s">
        <v>48</v>
      </c>
      <c r="V287" t="s">
        <v>3907</v>
      </c>
      <c r="W287" t="s">
        <v>53</v>
      </c>
      <c r="X287" t="s">
        <v>214</v>
      </c>
      <c r="Y287" t="s">
        <v>152</v>
      </c>
      <c r="Z287" t="s">
        <v>153</v>
      </c>
      <c r="AA287" t="s">
        <v>4215</v>
      </c>
      <c r="AB287">
        <v>5</v>
      </c>
      <c r="AC287" t="s">
        <v>58</v>
      </c>
      <c r="AD287" t="s">
        <v>4216</v>
      </c>
      <c r="AE287" t="s">
        <v>1885</v>
      </c>
      <c r="AF287" t="s">
        <v>155</v>
      </c>
      <c r="AG287">
        <v>5931200</v>
      </c>
      <c r="AH287" s="13">
        <v>103796</v>
      </c>
      <c r="AL287" t="s">
        <v>6175</v>
      </c>
      <c r="AM287" s="13">
        <v>103796</v>
      </c>
      <c r="AN287" s="16">
        <f>Table9[[#This Row],[Premium]]-Table9[[#This Row],[Tms prem]]</f>
        <v>0</v>
      </c>
    </row>
    <row r="288" spans="1:40" x14ac:dyDescent="0.25">
      <c r="A288">
        <v>327</v>
      </c>
      <c r="B288" t="s">
        <v>37</v>
      </c>
      <c r="C288" t="s">
        <v>4217</v>
      </c>
      <c r="D288" t="s">
        <v>39</v>
      </c>
      <c r="E288" t="s">
        <v>40</v>
      </c>
      <c r="F288" t="s">
        <v>610</v>
      </c>
      <c r="G288" t="s">
        <v>4218</v>
      </c>
      <c r="H288" t="s">
        <v>188</v>
      </c>
      <c r="I288" t="s">
        <v>4219</v>
      </c>
      <c r="J288" t="s">
        <v>4220</v>
      </c>
      <c r="K288" t="s">
        <v>4220</v>
      </c>
      <c r="L288" t="s">
        <v>438</v>
      </c>
      <c r="M288" t="s">
        <v>4221</v>
      </c>
      <c r="N288">
        <v>2191297</v>
      </c>
      <c r="O288">
        <v>5270000</v>
      </c>
      <c r="P288" t="s">
        <v>4222</v>
      </c>
      <c r="Q288" s="1">
        <v>45593</v>
      </c>
      <c r="R288" t="s">
        <v>4223</v>
      </c>
      <c r="S288" t="s">
        <v>4224</v>
      </c>
      <c r="T288" t="s">
        <v>51</v>
      </c>
      <c r="U288" t="s">
        <v>48</v>
      </c>
      <c r="V288" t="s">
        <v>521</v>
      </c>
      <c r="W288" t="s">
        <v>53</v>
      </c>
      <c r="X288" t="s">
        <v>4225</v>
      </c>
      <c r="Y288" t="s">
        <v>152</v>
      </c>
      <c r="Z288" t="s">
        <v>1156</v>
      </c>
      <c r="AA288" t="s">
        <v>4226</v>
      </c>
      <c r="AB288">
        <v>7</v>
      </c>
      <c r="AC288" t="s">
        <v>78</v>
      </c>
      <c r="AD288" t="s">
        <v>48</v>
      </c>
      <c r="AE288" t="s">
        <v>48</v>
      </c>
      <c r="AF288" t="s">
        <v>882</v>
      </c>
      <c r="AG288">
        <v>4216000</v>
      </c>
      <c r="AH288" s="13">
        <v>63240</v>
      </c>
      <c r="AL288" t="s">
        <v>6176</v>
      </c>
      <c r="AM288" s="13">
        <v>63240</v>
      </c>
      <c r="AN288" s="16">
        <f>Table9[[#This Row],[Premium]]-Table9[[#This Row],[Tms prem]]</f>
        <v>0</v>
      </c>
    </row>
    <row r="289" spans="1:40" x14ac:dyDescent="0.25">
      <c r="A289">
        <v>328</v>
      </c>
      <c r="B289" t="s">
        <v>37</v>
      </c>
      <c r="C289" t="s">
        <v>4227</v>
      </c>
      <c r="D289" t="s">
        <v>39</v>
      </c>
      <c r="E289" t="s">
        <v>40</v>
      </c>
      <c r="F289" t="s">
        <v>4228</v>
      </c>
      <c r="G289" t="s">
        <v>4229</v>
      </c>
      <c r="H289" t="s">
        <v>83</v>
      </c>
      <c r="I289" t="s">
        <v>4230</v>
      </c>
      <c r="J289" t="s">
        <v>4231</v>
      </c>
      <c r="K289" t="s">
        <v>4231</v>
      </c>
      <c r="L289" t="s">
        <v>4232</v>
      </c>
      <c r="M289" t="s">
        <v>4233</v>
      </c>
      <c r="N289">
        <v>1543087</v>
      </c>
      <c r="O289">
        <v>3899000</v>
      </c>
      <c r="P289" t="s">
        <v>4234</v>
      </c>
      <c r="Q289" s="1">
        <v>45593</v>
      </c>
      <c r="R289" t="s">
        <v>4235</v>
      </c>
      <c r="S289" t="s">
        <v>4236</v>
      </c>
      <c r="T289" t="s">
        <v>51</v>
      </c>
      <c r="U289" t="s">
        <v>48</v>
      </c>
      <c r="V289" t="s">
        <v>4237</v>
      </c>
      <c r="W289" t="s">
        <v>53</v>
      </c>
      <c r="X289" t="s">
        <v>314</v>
      </c>
      <c r="Y289" t="s">
        <v>152</v>
      </c>
      <c r="Z289" t="s">
        <v>153</v>
      </c>
      <c r="AA289" t="s">
        <v>4238</v>
      </c>
      <c r="AB289">
        <v>5</v>
      </c>
      <c r="AC289" t="s">
        <v>78</v>
      </c>
      <c r="AD289" t="s">
        <v>4239</v>
      </c>
      <c r="AE289" t="s">
        <v>1885</v>
      </c>
      <c r="AF289" t="s">
        <v>882</v>
      </c>
      <c r="AG289">
        <v>3119200</v>
      </c>
      <c r="AH289" s="13">
        <v>46788</v>
      </c>
      <c r="AL289" t="s">
        <v>6177</v>
      </c>
      <c r="AM289" s="13">
        <v>46788</v>
      </c>
      <c r="AN289" s="16">
        <f>Table9[[#This Row],[Premium]]-Table9[[#This Row],[Tms prem]]</f>
        <v>0</v>
      </c>
    </row>
    <row r="290" spans="1:40" x14ac:dyDescent="0.25">
      <c r="A290">
        <v>329</v>
      </c>
      <c r="B290" t="s">
        <v>37</v>
      </c>
      <c r="C290" t="s">
        <v>4240</v>
      </c>
      <c r="D290" t="s">
        <v>39</v>
      </c>
      <c r="E290" t="s">
        <v>40</v>
      </c>
      <c r="F290" t="s">
        <v>715</v>
      </c>
      <c r="G290" t="s">
        <v>4241</v>
      </c>
      <c r="H290" t="s">
        <v>83</v>
      </c>
      <c r="I290" t="s">
        <v>4242</v>
      </c>
      <c r="J290" t="s">
        <v>4243</v>
      </c>
      <c r="K290" t="s">
        <v>4243</v>
      </c>
      <c r="L290" t="s">
        <v>4243</v>
      </c>
      <c r="M290" t="s">
        <v>4244</v>
      </c>
      <c r="N290">
        <v>1046798</v>
      </c>
      <c r="O290">
        <v>3923000</v>
      </c>
      <c r="P290" t="s">
        <v>4245</v>
      </c>
      <c r="Q290" s="1">
        <v>45593</v>
      </c>
      <c r="R290" t="s">
        <v>4246</v>
      </c>
      <c r="S290" t="s">
        <v>4247</v>
      </c>
      <c r="T290" t="s">
        <v>51</v>
      </c>
      <c r="U290" t="s">
        <v>48</v>
      </c>
      <c r="V290" t="s">
        <v>4248</v>
      </c>
      <c r="W290" t="s">
        <v>53</v>
      </c>
      <c r="X290" t="s">
        <v>4249</v>
      </c>
      <c r="Y290" t="s">
        <v>152</v>
      </c>
      <c r="Z290" t="s">
        <v>1518</v>
      </c>
      <c r="AA290" t="s">
        <v>4250</v>
      </c>
      <c r="AB290">
        <v>4</v>
      </c>
      <c r="AC290" t="s">
        <v>78</v>
      </c>
      <c r="AD290" t="s">
        <v>4251</v>
      </c>
      <c r="AE290" t="s">
        <v>3136</v>
      </c>
      <c r="AF290" t="s">
        <v>61</v>
      </c>
      <c r="AG290">
        <v>3138400</v>
      </c>
      <c r="AH290" s="13">
        <v>62768</v>
      </c>
      <c r="AL290" t="s">
        <v>6178</v>
      </c>
      <c r="AM290" s="13">
        <v>62768</v>
      </c>
      <c r="AN290" s="16">
        <f>Table9[[#This Row],[Premium]]-Table9[[#This Row],[Tms prem]]</f>
        <v>0</v>
      </c>
    </row>
    <row r="291" spans="1:40" x14ac:dyDescent="0.25">
      <c r="A291">
        <v>330</v>
      </c>
      <c r="B291" t="s">
        <v>37</v>
      </c>
      <c r="C291" t="s">
        <v>4252</v>
      </c>
      <c r="D291" t="s">
        <v>39</v>
      </c>
      <c r="E291" t="s">
        <v>40</v>
      </c>
      <c r="F291" t="s">
        <v>63</v>
      </c>
      <c r="G291" t="s">
        <v>4253</v>
      </c>
      <c r="H291" t="s">
        <v>188</v>
      </c>
      <c r="I291" t="s">
        <v>4254</v>
      </c>
      <c r="J291" t="s">
        <v>4255</v>
      </c>
      <c r="K291" t="s">
        <v>4255</v>
      </c>
      <c r="L291" t="s">
        <v>4255</v>
      </c>
      <c r="M291" t="s">
        <v>4256</v>
      </c>
      <c r="N291">
        <v>837295</v>
      </c>
      <c r="O291">
        <v>1306000</v>
      </c>
      <c r="P291" t="s">
        <v>4257</v>
      </c>
      <c r="Q291" s="1">
        <v>45589</v>
      </c>
      <c r="R291" t="s">
        <v>4258</v>
      </c>
      <c r="S291" t="s">
        <v>4259</v>
      </c>
      <c r="T291" t="s">
        <v>51</v>
      </c>
      <c r="U291" t="s">
        <v>48</v>
      </c>
      <c r="V291" t="s">
        <v>4052</v>
      </c>
      <c r="W291" t="s">
        <v>552</v>
      </c>
      <c r="X291" t="s">
        <v>4260</v>
      </c>
      <c r="Y291" t="s">
        <v>2996</v>
      </c>
      <c r="Z291" t="s">
        <v>4261</v>
      </c>
      <c r="AA291" t="s">
        <v>4262</v>
      </c>
      <c r="AB291">
        <v>7</v>
      </c>
      <c r="AC291" t="s">
        <v>78</v>
      </c>
      <c r="AD291" t="s">
        <v>4263</v>
      </c>
      <c r="AE291" t="s">
        <v>3884</v>
      </c>
      <c r="AF291" t="s">
        <v>61</v>
      </c>
      <c r="AG291">
        <v>1110100</v>
      </c>
      <c r="AH291" s="13">
        <v>22202</v>
      </c>
      <c r="AL291" t="s">
        <v>6179</v>
      </c>
      <c r="AM291" s="13">
        <v>22202</v>
      </c>
      <c r="AN291" s="16">
        <f>Table9[[#This Row],[Premium]]-Table9[[#This Row],[Tms prem]]</f>
        <v>0</v>
      </c>
    </row>
    <row r="292" spans="1:40" x14ac:dyDescent="0.25">
      <c r="A292">
        <v>331</v>
      </c>
      <c r="B292" t="s">
        <v>37</v>
      </c>
      <c r="C292" t="s">
        <v>4264</v>
      </c>
      <c r="D292" t="s">
        <v>39</v>
      </c>
      <c r="E292" t="s">
        <v>40</v>
      </c>
      <c r="F292" t="s">
        <v>483</v>
      </c>
      <c r="G292" t="s">
        <v>4265</v>
      </c>
      <c r="H292" t="s">
        <v>83</v>
      </c>
      <c r="I292" t="s">
        <v>4266</v>
      </c>
      <c r="J292" t="s">
        <v>4267</v>
      </c>
      <c r="K292" t="s">
        <v>4267</v>
      </c>
      <c r="L292" t="s">
        <v>4267</v>
      </c>
      <c r="M292" t="s">
        <v>4268</v>
      </c>
      <c r="N292">
        <v>1405419</v>
      </c>
      <c r="O292">
        <v>3143000</v>
      </c>
      <c r="P292" t="s">
        <v>4269</v>
      </c>
      <c r="Q292" s="1">
        <v>45593</v>
      </c>
      <c r="R292" t="s">
        <v>4270</v>
      </c>
      <c r="S292" t="s">
        <v>4271</v>
      </c>
      <c r="T292" t="s">
        <v>51</v>
      </c>
      <c r="U292" t="s">
        <v>48</v>
      </c>
      <c r="V292" t="s">
        <v>4272</v>
      </c>
      <c r="W292" t="s">
        <v>53</v>
      </c>
      <c r="X292" t="s">
        <v>165</v>
      </c>
      <c r="Y292" t="s">
        <v>152</v>
      </c>
      <c r="Z292" t="s">
        <v>153</v>
      </c>
      <c r="AA292" t="s">
        <v>4273</v>
      </c>
      <c r="AB292">
        <v>5</v>
      </c>
      <c r="AC292" t="s">
        <v>78</v>
      </c>
      <c r="AD292" t="s">
        <v>4274</v>
      </c>
      <c r="AE292" t="s">
        <v>3136</v>
      </c>
      <c r="AF292" t="s">
        <v>61</v>
      </c>
      <c r="AG292">
        <v>2514400</v>
      </c>
      <c r="AH292" s="13">
        <v>50288</v>
      </c>
      <c r="AL292" t="s">
        <v>6180</v>
      </c>
      <c r="AM292" s="13">
        <v>50288</v>
      </c>
      <c r="AN292" s="16">
        <f>Table9[[#This Row],[Premium]]-Table9[[#This Row],[Tms prem]]</f>
        <v>0</v>
      </c>
    </row>
    <row r="293" spans="1:40" x14ac:dyDescent="0.25">
      <c r="A293">
        <v>332</v>
      </c>
      <c r="B293" t="s">
        <v>37</v>
      </c>
      <c r="C293" t="s">
        <v>4275</v>
      </c>
      <c r="D293" t="s">
        <v>39</v>
      </c>
      <c r="E293" t="s">
        <v>40</v>
      </c>
      <c r="F293" t="s">
        <v>525</v>
      </c>
      <c r="G293" t="s">
        <v>4276</v>
      </c>
      <c r="H293" t="s">
        <v>233</v>
      </c>
      <c r="I293" t="s">
        <v>4277</v>
      </c>
      <c r="J293" t="s">
        <v>4278</v>
      </c>
      <c r="K293" t="s">
        <v>4278</v>
      </c>
      <c r="L293" t="s">
        <v>4278</v>
      </c>
      <c r="M293" t="s">
        <v>4279</v>
      </c>
      <c r="N293">
        <v>1244713</v>
      </c>
      <c r="O293">
        <v>3400000</v>
      </c>
      <c r="P293" t="s">
        <v>4280</v>
      </c>
      <c r="Q293" s="1">
        <v>45593</v>
      </c>
      <c r="R293" t="s">
        <v>4281</v>
      </c>
      <c r="S293" t="s">
        <v>4282</v>
      </c>
      <c r="T293" t="s">
        <v>196</v>
      </c>
      <c r="U293" t="s">
        <v>4283</v>
      </c>
      <c r="V293" t="s">
        <v>4284</v>
      </c>
      <c r="W293" t="s">
        <v>1054</v>
      </c>
      <c r="X293" t="s">
        <v>3136</v>
      </c>
      <c r="Y293" t="s">
        <v>152</v>
      </c>
      <c r="Z293" t="s">
        <v>153</v>
      </c>
      <c r="AA293" t="s">
        <v>4285</v>
      </c>
      <c r="AB293">
        <v>5</v>
      </c>
      <c r="AC293" t="s">
        <v>78</v>
      </c>
      <c r="AD293" t="s">
        <v>4286</v>
      </c>
      <c r="AE293" t="s">
        <v>3136</v>
      </c>
      <c r="AF293" t="s">
        <v>61</v>
      </c>
      <c r="AG293">
        <v>2720000</v>
      </c>
      <c r="AH293" s="13">
        <v>54400</v>
      </c>
      <c r="AL293" t="s">
        <v>6181</v>
      </c>
      <c r="AM293" s="13">
        <v>54400</v>
      </c>
      <c r="AN293" s="16">
        <f>Table9[[#This Row],[Premium]]-Table9[[#This Row],[Tms prem]]</f>
        <v>0</v>
      </c>
    </row>
    <row r="294" spans="1:40" x14ac:dyDescent="0.25">
      <c r="A294">
        <v>333</v>
      </c>
      <c r="B294" t="s">
        <v>37</v>
      </c>
      <c r="C294" t="s">
        <v>4287</v>
      </c>
      <c r="D294" t="s">
        <v>39</v>
      </c>
      <c r="E294" t="s">
        <v>40</v>
      </c>
      <c r="F294" t="s">
        <v>2261</v>
      </c>
      <c r="G294" t="s">
        <v>4288</v>
      </c>
      <c r="H294" t="s">
        <v>188</v>
      </c>
      <c r="I294" t="s">
        <v>4289</v>
      </c>
      <c r="J294" t="s">
        <v>48</v>
      </c>
      <c r="K294" t="s">
        <v>4290</v>
      </c>
      <c r="L294" t="s">
        <v>48</v>
      </c>
      <c r="M294" t="s">
        <v>4291</v>
      </c>
      <c r="N294">
        <v>1117235</v>
      </c>
      <c r="O294">
        <v>2675000</v>
      </c>
      <c r="P294" t="s">
        <v>4292</v>
      </c>
      <c r="Q294" s="1">
        <v>45593</v>
      </c>
      <c r="R294" t="s">
        <v>4293</v>
      </c>
      <c r="S294" t="s">
        <v>4294</v>
      </c>
      <c r="T294" t="s">
        <v>51</v>
      </c>
      <c r="U294" t="s">
        <v>48</v>
      </c>
      <c r="V294" t="s">
        <v>3387</v>
      </c>
      <c r="W294" t="s">
        <v>53</v>
      </c>
      <c r="X294" t="s">
        <v>641</v>
      </c>
      <c r="Y294" t="s">
        <v>152</v>
      </c>
      <c r="Z294" t="s">
        <v>1156</v>
      </c>
      <c r="AA294" t="s">
        <v>4295</v>
      </c>
      <c r="AB294">
        <v>7</v>
      </c>
      <c r="AC294" t="s">
        <v>78</v>
      </c>
      <c r="AD294" t="s">
        <v>4296</v>
      </c>
      <c r="AE294" t="s">
        <v>4087</v>
      </c>
      <c r="AF294" t="s">
        <v>155</v>
      </c>
      <c r="AG294">
        <v>2140000</v>
      </c>
      <c r="AH294" s="13">
        <v>37450</v>
      </c>
      <c r="AL294" t="s">
        <v>6182</v>
      </c>
      <c r="AM294" s="13">
        <v>37450</v>
      </c>
      <c r="AN294" s="16">
        <f>Table9[[#This Row],[Premium]]-Table9[[#This Row],[Tms prem]]</f>
        <v>0</v>
      </c>
    </row>
    <row r="295" spans="1:40" x14ac:dyDescent="0.25">
      <c r="A295">
        <v>334</v>
      </c>
      <c r="B295" t="s">
        <v>37</v>
      </c>
      <c r="C295" t="s">
        <v>4297</v>
      </c>
      <c r="D295" t="s">
        <v>39</v>
      </c>
      <c r="E295" t="s">
        <v>40</v>
      </c>
      <c r="F295" t="s">
        <v>3565</v>
      </c>
      <c r="G295" t="s">
        <v>4298</v>
      </c>
      <c r="H295" t="s">
        <v>43</v>
      </c>
      <c r="I295" t="s">
        <v>4299</v>
      </c>
      <c r="J295" t="s">
        <v>4300</v>
      </c>
      <c r="K295" t="s">
        <v>4300</v>
      </c>
      <c r="L295" t="s">
        <v>4300</v>
      </c>
      <c r="M295" t="s">
        <v>4301</v>
      </c>
      <c r="N295">
        <v>1456346</v>
      </c>
      <c r="O295">
        <v>2290000</v>
      </c>
      <c r="P295" t="s">
        <v>4302</v>
      </c>
      <c r="Q295" t="s">
        <v>4303</v>
      </c>
      <c r="R295" t="s">
        <v>4304</v>
      </c>
      <c r="S295" t="s">
        <v>4305</v>
      </c>
      <c r="T295" t="s">
        <v>196</v>
      </c>
      <c r="U295" t="s">
        <v>4306</v>
      </c>
      <c r="V295" t="s">
        <v>696</v>
      </c>
      <c r="W295" t="s">
        <v>53</v>
      </c>
      <c r="X295" s="1">
        <v>45224</v>
      </c>
      <c r="Y295" t="s">
        <v>4026</v>
      </c>
      <c r="Z295" t="s">
        <v>811</v>
      </c>
      <c r="AA295" t="s">
        <v>4307</v>
      </c>
      <c r="AB295">
        <v>5</v>
      </c>
      <c r="AC295" t="s">
        <v>540</v>
      </c>
      <c r="AD295" t="s">
        <v>4308</v>
      </c>
      <c r="AE295" t="s">
        <v>4309</v>
      </c>
      <c r="AF295" t="s">
        <v>155</v>
      </c>
      <c r="AG295">
        <v>2061000</v>
      </c>
      <c r="AH295" s="13">
        <v>36068</v>
      </c>
      <c r="AL295" t="s">
        <v>6183</v>
      </c>
      <c r="AM295" s="13">
        <v>36068</v>
      </c>
      <c r="AN295" s="16">
        <f>Table9[[#This Row],[Premium]]-Table9[[#This Row],[Tms prem]]</f>
        <v>0</v>
      </c>
    </row>
    <row r="296" spans="1:40" x14ac:dyDescent="0.25">
      <c r="A296">
        <v>335</v>
      </c>
      <c r="B296" t="s">
        <v>37</v>
      </c>
      <c r="C296" t="s">
        <v>4310</v>
      </c>
      <c r="D296" t="s">
        <v>39</v>
      </c>
      <c r="E296" t="s">
        <v>40</v>
      </c>
      <c r="F296" t="s">
        <v>4311</v>
      </c>
      <c r="G296" t="s">
        <v>4312</v>
      </c>
      <c r="H296" t="s">
        <v>4313</v>
      </c>
      <c r="I296" t="s">
        <v>4314</v>
      </c>
      <c r="J296" t="s">
        <v>48</v>
      </c>
      <c r="K296" t="s">
        <v>4315</v>
      </c>
      <c r="L296" t="s">
        <v>48</v>
      </c>
      <c r="M296" t="s">
        <v>4316</v>
      </c>
      <c r="N296">
        <v>634746</v>
      </c>
      <c r="O296">
        <v>1610000</v>
      </c>
      <c r="P296" t="s">
        <v>4317</v>
      </c>
      <c r="Q296" s="1">
        <v>45593</v>
      </c>
      <c r="R296" t="s">
        <v>4318</v>
      </c>
      <c r="S296" t="s">
        <v>4319</v>
      </c>
      <c r="T296" t="s">
        <v>51</v>
      </c>
      <c r="U296" t="s">
        <v>48</v>
      </c>
      <c r="V296" t="s">
        <v>364</v>
      </c>
      <c r="W296" t="s">
        <v>53</v>
      </c>
      <c r="X296" t="s">
        <v>3136</v>
      </c>
      <c r="Y296" t="s">
        <v>152</v>
      </c>
      <c r="Z296" t="s">
        <v>153</v>
      </c>
      <c r="AA296" t="s">
        <v>4320</v>
      </c>
      <c r="AB296">
        <v>5</v>
      </c>
      <c r="AC296" t="s">
        <v>78</v>
      </c>
      <c r="AD296" t="s">
        <v>4321</v>
      </c>
      <c r="AE296" t="s">
        <v>1885</v>
      </c>
      <c r="AF296" t="s">
        <v>61</v>
      </c>
      <c r="AG296">
        <v>1288000</v>
      </c>
      <c r="AH296" s="13">
        <v>25760</v>
      </c>
      <c r="AL296" t="s">
        <v>6184</v>
      </c>
      <c r="AM296" s="13">
        <v>25760</v>
      </c>
      <c r="AN296" s="16">
        <f>Table9[[#This Row],[Premium]]-Table9[[#This Row],[Tms prem]]</f>
        <v>0</v>
      </c>
    </row>
    <row r="297" spans="1:40" x14ac:dyDescent="0.25">
      <c r="A297">
        <v>336</v>
      </c>
      <c r="B297" t="s">
        <v>37</v>
      </c>
      <c r="C297" t="s">
        <v>4322</v>
      </c>
      <c r="D297" t="s">
        <v>39</v>
      </c>
      <c r="E297" t="s">
        <v>40</v>
      </c>
      <c r="F297" t="s">
        <v>3565</v>
      </c>
      <c r="G297" t="s">
        <v>4323</v>
      </c>
      <c r="H297" t="s">
        <v>43</v>
      </c>
      <c r="I297" t="s">
        <v>4324</v>
      </c>
      <c r="J297" t="s">
        <v>48</v>
      </c>
      <c r="K297" t="s">
        <v>4325</v>
      </c>
      <c r="L297" t="s">
        <v>48</v>
      </c>
      <c r="M297" t="s">
        <v>4326</v>
      </c>
      <c r="N297">
        <v>1007767</v>
      </c>
      <c r="O297">
        <v>2600000</v>
      </c>
      <c r="P297" t="s">
        <v>4327</v>
      </c>
      <c r="Q297" t="s">
        <v>4303</v>
      </c>
      <c r="R297" t="s">
        <v>4328</v>
      </c>
      <c r="S297" t="s">
        <v>4329</v>
      </c>
      <c r="T297" t="s">
        <v>196</v>
      </c>
      <c r="U297" t="s">
        <v>4330</v>
      </c>
      <c r="V297" t="s">
        <v>4331</v>
      </c>
      <c r="W297" t="s">
        <v>552</v>
      </c>
      <c r="X297" s="1">
        <v>45225</v>
      </c>
      <c r="Y297" t="s">
        <v>4026</v>
      </c>
      <c r="Z297" t="s">
        <v>1363</v>
      </c>
      <c r="AA297" t="s">
        <v>4332</v>
      </c>
      <c r="AB297">
        <v>2</v>
      </c>
      <c r="AC297" t="s">
        <v>540</v>
      </c>
      <c r="AD297" t="s">
        <v>4333</v>
      </c>
      <c r="AE297" t="s">
        <v>4309</v>
      </c>
      <c r="AF297" t="s">
        <v>155</v>
      </c>
      <c r="AG297">
        <v>2340000</v>
      </c>
      <c r="AH297" s="13">
        <v>40950</v>
      </c>
      <c r="AL297" t="s">
        <v>6185</v>
      </c>
      <c r="AM297" s="13">
        <v>40950</v>
      </c>
      <c r="AN297" s="16">
        <f>Table9[[#This Row],[Premium]]-Table9[[#This Row],[Tms prem]]</f>
        <v>0</v>
      </c>
    </row>
    <row r="298" spans="1:40" x14ac:dyDescent="0.25">
      <c r="A298">
        <v>337</v>
      </c>
      <c r="B298" t="s">
        <v>37</v>
      </c>
      <c r="C298" t="s">
        <v>4334</v>
      </c>
      <c r="D298" t="s">
        <v>39</v>
      </c>
      <c r="E298" t="s">
        <v>40</v>
      </c>
      <c r="F298" t="s">
        <v>703</v>
      </c>
      <c r="G298" t="s">
        <v>4335</v>
      </c>
      <c r="H298" t="s">
        <v>422</v>
      </c>
      <c r="I298" t="s">
        <v>4336</v>
      </c>
      <c r="J298" t="s">
        <v>48</v>
      </c>
      <c r="K298" t="s">
        <v>4337</v>
      </c>
      <c r="L298" t="s">
        <v>48</v>
      </c>
      <c r="M298" t="s">
        <v>4338</v>
      </c>
      <c r="N298">
        <v>605095</v>
      </c>
      <c r="O298">
        <v>1533000</v>
      </c>
      <c r="P298" t="s">
        <v>4339</v>
      </c>
      <c r="Q298" s="1">
        <v>45593</v>
      </c>
      <c r="R298" t="s">
        <v>4340</v>
      </c>
      <c r="S298" t="s">
        <v>4341</v>
      </c>
      <c r="T298" t="s">
        <v>51</v>
      </c>
      <c r="U298" t="s">
        <v>48</v>
      </c>
      <c r="V298" t="s">
        <v>106</v>
      </c>
      <c r="W298" t="s">
        <v>53</v>
      </c>
      <c r="X298" t="s">
        <v>390</v>
      </c>
      <c r="Y298" t="s">
        <v>152</v>
      </c>
      <c r="Z298" t="s">
        <v>153</v>
      </c>
      <c r="AA298" t="s">
        <v>4342</v>
      </c>
      <c r="AB298">
        <v>5</v>
      </c>
      <c r="AC298" t="s">
        <v>78</v>
      </c>
      <c r="AD298" t="s">
        <v>4343</v>
      </c>
      <c r="AE298" t="s">
        <v>1430</v>
      </c>
      <c r="AF298" t="s">
        <v>61</v>
      </c>
      <c r="AG298">
        <v>1226400</v>
      </c>
      <c r="AH298" s="13">
        <v>24528</v>
      </c>
      <c r="AL298" t="s">
        <v>6186</v>
      </c>
      <c r="AM298" s="13">
        <v>24528</v>
      </c>
      <c r="AN298" s="16">
        <f>Table9[[#This Row],[Premium]]-Table9[[#This Row],[Tms prem]]</f>
        <v>0</v>
      </c>
    </row>
    <row r="299" spans="1:40" x14ac:dyDescent="0.25">
      <c r="A299">
        <v>338</v>
      </c>
      <c r="B299" t="s">
        <v>37</v>
      </c>
      <c r="C299" t="s">
        <v>4344</v>
      </c>
      <c r="D299" t="s">
        <v>39</v>
      </c>
      <c r="E299" t="s">
        <v>40</v>
      </c>
      <c r="F299" t="s">
        <v>354</v>
      </c>
      <c r="G299" t="s">
        <v>4345</v>
      </c>
      <c r="H299" t="s">
        <v>43</v>
      </c>
      <c r="I299" t="s">
        <v>4346</v>
      </c>
      <c r="J299" t="s">
        <v>4347</v>
      </c>
      <c r="K299" t="s">
        <v>4348</v>
      </c>
      <c r="L299" t="s">
        <v>4347</v>
      </c>
      <c r="M299" t="s">
        <v>4349</v>
      </c>
      <c r="N299">
        <v>961652</v>
      </c>
      <c r="O299">
        <v>1610000</v>
      </c>
      <c r="P299" t="s">
        <v>4350</v>
      </c>
      <c r="Q299" s="1">
        <v>45592</v>
      </c>
      <c r="R299" t="s">
        <v>4351</v>
      </c>
      <c r="S299" t="s">
        <v>4352</v>
      </c>
      <c r="T299" t="s">
        <v>51</v>
      </c>
      <c r="U299" t="s">
        <v>48</v>
      </c>
      <c r="V299" t="s">
        <v>364</v>
      </c>
      <c r="W299" t="s">
        <v>53</v>
      </c>
      <c r="X299" t="s">
        <v>3136</v>
      </c>
      <c r="Y299" t="s">
        <v>152</v>
      </c>
      <c r="Z299" t="s">
        <v>1156</v>
      </c>
      <c r="AA299" t="s">
        <v>4353</v>
      </c>
      <c r="AB299">
        <v>7</v>
      </c>
      <c r="AC299" t="s">
        <v>78</v>
      </c>
      <c r="AD299" t="s">
        <v>4354</v>
      </c>
      <c r="AE299" t="s">
        <v>4087</v>
      </c>
      <c r="AF299" t="s">
        <v>61</v>
      </c>
      <c r="AG299">
        <v>1288000</v>
      </c>
      <c r="AH299" s="13">
        <v>25760</v>
      </c>
      <c r="AL299" t="s">
        <v>6187</v>
      </c>
      <c r="AM299" s="13">
        <v>25760</v>
      </c>
      <c r="AN299" s="16">
        <f>Table9[[#This Row],[Premium]]-Table9[[#This Row],[Tms prem]]</f>
        <v>0</v>
      </c>
    </row>
    <row r="300" spans="1:40" x14ac:dyDescent="0.25">
      <c r="A300">
        <v>339</v>
      </c>
      <c r="B300" t="s">
        <v>37</v>
      </c>
      <c r="C300" t="s">
        <v>4355</v>
      </c>
      <c r="D300" t="s">
        <v>39</v>
      </c>
      <c r="E300" t="s">
        <v>40</v>
      </c>
      <c r="F300" t="s">
        <v>1401</v>
      </c>
      <c r="G300" t="s">
        <v>4356</v>
      </c>
      <c r="H300" t="s">
        <v>188</v>
      </c>
      <c r="I300" t="s">
        <v>4357</v>
      </c>
      <c r="J300" t="s">
        <v>4358</v>
      </c>
      <c r="K300" t="s">
        <v>4358</v>
      </c>
      <c r="L300" t="s">
        <v>438</v>
      </c>
      <c r="M300" t="s">
        <v>4359</v>
      </c>
      <c r="N300">
        <v>1518673</v>
      </c>
      <c r="O300">
        <v>4280000</v>
      </c>
      <c r="P300" t="s">
        <v>4360</v>
      </c>
      <c r="Q300" s="1">
        <v>45592</v>
      </c>
      <c r="R300" t="s">
        <v>4361</v>
      </c>
      <c r="S300" t="s">
        <v>4362</v>
      </c>
      <c r="T300" t="s">
        <v>196</v>
      </c>
      <c r="U300" t="s">
        <v>4363</v>
      </c>
      <c r="V300" t="s">
        <v>551</v>
      </c>
      <c r="W300" t="s">
        <v>53</v>
      </c>
      <c r="X300" t="s">
        <v>2995</v>
      </c>
      <c r="Y300" t="s">
        <v>2996</v>
      </c>
      <c r="Z300" t="s">
        <v>1518</v>
      </c>
      <c r="AA300" t="s">
        <v>4364</v>
      </c>
      <c r="AB300">
        <v>3</v>
      </c>
      <c r="AC300" t="s">
        <v>556</v>
      </c>
      <c r="AD300" t="s">
        <v>4365</v>
      </c>
      <c r="AE300" t="s">
        <v>2995</v>
      </c>
      <c r="AF300" t="s">
        <v>155</v>
      </c>
      <c r="AG300">
        <v>3638000</v>
      </c>
      <c r="AH300" s="13">
        <v>63665</v>
      </c>
      <c r="AL300" t="s">
        <v>6188</v>
      </c>
      <c r="AM300" s="13">
        <v>63665</v>
      </c>
      <c r="AN300" s="16">
        <f>Table9[[#This Row],[Premium]]-Table9[[#This Row],[Tms prem]]</f>
        <v>0</v>
      </c>
    </row>
    <row r="301" spans="1:40" x14ac:dyDescent="0.25">
      <c r="A301">
        <v>340</v>
      </c>
      <c r="B301" t="s">
        <v>37</v>
      </c>
      <c r="C301" t="s">
        <v>4366</v>
      </c>
      <c r="D301" t="s">
        <v>39</v>
      </c>
      <c r="E301" t="s">
        <v>40</v>
      </c>
      <c r="F301" t="s">
        <v>63</v>
      </c>
      <c r="G301" t="s">
        <v>4367</v>
      </c>
      <c r="H301" t="s">
        <v>83</v>
      </c>
      <c r="I301" t="s">
        <v>4368</v>
      </c>
      <c r="J301" t="s">
        <v>4369</v>
      </c>
      <c r="K301" t="s">
        <v>4369</v>
      </c>
      <c r="L301" t="s">
        <v>4369</v>
      </c>
      <c r="M301" t="s">
        <v>4370</v>
      </c>
      <c r="N301">
        <v>1131049</v>
      </c>
      <c r="O301">
        <v>1951000</v>
      </c>
      <c r="P301" t="s">
        <v>4371</v>
      </c>
      <c r="Q301" s="1">
        <v>45592</v>
      </c>
      <c r="R301" t="s">
        <v>4372</v>
      </c>
      <c r="S301" t="s">
        <v>4373</v>
      </c>
      <c r="T301" t="s">
        <v>51</v>
      </c>
      <c r="U301" t="s">
        <v>48</v>
      </c>
      <c r="V301" t="s">
        <v>106</v>
      </c>
      <c r="W301" t="s">
        <v>552</v>
      </c>
      <c r="X301" t="s">
        <v>4374</v>
      </c>
      <c r="Y301" t="s">
        <v>2996</v>
      </c>
      <c r="Z301" t="s">
        <v>824</v>
      </c>
      <c r="AA301" t="s">
        <v>4375</v>
      </c>
      <c r="AB301">
        <v>5</v>
      </c>
      <c r="AC301" t="s">
        <v>556</v>
      </c>
      <c r="AD301" t="s">
        <v>4376</v>
      </c>
      <c r="AE301" t="s">
        <v>3848</v>
      </c>
      <c r="AF301" t="s">
        <v>61</v>
      </c>
      <c r="AG301">
        <v>1658350</v>
      </c>
      <c r="AH301" s="13">
        <v>33167</v>
      </c>
      <c r="AL301" t="s">
        <v>6189</v>
      </c>
      <c r="AM301" s="13">
        <v>33167</v>
      </c>
      <c r="AN301" s="16">
        <f>Table9[[#This Row],[Premium]]-Table9[[#This Row],[Tms prem]]</f>
        <v>0</v>
      </c>
    </row>
    <row r="302" spans="1:40" x14ac:dyDescent="0.25">
      <c r="A302">
        <v>341</v>
      </c>
      <c r="B302" t="s">
        <v>184</v>
      </c>
      <c r="C302" t="s">
        <v>4377</v>
      </c>
      <c r="D302" t="s">
        <v>39</v>
      </c>
      <c r="E302" t="s">
        <v>40</v>
      </c>
      <c r="F302" t="s">
        <v>4378</v>
      </c>
      <c r="G302" t="s">
        <v>4379</v>
      </c>
      <c r="H302" t="s">
        <v>4380</v>
      </c>
      <c r="I302" t="s">
        <v>4381</v>
      </c>
      <c r="J302" t="s">
        <v>48</v>
      </c>
      <c r="K302" t="s">
        <v>4382</v>
      </c>
      <c r="L302" t="s">
        <v>48</v>
      </c>
      <c r="M302" t="s">
        <v>4383</v>
      </c>
      <c r="N302">
        <v>485275</v>
      </c>
      <c r="O302">
        <v>1049000</v>
      </c>
      <c r="P302" t="s">
        <v>4384</v>
      </c>
      <c r="Q302" s="1">
        <v>45589</v>
      </c>
      <c r="R302" t="s">
        <v>4385</v>
      </c>
      <c r="S302" t="s">
        <v>4386</v>
      </c>
      <c r="T302" t="s">
        <v>51</v>
      </c>
      <c r="U302" t="s">
        <v>48</v>
      </c>
      <c r="V302" t="s">
        <v>1678</v>
      </c>
      <c r="W302" t="s">
        <v>53</v>
      </c>
      <c r="X302" t="s">
        <v>92</v>
      </c>
      <c r="Y302" t="s">
        <v>92</v>
      </c>
      <c r="Z302" t="s">
        <v>93</v>
      </c>
      <c r="AA302" t="s">
        <v>4387</v>
      </c>
      <c r="AB302">
        <v>5</v>
      </c>
      <c r="AC302" t="s">
        <v>58</v>
      </c>
      <c r="AD302" t="s">
        <v>1219</v>
      </c>
      <c r="AE302" t="s">
        <v>1430</v>
      </c>
      <c r="AF302" t="s">
        <v>61</v>
      </c>
      <c r="AG302">
        <v>839200</v>
      </c>
      <c r="AH302" s="13">
        <v>16784</v>
      </c>
      <c r="AL302" t="s">
        <v>6190</v>
      </c>
      <c r="AM302" s="13">
        <v>16784</v>
      </c>
      <c r="AN302" s="16">
        <f>Table9[[#This Row],[Premium]]-Table9[[#This Row],[Tms prem]]</f>
        <v>0</v>
      </c>
    </row>
    <row r="303" spans="1:40" x14ac:dyDescent="0.25">
      <c r="A303">
        <v>342</v>
      </c>
      <c r="B303" t="s">
        <v>37</v>
      </c>
      <c r="C303" t="s">
        <v>4388</v>
      </c>
      <c r="D303" t="s">
        <v>39</v>
      </c>
      <c r="E303" t="s">
        <v>40</v>
      </c>
      <c r="F303" t="s">
        <v>4389</v>
      </c>
      <c r="G303" t="s">
        <v>4390</v>
      </c>
      <c r="H303" t="s">
        <v>83</v>
      </c>
      <c r="I303" t="s">
        <v>4391</v>
      </c>
      <c r="J303" t="s">
        <v>4392</v>
      </c>
      <c r="K303" t="s">
        <v>4393</v>
      </c>
      <c r="L303" t="s">
        <v>48</v>
      </c>
      <c r="M303" t="s">
        <v>4394</v>
      </c>
      <c r="N303">
        <v>2164447</v>
      </c>
      <c r="O303">
        <v>5490000</v>
      </c>
      <c r="P303" t="s">
        <v>4395</v>
      </c>
      <c r="Q303" s="1">
        <v>45592</v>
      </c>
      <c r="R303" t="s">
        <v>4396</v>
      </c>
      <c r="S303" t="s">
        <v>4397</v>
      </c>
      <c r="T303" t="s">
        <v>51</v>
      </c>
      <c r="U303" t="s">
        <v>48</v>
      </c>
      <c r="V303" t="s">
        <v>982</v>
      </c>
      <c r="W303" t="s">
        <v>53</v>
      </c>
      <c r="X303" t="s">
        <v>4398</v>
      </c>
      <c r="Y303" t="s">
        <v>152</v>
      </c>
      <c r="Z303" t="s">
        <v>153</v>
      </c>
      <c r="AA303" t="s">
        <v>4399</v>
      </c>
      <c r="AB303">
        <v>5</v>
      </c>
      <c r="AC303" t="s">
        <v>78</v>
      </c>
      <c r="AD303" t="s">
        <v>4400</v>
      </c>
      <c r="AE303" t="s">
        <v>1885</v>
      </c>
      <c r="AF303" t="s">
        <v>61</v>
      </c>
      <c r="AG303">
        <v>4392000</v>
      </c>
      <c r="AH303" s="13">
        <v>87840</v>
      </c>
      <c r="AL303" t="s">
        <v>6191</v>
      </c>
      <c r="AM303" s="13">
        <v>87840</v>
      </c>
      <c r="AN303" s="16">
        <f>Table9[[#This Row],[Premium]]-Table9[[#This Row],[Tms prem]]</f>
        <v>0</v>
      </c>
    </row>
    <row r="304" spans="1:40" x14ac:dyDescent="0.25">
      <c r="A304">
        <v>343</v>
      </c>
      <c r="B304" t="s">
        <v>37</v>
      </c>
      <c r="C304" t="s">
        <v>4401</v>
      </c>
      <c r="D304" t="s">
        <v>39</v>
      </c>
      <c r="E304" t="s">
        <v>40</v>
      </c>
      <c r="F304" t="s">
        <v>4147</v>
      </c>
      <c r="G304" t="s">
        <v>4402</v>
      </c>
      <c r="H304" t="s">
        <v>65</v>
      </c>
      <c r="I304" t="s">
        <v>4403</v>
      </c>
      <c r="J304" t="s">
        <v>4404</v>
      </c>
      <c r="K304" t="s">
        <v>48</v>
      </c>
      <c r="L304" t="s">
        <v>4405</v>
      </c>
      <c r="M304" t="s">
        <v>4406</v>
      </c>
      <c r="N304">
        <v>472657</v>
      </c>
      <c r="O304">
        <v>1049000</v>
      </c>
      <c r="P304" t="s">
        <v>4407</v>
      </c>
      <c r="Q304" s="1">
        <v>45590</v>
      </c>
      <c r="R304" t="s">
        <v>4408</v>
      </c>
      <c r="S304" t="s">
        <v>4409</v>
      </c>
      <c r="T304" t="s">
        <v>51</v>
      </c>
      <c r="U304" t="s">
        <v>48</v>
      </c>
      <c r="V304" t="s">
        <v>4410</v>
      </c>
      <c r="W304" t="s">
        <v>53</v>
      </c>
      <c r="X304" t="s">
        <v>4087</v>
      </c>
      <c r="Y304" t="s">
        <v>152</v>
      </c>
      <c r="Z304" t="s">
        <v>153</v>
      </c>
      <c r="AA304" t="s">
        <v>4411</v>
      </c>
      <c r="AB304">
        <v>5</v>
      </c>
      <c r="AC304" t="s">
        <v>78</v>
      </c>
      <c r="AD304" t="s">
        <v>4412</v>
      </c>
      <c r="AE304" t="s">
        <v>92</v>
      </c>
      <c r="AF304" t="s">
        <v>61</v>
      </c>
      <c r="AG304">
        <v>839200</v>
      </c>
      <c r="AH304" s="13">
        <v>16784</v>
      </c>
      <c r="AL304" t="s">
        <v>6192</v>
      </c>
      <c r="AM304" s="13">
        <v>16784</v>
      </c>
      <c r="AN304" s="16">
        <f>Table9[[#This Row],[Premium]]-Table9[[#This Row],[Tms prem]]</f>
        <v>0</v>
      </c>
    </row>
    <row r="305" spans="1:40" x14ac:dyDescent="0.25">
      <c r="A305">
        <v>344</v>
      </c>
      <c r="B305" t="s">
        <v>37</v>
      </c>
      <c r="C305" t="s">
        <v>4413</v>
      </c>
      <c r="D305" t="s">
        <v>39</v>
      </c>
      <c r="E305" t="s">
        <v>40</v>
      </c>
      <c r="F305" t="s">
        <v>1044</v>
      </c>
      <c r="G305" t="s">
        <v>2000</v>
      </c>
      <c r="H305" t="s">
        <v>43</v>
      </c>
      <c r="I305" t="s">
        <v>4414</v>
      </c>
      <c r="J305" t="s">
        <v>4415</v>
      </c>
      <c r="K305" t="s">
        <v>4416</v>
      </c>
      <c r="L305" t="s">
        <v>4415</v>
      </c>
      <c r="M305" t="s">
        <v>4417</v>
      </c>
      <c r="N305">
        <v>528339</v>
      </c>
      <c r="O305">
        <v>1335000</v>
      </c>
      <c r="P305" t="s">
        <v>4418</v>
      </c>
      <c r="Q305" s="1">
        <v>45590</v>
      </c>
      <c r="R305" t="s">
        <v>4419</v>
      </c>
      <c r="S305" t="s">
        <v>4420</v>
      </c>
      <c r="T305" t="s">
        <v>51</v>
      </c>
      <c r="U305" t="s">
        <v>48</v>
      </c>
      <c r="V305" t="s">
        <v>696</v>
      </c>
      <c r="W305" t="s">
        <v>53</v>
      </c>
      <c r="X305" t="s">
        <v>1885</v>
      </c>
      <c r="Y305" t="s">
        <v>152</v>
      </c>
      <c r="Z305" t="s">
        <v>153</v>
      </c>
      <c r="AA305" t="s">
        <v>4421</v>
      </c>
      <c r="AB305">
        <v>5</v>
      </c>
      <c r="AC305" t="s">
        <v>78</v>
      </c>
      <c r="AD305" t="s">
        <v>4422</v>
      </c>
      <c r="AE305" t="s">
        <v>4087</v>
      </c>
      <c r="AF305" t="s">
        <v>61</v>
      </c>
      <c r="AG305">
        <v>1068000</v>
      </c>
      <c r="AH305" s="13">
        <v>21360</v>
      </c>
      <c r="AL305" t="s">
        <v>6193</v>
      </c>
      <c r="AM305" s="13">
        <v>21360</v>
      </c>
      <c r="AN305" s="16">
        <f>Table9[[#This Row],[Premium]]-Table9[[#This Row],[Tms prem]]</f>
        <v>0</v>
      </c>
    </row>
    <row r="306" spans="1:40" x14ac:dyDescent="0.25">
      <c r="A306">
        <v>346</v>
      </c>
      <c r="B306" t="s">
        <v>37</v>
      </c>
      <c r="C306" t="s">
        <v>4435</v>
      </c>
      <c r="D306" t="s">
        <v>39</v>
      </c>
      <c r="E306" t="s">
        <v>40</v>
      </c>
      <c r="F306" t="s">
        <v>41</v>
      </c>
      <c r="G306" t="s">
        <v>271</v>
      </c>
      <c r="H306" t="s">
        <v>43</v>
      </c>
      <c r="I306" t="s">
        <v>4436</v>
      </c>
      <c r="J306" t="s">
        <v>4437</v>
      </c>
      <c r="K306" t="s">
        <v>4438</v>
      </c>
      <c r="L306" t="s">
        <v>4437</v>
      </c>
      <c r="M306" t="s">
        <v>4439</v>
      </c>
      <c r="N306">
        <v>1143737</v>
      </c>
      <c r="O306">
        <v>2703000</v>
      </c>
      <c r="P306" t="s">
        <v>4440</v>
      </c>
      <c r="Q306" s="1">
        <v>45592</v>
      </c>
      <c r="R306" t="s">
        <v>4441</v>
      </c>
      <c r="S306" t="s">
        <v>4442</v>
      </c>
      <c r="T306" t="s">
        <v>51</v>
      </c>
      <c r="U306" t="s">
        <v>48</v>
      </c>
      <c r="V306" t="s">
        <v>1305</v>
      </c>
      <c r="W306" t="s">
        <v>53</v>
      </c>
      <c r="X306" t="s">
        <v>641</v>
      </c>
      <c r="Y306" t="s">
        <v>152</v>
      </c>
      <c r="Z306" t="s">
        <v>153</v>
      </c>
      <c r="AA306" t="s">
        <v>4443</v>
      </c>
      <c r="AB306">
        <v>5</v>
      </c>
      <c r="AC306" t="s">
        <v>78</v>
      </c>
      <c r="AD306" t="s">
        <v>4444</v>
      </c>
      <c r="AE306" t="s">
        <v>1885</v>
      </c>
      <c r="AF306" t="s">
        <v>61</v>
      </c>
      <c r="AG306">
        <v>2162400</v>
      </c>
      <c r="AH306" s="13">
        <v>43248</v>
      </c>
      <c r="AL306" t="s">
        <v>6194</v>
      </c>
      <c r="AM306" s="13">
        <v>43248</v>
      </c>
      <c r="AN306" s="16">
        <f>Table9[[#This Row],[Premium]]-Table9[[#This Row],[Tms prem]]</f>
        <v>0</v>
      </c>
    </row>
    <row r="307" spans="1:40" x14ac:dyDescent="0.25">
      <c r="A307">
        <v>347</v>
      </c>
      <c r="B307" t="s">
        <v>37</v>
      </c>
      <c r="C307" t="s">
        <v>4445</v>
      </c>
      <c r="D307" t="s">
        <v>39</v>
      </c>
      <c r="E307" t="s">
        <v>40</v>
      </c>
      <c r="F307" t="s">
        <v>4446</v>
      </c>
      <c r="G307" t="s">
        <v>4447</v>
      </c>
      <c r="H307" t="s">
        <v>83</v>
      </c>
      <c r="I307" t="s">
        <v>4448</v>
      </c>
      <c r="J307" t="s">
        <v>4449</v>
      </c>
      <c r="K307" t="s">
        <v>4449</v>
      </c>
      <c r="L307" t="s">
        <v>4449</v>
      </c>
      <c r="M307" t="s">
        <v>4450</v>
      </c>
      <c r="N307">
        <v>924869</v>
      </c>
      <c r="O307">
        <v>3899000</v>
      </c>
      <c r="P307" t="s">
        <v>4451</v>
      </c>
      <c r="Q307" s="1">
        <v>45592</v>
      </c>
      <c r="R307" t="s">
        <v>4452</v>
      </c>
      <c r="S307" t="s">
        <v>4453</v>
      </c>
      <c r="T307" t="s">
        <v>51</v>
      </c>
      <c r="U307" t="s">
        <v>48</v>
      </c>
      <c r="V307" t="s">
        <v>4454</v>
      </c>
      <c r="W307" t="s">
        <v>53</v>
      </c>
      <c r="X307" t="s">
        <v>199</v>
      </c>
      <c r="Y307" t="s">
        <v>152</v>
      </c>
      <c r="Z307" t="s">
        <v>153</v>
      </c>
      <c r="AA307" t="s">
        <v>4455</v>
      </c>
      <c r="AB307">
        <v>5</v>
      </c>
      <c r="AC307" t="s">
        <v>78</v>
      </c>
      <c r="AD307" t="s">
        <v>4456</v>
      </c>
      <c r="AE307" t="s">
        <v>92</v>
      </c>
      <c r="AF307" t="s">
        <v>61</v>
      </c>
      <c r="AG307">
        <v>3119200</v>
      </c>
      <c r="AH307" s="13">
        <v>62384</v>
      </c>
      <c r="AL307" t="s">
        <v>6195</v>
      </c>
      <c r="AM307" s="13">
        <v>62384</v>
      </c>
      <c r="AN307" s="16">
        <f>Table9[[#This Row],[Premium]]-Table9[[#This Row],[Tms prem]]</f>
        <v>0</v>
      </c>
    </row>
    <row r="308" spans="1:40" x14ac:dyDescent="0.25">
      <c r="A308">
        <v>348</v>
      </c>
      <c r="B308" t="s">
        <v>37</v>
      </c>
      <c r="C308" t="s">
        <v>4457</v>
      </c>
      <c r="D308" t="s">
        <v>39</v>
      </c>
      <c r="E308" t="s">
        <v>40</v>
      </c>
      <c r="F308" t="s">
        <v>1708</v>
      </c>
      <c r="G308" t="s">
        <v>4458</v>
      </c>
      <c r="H308" t="s">
        <v>65</v>
      </c>
      <c r="I308" t="s">
        <v>4459</v>
      </c>
      <c r="J308" t="s">
        <v>48</v>
      </c>
      <c r="K308" t="s">
        <v>4460</v>
      </c>
      <c r="L308" t="s">
        <v>48</v>
      </c>
      <c r="M308" t="s">
        <v>4461</v>
      </c>
      <c r="N308">
        <v>827928</v>
      </c>
      <c r="O308">
        <v>2100000</v>
      </c>
      <c r="P308" t="s">
        <v>4462</v>
      </c>
      <c r="Q308" s="1">
        <v>45592</v>
      </c>
      <c r="R308" t="s">
        <v>4463</v>
      </c>
      <c r="S308" t="s">
        <v>4464</v>
      </c>
      <c r="T308" t="s">
        <v>196</v>
      </c>
      <c r="U308" t="s">
        <v>4465</v>
      </c>
      <c r="V308" t="s">
        <v>4466</v>
      </c>
      <c r="W308" t="s">
        <v>1719</v>
      </c>
      <c r="X308" t="s">
        <v>3136</v>
      </c>
      <c r="Y308" t="s">
        <v>152</v>
      </c>
      <c r="Z308" t="s">
        <v>153</v>
      </c>
      <c r="AA308" t="s">
        <v>4467</v>
      </c>
      <c r="AB308">
        <v>5</v>
      </c>
      <c r="AC308" t="s">
        <v>78</v>
      </c>
      <c r="AD308" t="s">
        <v>4468</v>
      </c>
      <c r="AE308" t="s">
        <v>4087</v>
      </c>
      <c r="AF308" t="s">
        <v>61</v>
      </c>
      <c r="AG308">
        <v>1680000</v>
      </c>
      <c r="AH308" s="13">
        <v>33600</v>
      </c>
      <c r="AL308" t="s">
        <v>6196</v>
      </c>
      <c r="AM308" s="13">
        <v>33600</v>
      </c>
      <c r="AN308" s="16">
        <f>Table9[[#This Row],[Premium]]-Table9[[#This Row],[Tms prem]]</f>
        <v>0</v>
      </c>
    </row>
    <row r="309" spans="1:40" x14ac:dyDescent="0.25">
      <c r="A309">
        <v>349</v>
      </c>
      <c r="B309" t="s">
        <v>37</v>
      </c>
      <c r="C309" t="s">
        <v>4469</v>
      </c>
      <c r="D309" t="s">
        <v>39</v>
      </c>
      <c r="E309" t="s">
        <v>40</v>
      </c>
      <c r="F309" t="s">
        <v>4470</v>
      </c>
      <c r="G309" t="s">
        <v>4471</v>
      </c>
      <c r="H309" t="s">
        <v>188</v>
      </c>
      <c r="I309" t="s">
        <v>4472</v>
      </c>
      <c r="J309" t="s">
        <v>48</v>
      </c>
      <c r="K309" t="s">
        <v>4473</v>
      </c>
      <c r="L309" t="s">
        <v>48</v>
      </c>
      <c r="M309" t="s">
        <v>4474</v>
      </c>
      <c r="N309">
        <v>801055</v>
      </c>
      <c r="O309">
        <v>1927000</v>
      </c>
      <c r="P309" t="s">
        <v>4475</v>
      </c>
      <c r="Q309" s="1">
        <v>45590</v>
      </c>
      <c r="R309" t="s">
        <v>4476</v>
      </c>
      <c r="S309" t="s">
        <v>4477</v>
      </c>
      <c r="T309" t="s">
        <v>51</v>
      </c>
      <c r="U309" t="s">
        <v>48</v>
      </c>
      <c r="V309" t="s">
        <v>3195</v>
      </c>
      <c r="W309" t="s">
        <v>53</v>
      </c>
      <c r="X309" t="s">
        <v>4478</v>
      </c>
      <c r="Y309" t="s">
        <v>152</v>
      </c>
      <c r="Z309" t="s">
        <v>153</v>
      </c>
      <c r="AA309" t="s">
        <v>4479</v>
      </c>
      <c r="AB309">
        <v>5</v>
      </c>
      <c r="AC309" t="s">
        <v>78</v>
      </c>
      <c r="AD309" t="s">
        <v>4480</v>
      </c>
      <c r="AE309" t="s">
        <v>92</v>
      </c>
      <c r="AF309" t="s">
        <v>61</v>
      </c>
      <c r="AG309">
        <v>1541600</v>
      </c>
      <c r="AH309" s="13">
        <v>30832</v>
      </c>
      <c r="AL309" t="s">
        <v>6197</v>
      </c>
      <c r="AM309" s="13">
        <v>30832</v>
      </c>
      <c r="AN309" s="16">
        <f>Table9[[#This Row],[Premium]]-Table9[[#This Row],[Tms prem]]</f>
        <v>0</v>
      </c>
    </row>
    <row r="310" spans="1:40" x14ac:dyDescent="0.25">
      <c r="A310">
        <v>350</v>
      </c>
      <c r="B310" t="s">
        <v>37</v>
      </c>
      <c r="C310" t="s">
        <v>4481</v>
      </c>
      <c r="D310" t="s">
        <v>39</v>
      </c>
      <c r="E310" t="s">
        <v>40</v>
      </c>
      <c r="F310" t="s">
        <v>63</v>
      </c>
      <c r="G310" t="s">
        <v>4482</v>
      </c>
      <c r="H310" t="s">
        <v>43</v>
      </c>
      <c r="I310" t="s">
        <v>4483</v>
      </c>
      <c r="J310" t="s">
        <v>4484</v>
      </c>
      <c r="K310" t="s">
        <v>4485</v>
      </c>
      <c r="L310" t="s">
        <v>4484</v>
      </c>
      <c r="M310" t="s">
        <v>4486</v>
      </c>
      <c r="N310">
        <v>864521</v>
      </c>
      <c r="O310">
        <v>1975000</v>
      </c>
      <c r="P310" t="s">
        <v>4487</v>
      </c>
      <c r="Q310" s="1">
        <v>45590</v>
      </c>
      <c r="R310" t="s">
        <v>4488</v>
      </c>
      <c r="S310" t="s">
        <v>4489</v>
      </c>
      <c r="T310" t="s">
        <v>51</v>
      </c>
      <c r="U310" t="s">
        <v>48</v>
      </c>
      <c r="V310" t="s">
        <v>4490</v>
      </c>
      <c r="W310" t="s">
        <v>53</v>
      </c>
      <c r="X310" t="s">
        <v>569</v>
      </c>
      <c r="Y310" t="s">
        <v>697</v>
      </c>
      <c r="Z310" t="s">
        <v>984</v>
      </c>
      <c r="AA310" t="s">
        <v>4491</v>
      </c>
      <c r="AB310">
        <v>5</v>
      </c>
      <c r="AC310" t="s">
        <v>58</v>
      </c>
      <c r="AD310" t="s">
        <v>4492</v>
      </c>
      <c r="AE310" t="s">
        <v>3374</v>
      </c>
      <c r="AF310" t="s">
        <v>61</v>
      </c>
      <c r="AG310">
        <v>1580000</v>
      </c>
      <c r="AH310" s="13">
        <v>31600</v>
      </c>
      <c r="AL310" t="s">
        <v>6198</v>
      </c>
      <c r="AM310" s="13">
        <v>31600</v>
      </c>
      <c r="AN310" s="16">
        <f>Table9[[#This Row],[Premium]]-Table9[[#This Row],[Tms prem]]</f>
        <v>0</v>
      </c>
    </row>
    <row r="311" spans="1:40" x14ac:dyDescent="0.25">
      <c r="A311">
        <v>351</v>
      </c>
      <c r="B311" t="s">
        <v>37</v>
      </c>
      <c r="C311" t="s">
        <v>4493</v>
      </c>
      <c r="D311" t="s">
        <v>39</v>
      </c>
      <c r="E311" t="s">
        <v>40</v>
      </c>
      <c r="F311" t="s">
        <v>2957</v>
      </c>
      <c r="G311" t="s">
        <v>4494</v>
      </c>
      <c r="H311" t="s">
        <v>188</v>
      </c>
      <c r="I311" t="s">
        <v>4495</v>
      </c>
      <c r="J311" t="s">
        <v>48</v>
      </c>
      <c r="K311" t="s">
        <v>4496</v>
      </c>
      <c r="L311" t="s">
        <v>48</v>
      </c>
      <c r="M311" t="s">
        <v>4497</v>
      </c>
      <c r="N311">
        <v>987236</v>
      </c>
      <c r="O311">
        <v>2905000</v>
      </c>
      <c r="P311" t="s">
        <v>4498</v>
      </c>
      <c r="Q311" s="1">
        <v>45590</v>
      </c>
      <c r="R311" t="s">
        <v>4499</v>
      </c>
      <c r="S311" t="s">
        <v>4500</v>
      </c>
      <c r="T311" t="s">
        <v>51</v>
      </c>
      <c r="U311" t="s">
        <v>48</v>
      </c>
      <c r="V311" t="s">
        <v>52</v>
      </c>
      <c r="W311" t="s">
        <v>53</v>
      </c>
      <c r="X311" t="s">
        <v>4501</v>
      </c>
      <c r="Y311" t="s">
        <v>92</v>
      </c>
      <c r="Z311" t="s">
        <v>93</v>
      </c>
      <c r="AA311" t="s">
        <v>4502</v>
      </c>
      <c r="AB311">
        <v>5</v>
      </c>
      <c r="AC311" t="s">
        <v>78</v>
      </c>
      <c r="AD311" t="s">
        <v>4503</v>
      </c>
      <c r="AE311" t="s">
        <v>92</v>
      </c>
      <c r="AF311" t="s">
        <v>61</v>
      </c>
      <c r="AG311">
        <v>2324000</v>
      </c>
      <c r="AH311" s="13">
        <v>46480</v>
      </c>
      <c r="AL311" t="s">
        <v>6199</v>
      </c>
      <c r="AM311" s="13">
        <v>46480</v>
      </c>
      <c r="AN311" s="16">
        <f>Table9[[#This Row],[Premium]]-Table9[[#This Row],[Tms prem]]</f>
        <v>0</v>
      </c>
    </row>
    <row r="312" spans="1:40" x14ac:dyDescent="0.25">
      <c r="A312">
        <v>353</v>
      </c>
      <c r="B312" t="s">
        <v>37</v>
      </c>
      <c r="C312" t="s">
        <v>4515</v>
      </c>
      <c r="D312" t="s">
        <v>39</v>
      </c>
      <c r="E312" t="s">
        <v>40</v>
      </c>
      <c r="F312" t="s">
        <v>63</v>
      </c>
      <c r="G312" t="s">
        <v>4516</v>
      </c>
      <c r="H312" t="s">
        <v>2641</v>
      </c>
      <c r="I312" t="s">
        <v>4517</v>
      </c>
      <c r="J312" t="s">
        <v>48</v>
      </c>
      <c r="K312" t="s">
        <v>4518</v>
      </c>
      <c r="L312" t="s">
        <v>48</v>
      </c>
      <c r="M312" t="s">
        <v>4519</v>
      </c>
      <c r="N312">
        <v>514595</v>
      </c>
      <c r="O312">
        <v>1521000</v>
      </c>
      <c r="P312" t="s">
        <v>4520</v>
      </c>
      <c r="Q312" s="1">
        <v>45592</v>
      </c>
      <c r="R312" t="s">
        <v>4521</v>
      </c>
      <c r="S312" t="s">
        <v>4522</v>
      </c>
      <c r="T312" t="s">
        <v>51</v>
      </c>
      <c r="U312" t="s">
        <v>48</v>
      </c>
      <c r="V312" t="s">
        <v>3135</v>
      </c>
      <c r="W312" t="s">
        <v>53</v>
      </c>
      <c r="X312" t="s">
        <v>522</v>
      </c>
      <c r="Y312" t="s">
        <v>152</v>
      </c>
      <c r="Z312" t="s">
        <v>153</v>
      </c>
      <c r="AA312" t="s">
        <v>4523</v>
      </c>
      <c r="AB312">
        <v>5</v>
      </c>
      <c r="AC312" t="s">
        <v>58</v>
      </c>
      <c r="AD312" t="s">
        <v>4524</v>
      </c>
      <c r="AE312" t="s">
        <v>4087</v>
      </c>
      <c r="AF312" t="s">
        <v>61</v>
      </c>
      <c r="AG312">
        <v>1216800</v>
      </c>
      <c r="AH312" s="13">
        <v>24336</v>
      </c>
      <c r="AL312" t="s">
        <v>6200</v>
      </c>
      <c r="AM312" s="13">
        <v>24336</v>
      </c>
      <c r="AN312" s="16">
        <f>Table9[[#This Row],[Premium]]-Table9[[#This Row],[Tms prem]]</f>
        <v>0</v>
      </c>
    </row>
    <row r="313" spans="1:40" x14ac:dyDescent="0.25">
      <c r="A313">
        <v>354</v>
      </c>
      <c r="B313" t="s">
        <v>37</v>
      </c>
      <c r="C313" t="s">
        <v>4525</v>
      </c>
      <c r="D313" t="s">
        <v>39</v>
      </c>
      <c r="E313" t="s">
        <v>40</v>
      </c>
      <c r="F313" t="s">
        <v>789</v>
      </c>
      <c r="G313" t="s">
        <v>4526</v>
      </c>
      <c r="H313" t="s">
        <v>83</v>
      </c>
      <c r="I313" t="s">
        <v>4527</v>
      </c>
      <c r="J313" t="s">
        <v>4528</v>
      </c>
      <c r="K313" t="s">
        <v>4528</v>
      </c>
      <c r="L313" t="s">
        <v>4528</v>
      </c>
      <c r="M313" t="s">
        <v>4529</v>
      </c>
      <c r="N313">
        <v>1148964</v>
      </c>
      <c r="O313">
        <v>2550000</v>
      </c>
      <c r="P313" t="s">
        <v>4530</v>
      </c>
      <c r="Q313" s="1">
        <v>45590</v>
      </c>
      <c r="R313" t="s">
        <v>4531</v>
      </c>
      <c r="S313" t="s">
        <v>4532</v>
      </c>
      <c r="T313" t="s">
        <v>196</v>
      </c>
      <c r="U313" t="s">
        <v>4533</v>
      </c>
      <c r="V313" t="s">
        <v>837</v>
      </c>
      <c r="W313" t="s">
        <v>1393</v>
      </c>
      <c r="X313" t="s">
        <v>4087</v>
      </c>
      <c r="Y313" t="s">
        <v>152</v>
      </c>
      <c r="Z313" t="s">
        <v>153</v>
      </c>
      <c r="AA313" t="s">
        <v>4534</v>
      </c>
      <c r="AB313">
        <v>5</v>
      </c>
      <c r="AC313" t="s">
        <v>78</v>
      </c>
      <c r="AD313" t="s">
        <v>4535</v>
      </c>
      <c r="AE313" t="s">
        <v>92</v>
      </c>
      <c r="AF313" t="s">
        <v>61</v>
      </c>
      <c r="AG313">
        <v>2040000</v>
      </c>
      <c r="AH313" s="13">
        <v>40800</v>
      </c>
      <c r="AL313" t="s">
        <v>6201</v>
      </c>
      <c r="AM313" s="13">
        <v>40800</v>
      </c>
      <c r="AN313" s="16">
        <f>Table9[[#This Row],[Premium]]-Table9[[#This Row],[Tms prem]]</f>
        <v>0</v>
      </c>
    </row>
    <row r="314" spans="1:40" x14ac:dyDescent="0.25">
      <c r="A314">
        <v>355</v>
      </c>
      <c r="B314" t="s">
        <v>37</v>
      </c>
      <c r="C314" t="s">
        <v>4536</v>
      </c>
      <c r="D314" t="s">
        <v>39</v>
      </c>
      <c r="E314" t="s">
        <v>40</v>
      </c>
      <c r="F314" t="s">
        <v>258</v>
      </c>
      <c r="G314" t="s">
        <v>4537</v>
      </c>
      <c r="H314" t="s">
        <v>43</v>
      </c>
      <c r="I314" t="s">
        <v>4538</v>
      </c>
      <c r="J314" t="s">
        <v>4539</v>
      </c>
      <c r="K314" t="s">
        <v>4540</v>
      </c>
      <c r="L314" t="s">
        <v>4541</v>
      </c>
      <c r="M314" t="s">
        <v>4542</v>
      </c>
      <c r="N314">
        <v>1223912</v>
      </c>
      <c r="O314">
        <v>2703000</v>
      </c>
      <c r="P314" t="s">
        <v>4543</v>
      </c>
      <c r="Q314" s="1">
        <v>45590</v>
      </c>
      <c r="R314" t="s">
        <v>4544</v>
      </c>
      <c r="S314" t="s">
        <v>4545</v>
      </c>
      <c r="T314" t="s">
        <v>51</v>
      </c>
      <c r="U314" t="s">
        <v>48</v>
      </c>
      <c r="V314" t="s">
        <v>416</v>
      </c>
      <c r="W314" t="s">
        <v>53</v>
      </c>
      <c r="X314" t="s">
        <v>987</v>
      </c>
      <c r="Y314" t="s">
        <v>697</v>
      </c>
      <c r="Z314" t="s">
        <v>984</v>
      </c>
      <c r="AA314" t="s">
        <v>4546</v>
      </c>
      <c r="AB314">
        <v>5</v>
      </c>
      <c r="AC314" t="s">
        <v>78</v>
      </c>
      <c r="AD314" t="s">
        <v>4547</v>
      </c>
      <c r="AE314" t="s">
        <v>3374</v>
      </c>
      <c r="AF314" t="s">
        <v>61</v>
      </c>
      <c r="AG314">
        <v>2162400</v>
      </c>
      <c r="AH314" s="13">
        <v>43248</v>
      </c>
      <c r="AL314" t="s">
        <v>6202</v>
      </c>
      <c r="AM314" s="13">
        <v>43248</v>
      </c>
      <c r="AN314" s="16">
        <f>Table9[[#This Row],[Premium]]-Table9[[#This Row],[Tms prem]]</f>
        <v>0</v>
      </c>
    </row>
    <row r="315" spans="1:40" x14ac:dyDescent="0.25">
      <c r="A315">
        <v>356</v>
      </c>
      <c r="B315" t="s">
        <v>37</v>
      </c>
      <c r="C315" t="s">
        <v>4548</v>
      </c>
      <c r="D315" t="s">
        <v>39</v>
      </c>
      <c r="E315" t="s">
        <v>40</v>
      </c>
      <c r="F315" t="s">
        <v>63</v>
      </c>
      <c r="G315" t="s">
        <v>4549</v>
      </c>
      <c r="H315" t="s">
        <v>83</v>
      </c>
      <c r="I315" t="s">
        <v>4550</v>
      </c>
      <c r="J315" t="s">
        <v>4551</v>
      </c>
      <c r="K315" t="s">
        <v>4551</v>
      </c>
      <c r="L315" t="s">
        <v>4551</v>
      </c>
      <c r="M315" t="s">
        <v>4552</v>
      </c>
      <c r="N315">
        <v>516751</v>
      </c>
      <c r="O315">
        <v>1113000</v>
      </c>
      <c r="P315" t="s">
        <v>4553</v>
      </c>
      <c r="Q315" s="1">
        <v>45592</v>
      </c>
      <c r="R315" t="s">
        <v>4554</v>
      </c>
      <c r="S315" t="s">
        <v>4555</v>
      </c>
      <c r="T315" t="s">
        <v>51</v>
      </c>
      <c r="U315" t="s">
        <v>48</v>
      </c>
      <c r="V315" t="s">
        <v>4556</v>
      </c>
      <c r="W315" t="s">
        <v>53</v>
      </c>
      <c r="X315" t="s">
        <v>311</v>
      </c>
      <c r="Y315" t="s">
        <v>697</v>
      </c>
      <c r="Z315" t="s">
        <v>984</v>
      </c>
      <c r="AA315" t="s">
        <v>4557</v>
      </c>
      <c r="AB315">
        <v>5</v>
      </c>
      <c r="AC315" t="s">
        <v>58</v>
      </c>
      <c r="AD315" t="s">
        <v>4558</v>
      </c>
      <c r="AE315" t="s">
        <v>4087</v>
      </c>
      <c r="AF315" t="s">
        <v>61</v>
      </c>
      <c r="AG315">
        <v>890400</v>
      </c>
      <c r="AH315" s="13">
        <v>17808</v>
      </c>
      <c r="AL315" t="s">
        <v>6203</v>
      </c>
      <c r="AM315" s="13">
        <v>17808</v>
      </c>
      <c r="AN315" s="16">
        <f>Table9[[#This Row],[Premium]]-Table9[[#This Row],[Tms prem]]</f>
        <v>0</v>
      </c>
    </row>
    <row r="316" spans="1:40" x14ac:dyDescent="0.25">
      <c r="A316">
        <v>357</v>
      </c>
      <c r="B316" t="s">
        <v>37</v>
      </c>
      <c r="C316" t="s">
        <v>4559</v>
      </c>
      <c r="D316" t="s">
        <v>39</v>
      </c>
      <c r="E316" t="s">
        <v>40</v>
      </c>
      <c r="F316" t="s">
        <v>4560</v>
      </c>
      <c r="G316" t="s">
        <v>4561</v>
      </c>
      <c r="H316" t="s">
        <v>128</v>
      </c>
      <c r="I316" t="s">
        <v>4562</v>
      </c>
      <c r="J316" t="s">
        <v>4563</v>
      </c>
      <c r="K316" t="s">
        <v>48</v>
      </c>
      <c r="L316" t="s">
        <v>438</v>
      </c>
      <c r="M316" t="s">
        <v>4564</v>
      </c>
      <c r="N316">
        <v>1412022</v>
      </c>
      <c r="O316">
        <v>4049000</v>
      </c>
      <c r="P316" t="s">
        <v>4565</v>
      </c>
      <c r="Q316" s="1">
        <v>45590</v>
      </c>
      <c r="R316" t="s">
        <v>4566</v>
      </c>
      <c r="S316" t="s">
        <v>4567</v>
      </c>
      <c r="T316" t="s">
        <v>51</v>
      </c>
      <c r="U316" t="s">
        <v>48</v>
      </c>
      <c r="V316" t="s">
        <v>4237</v>
      </c>
      <c r="W316" t="s">
        <v>53</v>
      </c>
      <c r="X316" t="s">
        <v>1885</v>
      </c>
      <c r="Y316" t="s">
        <v>152</v>
      </c>
      <c r="Z316" t="s">
        <v>153</v>
      </c>
      <c r="AA316" t="s">
        <v>4568</v>
      </c>
      <c r="AB316">
        <v>5</v>
      </c>
      <c r="AC316" t="s">
        <v>78</v>
      </c>
      <c r="AD316" t="s">
        <v>4569</v>
      </c>
      <c r="AE316" t="s">
        <v>4087</v>
      </c>
      <c r="AF316" t="s">
        <v>61</v>
      </c>
      <c r="AG316">
        <v>3239200</v>
      </c>
      <c r="AH316" s="13">
        <v>64784</v>
      </c>
      <c r="AL316" t="s">
        <v>6204</v>
      </c>
      <c r="AM316" s="13">
        <v>64784</v>
      </c>
      <c r="AN316" s="16">
        <f>Table9[[#This Row],[Premium]]-Table9[[#This Row],[Tms prem]]</f>
        <v>0</v>
      </c>
    </row>
    <row r="317" spans="1:40" x14ac:dyDescent="0.25">
      <c r="A317">
        <v>359</v>
      </c>
      <c r="B317" t="s">
        <v>37</v>
      </c>
      <c r="C317" t="s">
        <v>4583</v>
      </c>
      <c r="D317" t="s">
        <v>39</v>
      </c>
      <c r="E317" t="s">
        <v>40</v>
      </c>
      <c r="F317" t="s">
        <v>1096</v>
      </c>
      <c r="G317" t="s">
        <v>4584</v>
      </c>
      <c r="H317" t="s">
        <v>188</v>
      </c>
      <c r="I317" t="s">
        <v>4585</v>
      </c>
      <c r="J317" t="s">
        <v>48</v>
      </c>
      <c r="K317" t="s">
        <v>4586</v>
      </c>
      <c r="L317" t="s">
        <v>48</v>
      </c>
      <c r="M317" t="s">
        <v>4587</v>
      </c>
      <c r="N317">
        <v>797788</v>
      </c>
      <c r="O317">
        <v>2400000</v>
      </c>
      <c r="P317" t="s">
        <v>4588</v>
      </c>
      <c r="Q317" s="1">
        <v>45590</v>
      </c>
      <c r="R317" t="s">
        <v>4589</v>
      </c>
      <c r="S317" t="s">
        <v>4590</v>
      </c>
      <c r="T317" t="s">
        <v>196</v>
      </c>
      <c r="U317" t="s">
        <v>4591</v>
      </c>
      <c r="V317" t="s">
        <v>4592</v>
      </c>
      <c r="W317" t="s">
        <v>536</v>
      </c>
      <c r="X317" t="s">
        <v>1490</v>
      </c>
      <c r="Y317" t="s">
        <v>1490</v>
      </c>
      <c r="Z317" t="s">
        <v>1363</v>
      </c>
      <c r="AA317" t="s">
        <v>4593</v>
      </c>
      <c r="AB317">
        <v>3</v>
      </c>
      <c r="AC317" t="s">
        <v>556</v>
      </c>
      <c r="AD317" t="s">
        <v>4594</v>
      </c>
      <c r="AE317" t="s">
        <v>1490</v>
      </c>
      <c r="AF317" t="s">
        <v>155</v>
      </c>
      <c r="AG317">
        <v>2040000</v>
      </c>
      <c r="AH317" s="13">
        <v>35700</v>
      </c>
      <c r="AL317" t="s">
        <v>6205</v>
      </c>
      <c r="AM317" s="13">
        <v>35700</v>
      </c>
      <c r="AN317" s="16">
        <f>Table9[[#This Row],[Premium]]-Table9[[#This Row],[Tms prem]]</f>
        <v>0</v>
      </c>
    </row>
    <row r="318" spans="1:40" x14ac:dyDescent="0.25">
      <c r="A318">
        <v>360</v>
      </c>
      <c r="B318" t="s">
        <v>37</v>
      </c>
      <c r="C318" t="s">
        <v>4595</v>
      </c>
      <c r="D318" t="s">
        <v>39</v>
      </c>
      <c r="E318" t="s">
        <v>40</v>
      </c>
      <c r="F318" t="s">
        <v>3720</v>
      </c>
      <c r="G318" t="s">
        <v>4596</v>
      </c>
      <c r="H318" t="s">
        <v>65</v>
      </c>
      <c r="I318" t="s">
        <v>4597</v>
      </c>
      <c r="J318" t="s">
        <v>4598</v>
      </c>
      <c r="K318" t="s">
        <v>48</v>
      </c>
      <c r="L318" t="s">
        <v>4599</v>
      </c>
      <c r="M318" t="s">
        <v>4600</v>
      </c>
      <c r="N318">
        <v>590849</v>
      </c>
      <c r="O318">
        <v>1113000</v>
      </c>
      <c r="P318" t="s">
        <v>4601</v>
      </c>
      <c r="Q318" s="1">
        <v>45592</v>
      </c>
      <c r="R318" t="s">
        <v>4602</v>
      </c>
      <c r="S318" t="s">
        <v>4603</v>
      </c>
      <c r="T318" t="s">
        <v>51</v>
      </c>
      <c r="U318" t="s">
        <v>48</v>
      </c>
      <c r="V318" t="s">
        <v>4556</v>
      </c>
      <c r="W318" t="s">
        <v>53</v>
      </c>
      <c r="X318" t="s">
        <v>4604</v>
      </c>
      <c r="Y318" t="s">
        <v>152</v>
      </c>
      <c r="Z318" t="s">
        <v>1156</v>
      </c>
      <c r="AA318" t="s">
        <v>4605</v>
      </c>
      <c r="AB318">
        <v>7</v>
      </c>
      <c r="AC318" t="s">
        <v>78</v>
      </c>
      <c r="AD318" t="s">
        <v>4606</v>
      </c>
      <c r="AE318" t="s">
        <v>4087</v>
      </c>
      <c r="AF318" t="s">
        <v>61</v>
      </c>
      <c r="AG318">
        <v>890400</v>
      </c>
      <c r="AH318" s="13">
        <v>17808</v>
      </c>
      <c r="AL318" t="s">
        <v>6206</v>
      </c>
      <c r="AM318" s="13">
        <v>17808</v>
      </c>
      <c r="AN318" s="16">
        <f>Table9[[#This Row],[Premium]]-Table9[[#This Row],[Tms prem]]</f>
        <v>0</v>
      </c>
    </row>
    <row r="319" spans="1:40" x14ac:dyDescent="0.25">
      <c r="A319">
        <v>361</v>
      </c>
      <c r="B319" t="s">
        <v>37</v>
      </c>
      <c r="C319" t="s">
        <v>4607</v>
      </c>
      <c r="D319" t="s">
        <v>39</v>
      </c>
      <c r="E319" t="s">
        <v>40</v>
      </c>
      <c r="F319" t="s">
        <v>63</v>
      </c>
      <c r="G319" t="s">
        <v>4608</v>
      </c>
      <c r="H319" t="s">
        <v>2641</v>
      </c>
      <c r="I319" t="s">
        <v>4609</v>
      </c>
      <c r="J319" t="s">
        <v>48</v>
      </c>
      <c r="K319" t="s">
        <v>4610</v>
      </c>
      <c r="L319" t="s">
        <v>48</v>
      </c>
      <c r="M319" t="s">
        <v>4611</v>
      </c>
      <c r="N319">
        <v>256350</v>
      </c>
      <c r="O319">
        <v>1113000</v>
      </c>
      <c r="P319" t="s">
        <v>4612</v>
      </c>
      <c r="Q319" s="1">
        <v>45592</v>
      </c>
      <c r="R319" t="s">
        <v>4613</v>
      </c>
      <c r="S319" t="s">
        <v>4614</v>
      </c>
      <c r="T319" t="s">
        <v>51</v>
      </c>
      <c r="U319" t="s">
        <v>48</v>
      </c>
      <c r="V319" t="s">
        <v>4065</v>
      </c>
      <c r="W319" t="s">
        <v>53</v>
      </c>
      <c r="X319" t="s">
        <v>311</v>
      </c>
      <c r="Y319" t="s">
        <v>152</v>
      </c>
      <c r="Z319" t="s">
        <v>1518</v>
      </c>
      <c r="AA319" t="s">
        <v>4615</v>
      </c>
      <c r="AB319">
        <v>4</v>
      </c>
      <c r="AC319" t="s">
        <v>58</v>
      </c>
      <c r="AD319" t="s">
        <v>4616</v>
      </c>
      <c r="AE319" t="s">
        <v>4087</v>
      </c>
      <c r="AF319" t="s">
        <v>61</v>
      </c>
      <c r="AG319">
        <v>890400</v>
      </c>
      <c r="AH319" s="13">
        <v>17808</v>
      </c>
      <c r="AL319" t="s">
        <v>6207</v>
      </c>
      <c r="AM319" s="13">
        <v>17808</v>
      </c>
      <c r="AN319" s="16">
        <f>Table9[[#This Row],[Premium]]-Table9[[#This Row],[Tms prem]]</f>
        <v>0</v>
      </c>
    </row>
    <row r="320" spans="1:40" x14ac:dyDescent="0.25">
      <c r="A320">
        <v>362</v>
      </c>
      <c r="B320" t="s">
        <v>37</v>
      </c>
      <c r="C320" t="s">
        <v>4617</v>
      </c>
      <c r="D320" t="s">
        <v>39</v>
      </c>
      <c r="E320" t="s">
        <v>40</v>
      </c>
      <c r="F320" t="s">
        <v>1044</v>
      </c>
      <c r="G320" t="s">
        <v>4618</v>
      </c>
      <c r="H320" t="s">
        <v>43</v>
      </c>
      <c r="I320" t="s">
        <v>4619</v>
      </c>
      <c r="J320" t="s">
        <v>48</v>
      </c>
      <c r="K320" t="s">
        <v>4620</v>
      </c>
      <c r="L320" t="s">
        <v>48</v>
      </c>
      <c r="M320" t="s">
        <v>4621</v>
      </c>
      <c r="N320">
        <v>1792847</v>
      </c>
      <c r="O320">
        <v>2825000</v>
      </c>
      <c r="P320" t="s">
        <v>4622</v>
      </c>
      <c r="Q320" t="s">
        <v>4623</v>
      </c>
      <c r="R320" t="s">
        <v>4624</v>
      </c>
      <c r="S320" t="s">
        <v>4625</v>
      </c>
      <c r="T320" t="s">
        <v>196</v>
      </c>
      <c r="U320" t="s">
        <v>4626</v>
      </c>
      <c r="V320" t="s">
        <v>73</v>
      </c>
      <c r="W320" t="s">
        <v>552</v>
      </c>
      <c r="X320" s="1">
        <v>45229</v>
      </c>
      <c r="Y320" t="s">
        <v>3575</v>
      </c>
      <c r="Z320" t="s">
        <v>1156</v>
      </c>
      <c r="AA320" t="s">
        <v>4627</v>
      </c>
      <c r="AB320">
        <v>5</v>
      </c>
      <c r="AC320" t="s">
        <v>540</v>
      </c>
      <c r="AD320" t="s">
        <v>4628</v>
      </c>
      <c r="AE320" t="s">
        <v>4026</v>
      </c>
      <c r="AF320" t="s">
        <v>882</v>
      </c>
      <c r="AG320">
        <v>2542500</v>
      </c>
      <c r="AH320" s="13">
        <v>38138</v>
      </c>
      <c r="AL320" t="s">
        <v>6208</v>
      </c>
      <c r="AM320" s="13">
        <v>38138</v>
      </c>
      <c r="AN320" s="16">
        <f>Table9[[#This Row],[Premium]]-Table9[[#This Row],[Tms prem]]</f>
        <v>0</v>
      </c>
    </row>
    <row r="321" spans="1:40" x14ac:dyDescent="0.25">
      <c r="A321">
        <v>363</v>
      </c>
      <c r="B321" t="s">
        <v>37</v>
      </c>
      <c r="C321" t="s">
        <v>4629</v>
      </c>
      <c r="D321" t="s">
        <v>39</v>
      </c>
      <c r="E321" t="s">
        <v>40</v>
      </c>
      <c r="F321" t="s">
        <v>853</v>
      </c>
      <c r="G321" t="s">
        <v>4630</v>
      </c>
      <c r="H321" t="s">
        <v>43</v>
      </c>
      <c r="I321" t="s">
        <v>4631</v>
      </c>
      <c r="J321" t="s">
        <v>4632</v>
      </c>
      <c r="K321" t="s">
        <v>4633</v>
      </c>
      <c r="L321" t="s">
        <v>4634</v>
      </c>
      <c r="M321" t="s">
        <v>4635</v>
      </c>
      <c r="N321">
        <v>2235494</v>
      </c>
      <c r="O321">
        <v>4025000</v>
      </c>
      <c r="P321" t="s">
        <v>4636</v>
      </c>
      <c r="Q321" t="s">
        <v>4623</v>
      </c>
      <c r="R321" t="s">
        <v>4637</v>
      </c>
      <c r="S321" t="s">
        <v>4638</v>
      </c>
      <c r="T321" t="s">
        <v>196</v>
      </c>
      <c r="U321" t="s">
        <v>4639</v>
      </c>
      <c r="V321" t="s">
        <v>3160</v>
      </c>
      <c r="W321" t="s">
        <v>53</v>
      </c>
      <c r="X321" s="1">
        <v>45229</v>
      </c>
      <c r="Y321" t="s">
        <v>3575</v>
      </c>
      <c r="Z321" t="s">
        <v>153</v>
      </c>
      <c r="AA321" t="s">
        <v>4640</v>
      </c>
      <c r="AB321">
        <v>3</v>
      </c>
      <c r="AC321" t="s">
        <v>540</v>
      </c>
      <c r="AD321" t="s">
        <v>4641</v>
      </c>
      <c r="AE321" t="s">
        <v>4026</v>
      </c>
      <c r="AF321" t="s">
        <v>155</v>
      </c>
      <c r="AG321">
        <v>3622500</v>
      </c>
      <c r="AH321" s="13">
        <v>63394</v>
      </c>
      <c r="AL321" t="s">
        <v>6209</v>
      </c>
      <c r="AM321" s="13">
        <v>63394</v>
      </c>
      <c r="AN321" s="16">
        <f>Table9[[#This Row],[Premium]]-Table9[[#This Row],[Tms prem]]</f>
        <v>0</v>
      </c>
    </row>
    <row r="322" spans="1:40" x14ac:dyDescent="0.25">
      <c r="A322">
        <v>365</v>
      </c>
      <c r="B322" t="s">
        <v>37</v>
      </c>
      <c r="C322" t="s">
        <v>4654</v>
      </c>
      <c r="D322" t="s">
        <v>39</v>
      </c>
      <c r="E322" t="s">
        <v>40</v>
      </c>
      <c r="F322" t="s">
        <v>789</v>
      </c>
      <c r="G322" t="s">
        <v>4655</v>
      </c>
      <c r="H322" t="s">
        <v>83</v>
      </c>
      <c r="I322" t="s">
        <v>4656</v>
      </c>
      <c r="J322" t="s">
        <v>4657</v>
      </c>
      <c r="K322" t="s">
        <v>4657</v>
      </c>
      <c r="L322" t="s">
        <v>4657</v>
      </c>
      <c r="M322" t="s">
        <v>4658</v>
      </c>
      <c r="N322">
        <v>1162704</v>
      </c>
      <c r="O322">
        <v>3500000</v>
      </c>
      <c r="P322" t="s">
        <v>4659</v>
      </c>
      <c r="Q322" s="1">
        <v>45590</v>
      </c>
      <c r="R322" t="s">
        <v>4660</v>
      </c>
      <c r="S322" t="s">
        <v>4661</v>
      </c>
      <c r="T322" t="s">
        <v>196</v>
      </c>
      <c r="U322" t="s">
        <v>4662</v>
      </c>
      <c r="V322" t="s">
        <v>429</v>
      </c>
      <c r="W322" t="s">
        <v>53</v>
      </c>
      <c r="X322" t="s">
        <v>2995</v>
      </c>
      <c r="Y322" t="s">
        <v>2996</v>
      </c>
      <c r="Z322" t="s">
        <v>1518</v>
      </c>
      <c r="AA322" t="s">
        <v>4663</v>
      </c>
      <c r="AB322">
        <v>3</v>
      </c>
      <c r="AC322" t="s">
        <v>540</v>
      </c>
      <c r="AD322" t="s">
        <v>4664</v>
      </c>
      <c r="AE322" t="s">
        <v>1490</v>
      </c>
      <c r="AF322" t="s">
        <v>155</v>
      </c>
      <c r="AG322">
        <v>2975000</v>
      </c>
      <c r="AH322" s="13">
        <v>52063</v>
      </c>
      <c r="AL322" t="s">
        <v>6210</v>
      </c>
      <c r="AM322" s="13">
        <v>52063</v>
      </c>
      <c r="AN322" s="16">
        <f>Table9[[#This Row],[Premium]]-Table9[[#This Row],[Tms prem]]</f>
        <v>0</v>
      </c>
    </row>
    <row r="323" spans="1:40" x14ac:dyDescent="0.25">
      <c r="A323">
        <v>366</v>
      </c>
      <c r="B323" t="s">
        <v>37</v>
      </c>
      <c r="C323" t="s">
        <v>4665</v>
      </c>
      <c r="D323" t="s">
        <v>39</v>
      </c>
      <c r="E323" t="s">
        <v>40</v>
      </c>
      <c r="F323" t="s">
        <v>63</v>
      </c>
      <c r="G323" t="s">
        <v>4666</v>
      </c>
      <c r="H323" t="s">
        <v>188</v>
      </c>
      <c r="I323" t="s">
        <v>4667</v>
      </c>
      <c r="J323" t="s">
        <v>48</v>
      </c>
      <c r="K323" t="s">
        <v>4668</v>
      </c>
      <c r="L323" t="s">
        <v>4669</v>
      </c>
      <c r="M323" t="s">
        <v>4670</v>
      </c>
      <c r="N323">
        <v>1243099</v>
      </c>
      <c r="O323">
        <v>2935000</v>
      </c>
      <c r="P323" t="s">
        <v>4671</v>
      </c>
      <c r="Q323" t="s">
        <v>4623</v>
      </c>
      <c r="R323" t="s">
        <v>4672</v>
      </c>
      <c r="S323" t="s">
        <v>4673</v>
      </c>
      <c r="T323" t="s">
        <v>51</v>
      </c>
      <c r="U323" t="s">
        <v>48</v>
      </c>
      <c r="V323" t="s">
        <v>4674</v>
      </c>
      <c r="W323" t="s">
        <v>74</v>
      </c>
      <c r="X323" s="1">
        <v>45180</v>
      </c>
      <c r="Y323" t="s">
        <v>3575</v>
      </c>
      <c r="Z323" t="s">
        <v>153</v>
      </c>
      <c r="AA323" t="s">
        <v>4675</v>
      </c>
      <c r="AB323">
        <v>3</v>
      </c>
      <c r="AC323" t="s">
        <v>78</v>
      </c>
      <c r="AD323" t="s">
        <v>4676</v>
      </c>
      <c r="AE323" t="s">
        <v>4026</v>
      </c>
      <c r="AF323" t="s">
        <v>155</v>
      </c>
      <c r="AG323">
        <v>2641500</v>
      </c>
      <c r="AH323" s="13">
        <v>46226</v>
      </c>
      <c r="AL323" t="s">
        <v>6211</v>
      </c>
      <c r="AM323" s="13">
        <v>46226</v>
      </c>
      <c r="AN323" s="16">
        <f>Table9[[#This Row],[Premium]]-Table9[[#This Row],[Tms prem]]</f>
        <v>0</v>
      </c>
    </row>
    <row r="324" spans="1:40" x14ac:dyDescent="0.25">
      <c r="A324">
        <v>367</v>
      </c>
      <c r="B324" t="s">
        <v>37</v>
      </c>
      <c r="C324" t="s">
        <v>4677</v>
      </c>
      <c r="D324" t="s">
        <v>39</v>
      </c>
      <c r="E324" t="s">
        <v>40</v>
      </c>
      <c r="F324" t="s">
        <v>4678</v>
      </c>
      <c r="G324" t="s">
        <v>4679</v>
      </c>
      <c r="H324" t="s">
        <v>2641</v>
      </c>
      <c r="I324" t="s">
        <v>4680</v>
      </c>
      <c r="J324" t="s">
        <v>48</v>
      </c>
      <c r="K324" t="s">
        <v>4681</v>
      </c>
      <c r="L324" t="s">
        <v>48</v>
      </c>
      <c r="M324" t="s">
        <v>4682</v>
      </c>
      <c r="N324">
        <v>1201328</v>
      </c>
      <c r="O324">
        <v>3277999</v>
      </c>
      <c r="P324" t="s">
        <v>4683</v>
      </c>
      <c r="Q324" s="1">
        <v>45591</v>
      </c>
      <c r="R324" t="s">
        <v>4684</v>
      </c>
      <c r="S324" t="s">
        <v>4685</v>
      </c>
      <c r="T324" t="s">
        <v>51</v>
      </c>
      <c r="U324" t="s">
        <v>48</v>
      </c>
      <c r="V324" t="s">
        <v>2583</v>
      </c>
      <c r="W324" t="s">
        <v>53</v>
      </c>
      <c r="X324" t="s">
        <v>4686</v>
      </c>
      <c r="Y324" t="s">
        <v>152</v>
      </c>
      <c r="Z324" t="s">
        <v>153</v>
      </c>
      <c r="AA324" t="s">
        <v>4687</v>
      </c>
      <c r="AB324">
        <v>5</v>
      </c>
      <c r="AC324" t="s">
        <v>540</v>
      </c>
      <c r="AD324" t="s">
        <v>4688</v>
      </c>
      <c r="AE324" t="s">
        <v>92</v>
      </c>
      <c r="AF324" t="s">
        <v>61</v>
      </c>
      <c r="AG324">
        <v>2622399.2000000002</v>
      </c>
      <c r="AH324" s="13">
        <v>52448</v>
      </c>
      <c r="AL324" t="s">
        <v>6212</v>
      </c>
      <c r="AM324" s="13">
        <v>52448</v>
      </c>
      <c r="AN324" s="16">
        <f>Table9[[#This Row],[Premium]]-Table9[[#This Row],[Tms prem]]</f>
        <v>0</v>
      </c>
    </row>
    <row r="325" spans="1:40" x14ac:dyDescent="0.25">
      <c r="A325">
        <v>368</v>
      </c>
      <c r="B325" t="s">
        <v>37</v>
      </c>
      <c r="C325" t="s">
        <v>4689</v>
      </c>
      <c r="D325" t="s">
        <v>39</v>
      </c>
      <c r="E325" t="s">
        <v>40</v>
      </c>
      <c r="F325" t="s">
        <v>63</v>
      </c>
      <c r="G325" t="s">
        <v>4690</v>
      </c>
      <c r="H325" t="s">
        <v>188</v>
      </c>
      <c r="I325" t="s">
        <v>4691</v>
      </c>
      <c r="J325" t="s">
        <v>48</v>
      </c>
      <c r="K325" t="s">
        <v>4692</v>
      </c>
      <c r="L325" t="s">
        <v>48</v>
      </c>
      <c r="M325" t="s">
        <v>4693</v>
      </c>
      <c r="N325">
        <v>1270334</v>
      </c>
      <c r="O325">
        <v>2935000</v>
      </c>
      <c r="P325" t="s">
        <v>4694</v>
      </c>
      <c r="Q325" t="s">
        <v>4695</v>
      </c>
      <c r="R325" t="s">
        <v>4696</v>
      </c>
      <c r="S325" t="s">
        <v>4697</v>
      </c>
      <c r="T325" t="s">
        <v>51</v>
      </c>
      <c r="U325" t="s">
        <v>48</v>
      </c>
      <c r="V325" t="s">
        <v>73</v>
      </c>
      <c r="W325" t="s">
        <v>74</v>
      </c>
      <c r="X325" s="1">
        <v>45187</v>
      </c>
      <c r="Y325" t="s">
        <v>4026</v>
      </c>
      <c r="Z325" t="s">
        <v>1363</v>
      </c>
      <c r="AA325" t="s">
        <v>4698</v>
      </c>
      <c r="AB325">
        <v>2</v>
      </c>
      <c r="AC325" t="s">
        <v>78</v>
      </c>
      <c r="AD325" t="s">
        <v>4699</v>
      </c>
      <c r="AE325" t="s">
        <v>4700</v>
      </c>
      <c r="AF325" t="s">
        <v>61</v>
      </c>
      <c r="AG325">
        <v>2641500</v>
      </c>
      <c r="AH325" s="13">
        <v>52830</v>
      </c>
      <c r="AL325" t="s">
        <v>6213</v>
      </c>
      <c r="AM325" s="13">
        <v>52830</v>
      </c>
      <c r="AN325" s="16">
        <f>Table9[[#This Row],[Premium]]-Table9[[#This Row],[Tms prem]]</f>
        <v>0</v>
      </c>
    </row>
    <row r="326" spans="1:40" x14ac:dyDescent="0.25">
      <c r="A326">
        <v>369</v>
      </c>
      <c r="B326" t="s">
        <v>37</v>
      </c>
      <c r="C326" t="s">
        <v>4701</v>
      </c>
      <c r="D326" t="s">
        <v>39</v>
      </c>
      <c r="E326" t="s">
        <v>40</v>
      </c>
      <c r="F326" t="s">
        <v>63</v>
      </c>
      <c r="G326" t="s">
        <v>4702</v>
      </c>
      <c r="H326" t="s">
        <v>83</v>
      </c>
      <c r="I326" t="s">
        <v>4703</v>
      </c>
      <c r="J326" t="s">
        <v>4704</v>
      </c>
      <c r="K326" t="s">
        <v>4704</v>
      </c>
      <c r="L326" t="s">
        <v>4704</v>
      </c>
      <c r="M326" t="s">
        <v>4705</v>
      </c>
      <c r="N326">
        <v>1844635</v>
      </c>
      <c r="O326">
        <v>2935000</v>
      </c>
      <c r="P326" t="s">
        <v>4706</v>
      </c>
      <c r="Q326" t="s">
        <v>4695</v>
      </c>
      <c r="R326" t="s">
        <v>4707</v>
      </c>
      <c r="S326" t="s">
        <v>4708</v>
      </c>
      <c r="T326" t="s">
        <v>51</v>
      </c>
      <c r="U326" t="s">
        <v>48</v>
      </c>
      <c r="V326" t="s">
        <v>73</v>
      </c>
      <c r="W326" t="s">
        <v>74</v>
      </c>
      <c r="X326" s="1">
        <v>45196</v>
      </c>
      <c r="Y326" t="s">
        <v>4026</v>
      </c>
      <c r="Z326" t="s">
        <v>811</v>
      </c>
      <c r="AA326" t="s">
        <v>4709</v>
      </c>
      <c r="AB326">
        <v>5</v>
      </c>
      <c r="AC326" t="s">
        <v>78</v>
      </c>
      <c r="AD326" t="s">
        <v>4710</v>
      </c>
      <c r="AE326" t="s">
        <v>4026</v>
      </c>
      <c r="AF326" t="s">
        <v>882</v>
      </c>
      <c r="AG326">
        <v>2641500</v>
      </c>
      <c r="AH326" s="13">
        <v>39623</v>
      </c>
      <c r="AL326" t="s">
        <v>6214</v>
      </c>
      <c r="AM326" s="13">
        <v>39623</v>
      </c>
      <c r="AN326" s="16">
        <f>Table9[[#This Row],[Premium]]-Table9[[#This Row],[Tms prem]]</f>
        <v>0</v>
      </c>
    </row>
    <row r="327" spans="1:40" x14ac:dyDescent="0.25">
      <c r="A327">
        <v>370</v>
      </c>
      <c r="B327" t="s">
        <v>37</v>
      </c>
      <c r="C327" t="s">
        <v>4711</v>
      </c>
      <c r="D327" t="s">
        <v>39</v>
      </c>
      <c r="E327" t="s">
        <v>40</v>
      </c>
      <c r="F327" t="s">
        <v>4712</v>
      </c>
      <c r="G327" t="s">
        <v>4713</v>
      </c>
      <c r="H327" t="s">
        <v>896</v>
      </c>
      <c r="I327" t="s">
        <v>4714</v>
      </c>
      <c r="J327" t="s">
        <v>48</v>
      </c>
      <c r="K327" t="s">
        <v>4715</v>
      </c>
      <c r="L327" t="s">
        <v>48</v>
      </c>
      <c r="M327" t="s">
        <v>4716</v>
      </c>
      <c r="N327">
        <v>782735</v>
      </c>
      <c r="O327">
        <v>2802000</v>
      </c>
      <c r="P327" t="s">
        <v>4717</v>
      </c>
      <c r="Q327" s="1">
        <v>45591</v>
      </c>
      <c r="R327" t="s">
        <v>4718</v>
      </c>
      <c r="S327" t="s">
        <v>4719</v>
      </c>
      <c r="T327" t="s">
        <v>293</v>
      </c>
      <c r="U327" t="s">
        <v>48</v>
      </c>
      <c r="V327" t="s">
        <v>4720</v>
      </c>
      <c r="W327" t="s">
        <v>552</v>
      </c>
      <c r="X327" t="s">
        <v>3588</v>
      </c>
      <c r="Y327" t="s">
        <v>2996</v>
      </c>
      <c r="Z327" t="s">
        <v>1518</v>
      </c>
      <c r="AA327" t="s">
        <v>4721</v>
      </c>
      <c r="AB327">
        <v>3</v>
      </c>
      <c r="AC327" t="s">
        <v>556</v>
      </c>
      <c r="AD327" t="s">
        <v>4722</v>
      </c>
      <c r="AE327" t="s">
        <v>2995</v>
      </c>
      <c r="AF327" t="s">
        <v>299</v>
      </c>
      <c r="AG327">
        <v>2381700</v>
      </c>
      <c r="AH327" s="13">
        <v>33344</v>
      </c>
      <c r="AL327" t="s">
        <v>6215</v>
      </c>
      <c r="AM327" s="13">
        <v>33344</v>
      </c>
      <c r="AN327" s="16">
        <f>Table9[[#This Row],[Premium]]-Table9[[#This Row],[Tms prem]]</f>
        <v>0</v>
      </c>
    </row>
    <row r="328" spans="1:40" x14ac:dyDescent="0.25">
      <c r="A328">
        <v>371</v>
      </c>
      <c r="B328" t="s">
        <v>37</v>
      </c>
      <c r="C328" t="s">
        <v>4723</v>
      </c>
      <c r="D328" t="s">
        <v>39</v>
      </c>
      <c r="E328" t="s">
        <v>40</v>
      </c>
      <c r="F328" t="s">
        <v>1096</v>
      </c>
      <c r="G328" t="s">
        <v>4724</v>
      </c>
      <c r="H328" t="s">
        <v>188</v>
      </c>
      <c r="I328" t="s">
        <v>4725</v>
      </c>
      <c r="J328" t="s">
        <v>48</v>
      </c>
      <c r="K328" t="s">
        <v>4726</v>
      </c>
      <c r="L328" t="s">
        <v>48</v>
      </c>
      <c r="M328" t="s">
        <v>4727</v>
      </c>
      <c r="N328">
        <v>1173823</v>
      </c>
      <c r="O328">
        <v>2550000</v>
      </c>
      <c r="P328" t="s">
        <v>4728</v>
      </c>
      <c r="Q328" s="1">
        <v>45591</v>
      </c>
      <c r="R328" t="s">
        <v>4729</v>
      </c>
      <c r="S328" t="s">
        <v>4730</v>
      </c>
      <c r="T328" t="s">
        <v>196</v>
      </c>
      <c r="U328" t="s">
        <v>4731</v>
      </c>
      <c r="V328" t="s">
        <v>73</v>
      </c>
      <c r="W328" t="s">
        <v>552</v>
      </c>
      <c r="X328" t="s">
        <v>2995</v>
      </c>
      <c r="Y328" t="s">
        <v>2996</v>
      </c>
      <c r="Z328" t="s">
        <v>824</v>
      </c>
      <c r="AA328" t="s">
        <v>4732</v>
      </c>
      <c r="AB328">
        <v>5</v>
      </c>
      <c r="AC328" t="s">
        <v>556</v>
      </c>
      <c r="AD328" t="s">
        <v>4733</v>
      </c>
      <c r="AE328" t="s">
        <v>1490</v>
      </c>
      <c r="AF328" t="s">
        <v>882</v>
      </c>
      <c r="AG328">
        <v>2167500</v>
      </c>
      <c r="AH328" s="13">
        <v>32513</v>
      </c>
      <c r="AL328" t="s">
        <v>6216</v>
      </c>
      <c r="AM328" s="13">
        <v>32513</v>
      </c>
      <c r="AN328" s="16">
        <f>Table9[[#This Row],[Premium]]-Table9[[#This Row],[Tms prem]]</f>
        <v>0</v>
      </c>
    </row>
    <row r="329" spans="1:40" x14ac:dyDescent="0.25">
      <c r="A329">
        <v>372</v>
      </c>
      <c r="B329" t="s">
        <v>37</v>
      </c>
      <c r="C329" t="s">
        <v>4734</v>
      </c>
      <c r="D329" t="s">
        <v>39</v>
      </c>
      <c r="E329" t="s">
        <v>40</v>
      </c>
      <c r="F329" t="s">
        <v>1401</v>
      </c>
      <c r="G329" t="s">
        <v>4735</v>
      </c>
      <c r="H329" t="s">
        <v>188</v>
      </c>
      <c r="I329" t="s">
        <v>4736</v>
      </c>
      <c r="J329" t="s">
        <v>4737</v>
      </c>
      <c r="K329" t="s">
        <v>4737</v>
      </c>
      <c r="L329" t="s">
        <v>438</v>
      </c>
      <c r="M329" t="s">
        <v>4738</v>
      </c>
      <c r="N329">
        <v>1399040</v>
      </c>
      <c r="O329">
        <v>6700000</v>
      </c>
      <c r="P329" t="s">
        <v>4739</v>
      </c>
      <c r="Q329" s="1">
        <v>45591</v>
      </c>
      <c r="R329" t="s">
        <v>4740</v>
      </c>
      <c r="S329" t="s">
        <v>4741</v>
      </c>
      <c r="T329" t="s">
        <v>196</v>
      </c>
      <c r="U329" t="s">
        <v>4742</v>
      </c>
      <c r="V329" t="s">
        <v>2768</v>
      </c>
      <c r="W329" t="s">
        <v>552</v>
      </c>
      <c r="X329" t="s">
        <v>2995</v>
      </c>
      <c r="Y329" t="s">
        <v>2996</v>
      </c>
      <c r="Z329" t="s">
        <v>1518</v>
      </c>
      <c r="AA329" t="s">
        <v>4743</v>
      </c>
      <c r="AB329">
        <v>3</v>
      </c>
      <c r="AC329" t="s">
        <v>556</v>
      </c>
      <c r="AD329" t="s">
        <v>4744</v>
      </c>
      <c r="AE329" t="s">
        <v>2995</v>
      </c>
      <c r="AF329" t="s">
        <v>155</v>
      </c>
      <c r="AG329">
        <v>5695000</v>
      </c>
      <c r="AH329" s="13">
        <v>99663</v>
      </c>
      <c r="AL329" t="s">
        <v>6217</v>
      </c>
      <c r="AM329" s="13">
        <v>99663</v>
      </c>
      <c r="AN329" s="16">
        <f>Table9[[#This Row],[Premium]]-Table9[[#This Row],[Tms prem]]</f>
        <v>0</v>
      </c>
    </row>
    <row r="330" spans="1:40" x14ac:dyDescent="0.25">
      <c r="A330">
        <v>373</v>
      </c>
      <c r="B330" t="s">
        <v>37</v>
      </c>
      <c r="C330" t="s">
        <v>4745</v>
      </c>
      <c r="D330" t="s">
        <v>39</v>
      </c>
      <c r="E330" t="s">
        <v>40</v>
      </c>
      <c r="F330" t="s">
        <v>4147</v>
      </c>
      <c r="G330" t="s">
        <v>4746</v>
      </c>
      <c r="H330" t="s">
        <v>128</v>
      </c>
      <c r="I330" t="s">
        <v>4747</v>
      </c>
      <c r="J330" t="s">
        <v>4748</v>
      </c>
      <c r="K330" t="s">
        <v>48</v>
      </c>
      <c r="L330" t="s">
        <v>4749</v>
      </c>
      <c r="M330" t="s">
        <v>4750</v>
      </c>
      <c r="N330">
        <v>892355</v>
      </c>
      <c r="O330">
        <v>1975000</v>
      </c>
      <c r="P330" t="s">
        <v>4751</v>
      </c>
      <c r="Q330" s="1">
        <v>45591</v>
      </c>
      <c r="R330" t="s">
        <v>4752</v>
      </c>
      <c r="S330" t="s">
        <v>4753</v>
      </c>
      <c r="T330" t="s">
        <v>51</v>
      </c>
      <c r="U330" t="s">
        <v>48</v>
      </c>
      <c r="V330" t="s">
        <v>581</v>
      </c>
      <c r="W330" t="s">
        <v>53</v>
      </c>
      <c r="X330" t="s">
        <v>267</v>
      </c>
      <c r="Y330" t="s">
        <v>152</v>
      </c>
      <c r="Z330" t="s">
        <v>153</v>
      </c>
      <c r="AA330" t="s">
        <v>4754</v>
      </c>
      <c r="AB330">
        <v>5</v>
      </c>
      <c r="AC330" t="s">
        <v>78</v>
      </c>
      <c r="AD330" t="s">
        <v>4755</v>
      </c>
      <c r="AE330" t="s">
        <v>1885</v>
      </c>
      <c r="AF330" t="s">
        <v>61</v>
      </c>
      <c r="AG330">
        <v>1580000</v>
      </c>
      <c r="AH330" s="13">
        <v>31600</v>
      </c>
      <c r="AL330" t="s">
        <v>6218</v>
      </c>
      <c r="AM330" s="13">
        <v>31600</v>
      </c>
      <c r="AN330" s="16">
        <f>Table9[[#This Row],[Premium]]-Table9[[#This Row],[Tms prem]]</f>
        <v>0</v>
      </c>
    </row>
    <row r="331" spans="1:40" x14ac:dyDescent="0.25">
      <c r="A331">
        <v>374</v>
      </c>
      <c r="B331" t="s">
        <v>37</v>
      </c>
      <c r="C331" t="s">
        <v>4756</v>
      </c>
      <c r="D331" t="s">
        <v>39</v>
      </c>
      <c r="E331" t="s">
        <v>40</v>
      </c>
      <c r="F331" t="s">
        <v>63</v>
      </c>
      <c r="G331" t="s">
        <v>4757</v>
      </c>
      <c r="H331" t="s">
        <v>83</v>
      </c>
      <c r="I331" t="s">
        <v>4758</v>
      </c>
      <c r="J331" t="s">
        <v>4759</v>
      </c>
      <c r="K331" t="s">
        <v>4759</v>
      </c>
      <c r="L331" t="s">
        <v>4759</v>
      </c>
      <c r="M331" t="s">
        <v>4760</v>
      </c>
      <c r="N331">
        <v>653252</v>
      </c>
      <c r="O331">
        <v>1655000</v>
      </c>
      <c r="P331" t="s">
        <v>4761</v>
      </c>
      <c r="Q331" s="1">
        <v>45591</v>
      </c>
      <c r="R331" t="s">
        <v>4762</v>
      </c>
      <c r="S331" t="s">
        <v>4763</v>
      </c>
      <c r="T331" t="s">
        <v>51</v>
      </c>
      <c r="U331" t="s">
        <v>48</v>
      </c>
      <c r="V331" t="s">
        <v>965</v>
      </c>
      <c r="W331" t="s">
        <v>53</v>
      </c>
      <c r="X331" t="s">
        <v>823</v>
      </c>
      <c r="Y331" t="s">
        <v>152</v>
      </c>
      <c r="Z331" t="s">
        <v>153</v>
      </c>
      <c r="AA331" t="s">
        <v>4764</v>
      </c>
      <c r="AB331">
        <v>5</v>
      </c>
      <c r="AC331" t="s">
        <v>78</v>
      </c>
      <c r="AD331" t="s">
        <v>4765</v>
      </c>
      <c r="AE331" t="s">
        <v>4087</v>
      </c>
      <c r="AF331" t="s">
        <v>61</v>
      </c>
      <c r="AG331">
        <v>1324000</v>
      </c>
      <c r="AH331" s="13">
        <v>26480</v>
      </c>
      <c r="AL331" t="s">
        <v>6219</v>
      </c>
      <c r="AM331" s="13">
        <v>26480</v>
      </c>
      <c r="AN331" s="16">
        <f>Table9[[#This Row],[Premium]]-Table9[[#This Row],[Tms prem]]</f>
        <v>0</v>
      </c>
    </row>
    <row r="332" spans="1:40" x14ac:dyDescent="0.25">
      <c r="A332">
        <v>375</v>
      </c>
      <c r="B332" t="s">
        <v>37</v>
      </c>
      <c r="C332" t="s">
        <v>4766</v>
      </c>
      <c r="D332" t="s">
        <v>39</v>
      </c>
      <c r="E332" t="s">
        <v>40</v>
      </c>
      <c r="F332" t="s">
        <v>316</v>
      </c>
      <c r="G332" t="s">
        <v>4767</v>
      </c>
      <c r="H332" t="s">
        <v>128</v>
      </c>
      <c r="I332" t="s">
        <v>4768</v>
      </c>
      <c r="J332" t="s">
        <v>4769</v>
      </c>
      <c r="K332" t="s">
        <v>4770</v>
      </c>
      <c r="L332" t="s">
        <v>4771</v>
      </c>
      <c r="M332" t="s">
        <v>4772</v>
      </c>
      <c r="N332">
        <v>647007</v>
      </c>
      <c r="O332">
        <v>1521000</v>
      </c>
      <c r="P332" t="s">
        <v>4773</v>
      </c>
      <c r="Q332" s="1">
        <v>45591</v>
      </c>
      <c r="R332" t="s">
        <v>4774</v>
      </c>
      <c r="S332" t="s">
        <v>4775</v>
      </c>
      <c r="T332" t="s">
        <v>51</v>
      </c>
      <c r="U332" t="s">
        <v>48</v>
      </c>
      <c r="V332" t="s">
        <v>389</v>
      </c>
      <c r="W332" t="s">
        <v>53</v>
      </c>
      <c r="X332" t="s">
        <v>311</v>
      </c>
      <c r="Y332" t="s">
        <v>152</v>
      </c>
      <c r="Z332" t="s">
        <v>153</v>
      </c>
      <c r="AA332" t="s">
        <v>4776</v>
      </c>
      <c r="AB332">
        <v>5</v>
      </c>
      <c r="AC332" t="s">
        <v>58</v>
      </c>
      <c r="AD332" t="s">
        <v>4777</v>
      </c>
      <c r="AE332" t="s">
        <v>92</v>
      </c>
      <c r="AF332" t="s">
        <v>61</v>
      </c>
      <c r="AG332">
        <v>1216800</v>
      </c>
      <c r="AH332" s="13">
        <v>24336</v>
      </c>
      <c r="AL332" t="s">
        <v>6220</v>
      </c>
      <c r="AM332" s="13">
        <v>24336</v>
      </c>
      <c r="AN332" s="16">
        <f>Table9[[#This Row],[Premium]]-Table9[[#This Row],[Tms prem]]</f>
        <v>0</v>
      </c>
    </row>
    <row r="333" spans="1:40" x14ac:dyDescent="0.25">
      <c r="A333">
        <v>376</v>
      </c>
      <c r="B333" t="s">
        <v>184</v>
      </c>
      <c r="C333" t="s">
        <v>4778</v>
      </c>
      <c r="D333" t="s">
        <v>39</v>
      </c>
      <c r="E333" t="s">
        <v>40</v>
      </c>
      <c r="F333" t="s">
        <v>483</v>
      </c>
      <c r="G333" t="s">
        <v>4779</v>
      </c>
      <c r="H333" t="s">
        <v>83</v>
      </c>
      <c r="I333" t="s">
        <v>4780</v>
      </c>
      <c r="J333" t="s">
        <v>4781</v>
      </c>
      <c r="K333" t="s">
        <v>4781</v>
      </c>
      <c r="L333" t="s">
        <v>4781</v>
      </c>
      <c r="M333" t="s">
        <v>4782</v>
      </c>
      <c r="N333">
        <v>1208508</v>
      </c>
      <c r="O333">
        <v>2703000</v>
      </c>
      <c r="P333" t="s">
        <v>4783</v>
      </c>
      <c r="Q333" s="1">
        <v>45590</v>
      </c>
      <c r="R333" t="s">
        <v>4784</v>
      </c>
      <c r="S333" t="s">
        <v>4785</v>
      </c>
      <c r="T333" t="s">
        <v>51</v>
      </c>
      <c r="U333" t="s">
        <v>48</v>
      </c>
      <c r="V333" t="s">
        <v>416</v>
      </c>
      <c r="W333" t="s">
        <v>53</v>
      </c>
      <c r="X333" t="s">
        <v>4786</v>
      </c>
      <c r="Y333" t="s">
        <v>152</v>
      </c>
      <c r="Z333" t="s">
        <v>153</v>
      </c>
      <c r="AA333" t="s">
        <v>4787</v>
      </c>
      <c r="AB333">
        <v>5</v>
      </c>
      <c r="AC333" t="s">
        <v>78</v>
      </c>
      <c r="AD333" t="s">
        <v>4788</v>
      </c>
      <c r="AE333" t="s">
        <v>3374</v>
      </c>
      <c r="AF333" t="s">
        <v>155</v>
      </c>
      <c r="AG333">
        <v>2162400</v>
      </c>
      <c r="AH333" s="13">
        <v>37842</v>
      </c>
      <c r="AL333" t="s">
        <v>6221</v>
      </c>
      <c r="AM333" s="13">
        <v>37842</v>
      </c>
      <c r="AN333" s="16">
        <f>Table9[[#This Row],[Premium]]-Table9[[#This Row],[Tms prem]]</f>
        <v>0</v>
      </c>
    </row>
    <row r="334" spans="1:40" x14ac:dyDescent="0.25">
      <c r="A334">
        <v>377</v>
      </c>
      <c r="B334" t="s">
        <v>37</v>
      </c>
      <c r="C334" t="s">
        <v>4789</v>
      </c>
      <c r="D334" t="s">
        <v>39</v>
      </c>
      <c r="E334" t="s">
        <v>40</v>
      </c>
      <c r="F334" t="s">
        <v>703</v>
      </c>
      <c r="G334" t="s">
        <v>4790</v>
      </c>
      <c r="H334" t="s">
        <v>422</v>
      </c>
      <c r="I334" t="s">
        <v>4791</v>
      </c>
      <c r="J334" t="s">
        <v>4792</v>
      </c>
      <c r="K334" t="s">
        <v>4792</v>
      </c>
      <c r="L334" t="s">
        <v>4792</v>
      </c>
      <c r="M334" t="s">
        <v>4793</v>
      </c>
      <c r="N334">
        <v>583437</v>
      </c>
      <c r="O334">
        <v>1335000</v>
      </c>
      <c r="P334" t="s">
        <v>4794</v>
      </c>
      <c r="Q334" s="1">
        <v>45591</v>
      </c>
      <c r="R334" t="s">
        <v>4795</v>
      </c>
      <c r="S334" t="s">
        <v>4796</v>
      </c>
      <c r="T334" t="s">
        <v>51</v>
      </c>
      <c r="U334" t="s">
        <v>48</v>
      </c>
      <c r="V334" t="s">
        <v>325</v>
      </c>
      <c r="W334" t="s">
        <v>53</v>
      </c>
      <c r="X334" t="s">
        <v>214</v>
      </c>
      <c r="Y334" t="s">
        <v>152</v>
      </c>
      <c r="Z334" t="s">
        <v>153</v>
      </c>
      <c r="AA334" t="s">
        <v>4797</v>
      </c>
      <c r="AB334">
        <v>5</v>
      </c>
      <c r="AC334" t="s">
        <v>58</v>
      </c>
      <c r="AD334" t="s">
        <v>4798</v>
      </c>
      <c r="AE334" t="s">
        <v>4799</v>
      </c>
      <c r="AF334" t="s">
        <v>61</v>
      </c>
      <c r="AG334">
        <v>1068000</v>
      </c>
      <c r="AH334" s="13">
        <v>21360</v>
      </c>
      <c r="AL334" t="s">
        <v>6222</v>
      </c>
      <c r="AM334" s="13">
        <v>21360</v>
      </c>
      <c r="AN334" s="16">
        <f>Table9[[#This Row],[Premium]]-Table9[[#This Row],[Tms prem]]</f>
        <v>0</v>
      </c>
    </row>
    <row r="335" spans="1:40" x14ac:dyDescent="0.25">
      <c r="A335">
        <v>378</v>
      </c>
      <c r="B335" t="s">
        <v>37</v>
      </c>
      <c r="C335" t="s">
        <v>4800</v>
      </c>
      <c r="D335" t="s">
        <v>39</v>
      </c>
      <c r="E335" t="s">
        <v>40</v>
      </c>
      <c r="F335" t="s">
        <v>63</v>
      </c>
      <c r="G335" t="s">
        <v>4801</v>
      </c>
      <c r="H335" t="s">
        <v>2024</v>
      </c>
      <c r="I335" t="s">
        <v>4802</v>
      </c>
      <c r="J335" t="s">
        <v>48</v>
      </c>
      <c r="K335" t="s">
        <v>4803</v>
      </c>
      <c r="L335" t="s">
        <v>48</v>
      </c>
      <c r="M335" t="s">
        <v>4804</v>
      </c>
      <c r="N335">
        <v>510372</v>
      </c>
      <c r="O335">
        <v>1335000</v>
      </c>
      <c r="P335" t="s">
        <v>4805</v>
      </c>
      <c r="Q335" s="1">
        <v>45591</v>
      </c>
      <c r="R335" t="s">
        <v>4806</v>
      </c>
      <c r="S335" t="s">
        <v>4807</v>
      </c>
      <c r="T335" t="s">
        <v>51</v>
      </c>
      <c r="U335" t="s">
        <v>48</v>
      </c>
      <c r="V335" t="s">
        <v>810</v>
      </c>
      <c r="W335" t="s">
        <v>53</v>
      </c>
      <c r="X335" t="s">
        <v>165</v>
      </c>
      <c r="Y335" t="s">
        <v>152</v>
      </c>
      <c r="Z335" t="s">
        <v>153</v>
      </c>
      <c r="AA335" t="s">
        <v>4808</v>
      </c>
      <c r="AB335">
        <v>5</v>
      </c>
      <c r="AC335" t="s">
        <v>78</v>
      </c>
      <c r="AD335" t="s">
        <v>4809</v>
      </c>
      <c r="AE335" t="s">
        <v>1430</v>
      </c>
      <c r="AF335" t="s">
        <v>61</v>
      </c>
      <c r="AG335">
        <v>1068000</v>
      </c>
      <c r="AH335" s="13">
        <v>21360</v>
      </c>
      <c r="AL335" t="s">
        <v>6223</v>
      </c>
      <c r="AM335" s="13">
        <v>21360</v>
      </c>
      <c r="AN335" s="16">
        <f>Table9[[#This Row],[Premium]]-Table9[[#This Row],[Tms prem]]</f>
        <v>0</v>
      </c>
    </row>
    <row r="337" spans="34:34" x14ac:dyDescent="0.25">
      <c r="AH337" s="14">
        <f>SUBTOTAL(9,Table9[Premium])</f>
        <v>13701580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80E74-1D06-42C0-A193-A5562D9E9992}">
  <dimension ref="A1:H336"/>
  <sheetViews>
    <sheetView tabSelected="1" topLeftCell="A333" workbookViewId="0">
      <selection activeCell="F334" sqref="F334"/>
    </sheetView>
  </sheetViews>
  <sheetFormatPr defaultRowHeight="15" x14ac:dyDescent="0.25"/>
  <cols>
    <col min="1" max="1" width="43.28515625" bestFit="1" customWidth="1"/>
    <col min="2" max="2" width="14.28515625" bestFit="1" customWidth="1"/>
    <col min="3" max="3" width="13.28515625" bestFit="1" customWidth="1"/>
    <col min="4" max="4" width="11.5703125" bestFit="1" customWidth="1"/>
    <col min="5" max="5" width="13.7109375" bestFit="1" customWidth="1"/>
    <col min="6" max="6" width="97.5703125" customWidth="1"/>
    <col min="7" max="7" width="88.42578125" customWidth="1"/>
    <col min="8" max="8" width="79.140625" customWidth="1"/>
  </cols>
  <sheetData>
    <row r="1" spans="1:8" x14ac:dyDescent="0.25">
      <c r="A1" s="23" t="s">
        <v>6904</v>
      </c>
      <c r="B1" t="s">
        <v>6905</v>
      </c>
      <c r="D1" s="24" t="s">
        <v>33</v>
      </c>
      <c r="E1" s="25" t="s">
        <v>6906</v>
      </c>
    </row>
    <row r="2" spans="1:8" ht="123.75" customHeight="1" x14ac:dyDescent="0.25">
      <c r="A2" s="18" t="s">
        <v>5896</v>
      </c>
      <c r="B2" s="26" t="str">
        <f>VLOOKUP(A2,policy!B:C,2,0)</f>
        <v>070000167978</v>
      </c>
      <c r="C2" s="31">
        <v>46928</v>
      </c>
      <c r="D2" s="27">
        <f>ROUND(C2,0)</f>
        <v>46928</v>
      </c>
      <c r="E2" s="25" t="s">
        <v>6906</v>
      </c>
      <c r="F2" s="28" t="str">
        <f t="shared" ref="F2:F65" si="0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2" s="29" t="str">
        <f>"('"&amp;E2&amp;"','"&amp;B2&amp;"','"&amp;D2&amp;"',(select max(to_number(i.premium_rcv_detail_code))+1
from ins_premium_det i),'"&amp;D2&amp;"','"&amp;D2&amp;"','02', '11000003','00','Request by Mr. Reheel Malik 02-Dec-2024');"</f>
        <v>('29Nov240034','070000167978','46928',(select max(to_number(i.premium_rcv_detail_code))+1
from ins_premium_det i),'46928','46928','02', '11000003','00','Request by Mr. Reheel Malik 02-Dec-2024');</v>
      </c>
      <c r="H2" s="30" t="str">
        <f>F2&amp;G2</f>
        <v>insert into ins_premium_det (premium_rcv_code,assorted_code, rec_amount,premium_rcv_detail_code,remaining_amt, payrec, mode_code,coinsurance_code,class_cd,it_remarks) values('29Nov240034','070000167978','46928',(select max(to_number(i.premium_rcv_detail_code))+1
from ins_premium_det i),'46928','46928','02', '11000003','00','Request by Mr. Reheel Malik 02-Dec-2024');</v>
      </c>
    </row>
    <row r="3" spans="1:8" ht="105" x14ac:dyDescent="0.25">
      <c r="A3" s="19" t="s">
        <v>5897</v>
      </c>
      <c r="B3" s="26" t="str">
        <f>VLOOKUP(A3,policy!B:C,2,0)</f>
        <v>070000167981</v>
      </c>
      <c r="C3" s="32">
        <v>52830</v>
      </c>
      <c r="D3" s="27">
        <f t="shared" ref="D3:D66" si="1">ROUND(C3,0)</f>
        <v>52830</v>
      </c>
      <c r="E3" s="25" t="s">
        <v>6906</v>
      </c>
      <c r="F3" s="28" t="str">
        <f t="shared" si="0"/>
        <v>insert into ins_premium_det (premium_rcv_code,assorted_code, rec_amount,premium_rcv_detail_code,remaining_amt, payrec, mode_code,coinsurance_code,class_cd,it_remarks) values</v>
      </c>
      <c r="G3" s="29" t="str">
        <f t="shared" ref="G3:G66" si="2">"('"&amp;E3&amp;"','"&amp;B3&amp;"','"&amp;D3&amp;"',(select max(to_number(i.premium_rcv_detail_code))+1
from ins_premium_det i),'"&amp;D3&amp;"','"&amp;D3&amp;"','02', '11000003','00','Request by Mr. Reheel Malik 02-Dec-2024');"</f>
        <v>('29Nov240034','070000167981','52830',(select max(to_number(i.premium_rcv_detail_code))+1
from ins_premium_det i),'52830','52830','02', '11000003','00','Request by Mr. Reheel Malik 02-Dec-2024');</v>
      </c>
      <c r="H3" s="30" t="str">
        <f t="shared" ref="H3:H66" si="3">F3&amp;G3</f>
        <v>insert into ins_premium_det (premium_rcv_code,assorted_code, rec_amount,premium_rcv_detail_code,remaining_amt, payrec, mode_code,coinsurance_code,class_cd,it_remarks) values('29Nov240034','070000167981','52830',(select max(to_number(i.premium_rcv_detail_code))+1
from ins_premium_det i),'52830','52830','02', '11000003','00','Request by Mr. Reheel Malik 02-Dec-2024');</v>
      </c>
    </row>
    <row r="4" spans="1:8" ht="105" x14ac:dyDescent="0.25">
      <c r="A4" s="18" t="s">
        <v>5898</v>
      </c>
      <c r="B4" s="26" t="str">
        <f>VLOOKUP(A4,policy!B:C,2,0)</f>
        <v>070000167982</v>
      </c>
      <c r="C4" s="31">
        <v>24336</v>
      </c>
      <c r="D4" s="27">
        <f t="shared" si="1"/>
        <v>24336</v>
      </c>
      <c r="E4" s="25" t="s">
        <v>6906</v>
      </c>
      <c r="F4" s="28" t="str">
        <f t="shared" si="0"/>
        <v>insert into ins_premium_det (premium_rcv_code,assorted_code, rec_amount,premium_rcv_detail_code,remaining_amt, payrec, mode_code,coinsurance_code,class_cd,it_remarks) values</v>
      </c>
      <c r="G4" s="29" t="str">
        <f t="shared" si="2"/>
        <v>('29Nov240034','070000167982','24336',(select max(to_number(i.premium_rcv_detail_code))+1
from ins_premium_det i),'24336','24336','02', '11000003','00','Request by Mr. Reheel Malik 02-Dec-2024');</v>
      </c>
      <c r="H4" s="30" t="str">
        <f t="shared" si="3"/>
        <v>insert into ins_premium_det (premium_rcv_code,assorted_code, rec_amount,premium_rcv_detail_code,remaining_amt, payrec, mode_code,coinsurance_code,class_cd,it_remarks) values('29Nov240034','070000167982','24336',(select max(to_number(i.premium_rcv_detail_code))+1
from ins_premium_det i),'24336','24336','02', '11000003','00','Request by Mr. Reheel Malik 02-Dec-2024');</v>
      </c>
    </row>
    <row r="5" spans="1:8" ht="105" x14ac:dyDescent="0.25">
      <c r="A5" s="19" t="s">
        <v>5899</v>
      </c>
      <c r="B5" s="26" t="str">
        <f>VLOOKUP(A5,policy!B:C,2,0)</f>
        <v>070000167983</v>
      </c>
      <c r="C5" s="32">
        <v>24336</v>
      </c>
      <c r="D5" s="27">
        <f t="shared" si="1"/>
        <v>24336</v>
      </c>
      <c r="E5" s="25" t="s">
        <v>6906</v>
      </c>
      <c r="F5" s="28" t="str">
        <f t="shared" si="0"/>
        <v>insert into ins_premium_det (premium_rcv_code,assorted_code, rec_amount,premium_rcv_detail_code,remaining_amt, payrec, mode_code,coinsurance_code,class_cd,it_remarks) values</v>
      </c>
      <c r="G5" s="29" t="str">
        <f t="shared" si="2"/>
        <v>('29Nov240034','070000167983','24336',(select max(to_number(i.premium_rcv_detail_code))+1
from ins_premium_det i),'24336','24336','02', '11000003','00','Request by Mr. Reheel Malik 02-Dec-2024');</v>
      </c>
      <c r="H5" s="30" t="str">
        <f t="shared" si="3"/>
        <v>insert into ins_premium_det (premium_rcv_code,assorted_code, rec_amount,premium_rcv_detail_code,remaining_amt, payrec, mode_code,coinsurance_code,class_cd,it_remarks) values('29Nov240034','070000167983','24336',(select max(to_number(i.premium_rcv_detail_code))+1
from ins_premium_det i),'24336','24336','02', '11000003','00','Request by Mr. Reheel Malik 02-Dec-2024');</v>
      </c>
    </row>
    <row r="6" spans="1:8" ht="105" x14ac:dyDescent="0.25">
      <c r="A6" s="18" t="s">
        <v>5900</v>
      </c>
      <c r="B6" s="26" t="str">
        <f>VLOOKUP(A6,policy!B:C,2,0)</f>
        <v>070000167984</v>
      </c>
      <c r="C6" s="31">
        <v>23840</v>
      </c>
      <c r="D6" s="27">
        <f t="shared" si="1"/>
        <v>23840</v>
      </c>
      <c r="E6" s="25" t="s">
        <v>6906</v>
      </c>
      <c r="F6" s="28" t="str">
        <f t="shared" si="0"/>
        <v>insert into ins_premium_det (premium_rcv_code,assorted_code, rec_amount,premium_rcv_detail_code,remaining_amt, payrec, mode_code,coinsurance_code,class_cd,it_remarks) values</v>
      </c>
      <c r="G6" s="29" t="str">
        <f t="shared" si="2"/>
        <v>('29Nov240034','070000167984','23840',(select max(to_number(i.premium_rcv_detail_code))+1
from ins_premium_det i),'23840','23840','02', '11000003','00','Request by Mr. Reheel Malik 02-Dec-2024');</v>
      </c>
      <c r="H6" s="30" t="str">
        <f t="shared" si="3"/>
        <v>insert into ins_premium_det (premium_rcv_code,assorted_code, rec_amount,premium_rcv_detail_code,remaining_amt, payrec, mode_code,coinsurance_code,class_cd,it_remarks) values('29Nov240034','070000167984','23840',(select max(to_number(i.premium_rcv_detail_code))+1
from ins_premium_det i),'23840','23840','02', '11000003','00','Request by Mr. Reheel Malik 02-Dec-2024');</v>
      </c>
    </row>
    <row r="7" spans="1:8" ht="105" x14ac:dyDescent="0.25">
      <c r="A7" s="19" t="s">
        <v>5901</v>
      </c>
      <c r="B7" s="26" t="str">
        <f>VLOOKUP(A7,policy!B:C,2,0)</f>
        <v>070000167985</v>
      </c>
      <c r="C7" s="32">
        <v>26240</v>
      </c>
      <c r="D7" s="27">
        <f t="shared" si="1"/>
        <v>26240</v>
      </c>
      <c r="E7" s="25" t="s">
        <v>6906</v>
      </c>
      <c r="F7" s="28" t="str">
        <f t="shared" si="0"/>
        <v>insert into ins_premium_det (premium_rcv_code,assorted_code, rec_amount,premium_rcv_detail_code,remaining_amt, payrec, mode_code,coinsurance_code,class_cd,it_remarks) values</v>
      </c>
      <c r="G7" s="29" t="str">
        <f t="shared" si="2"/>
        <v>('29Nov240034','070000167985','26240',(select max(to_number(i.premium_rcv_detail_code))+1
from ins_premium_det i),'26240','26240','02', '11000003','00','Request by Mr. Reheel Malik 02-Dec-2024');</v>
      </c>
      <c r="H7" s="30" t="str">
        <f t="shared" si="3"/>
        <v>insert into ins_premium_det (premium_rcv_code,assorted_code, rec_amount,premium_rcv_detail_code,remaining_amt, payrec, mode_code,coinsurance_code,class_cd,it_remarks) values('29Nov240034','070000167985','26240',(select max(to_number(i.premium_rcv_detail_code))+1
from ins_premium_det i),'26240','26240','02', '11000003','00','Request by Mr. Reheel Malik 02-Dec-2024');</v>
      </c>
    </row>
    <row r="8" spans="1:8" ht="105" x14ac:dyDescent="0.25">
      <c r="A8" s="18" t="s">
        <v>5902</v>
      </c>
      <c r="B8" s="26" t="str">
        <f>VLOOKUP(A8,policy!B:C,2,0)</f>
        <v>070000167986</v>
      </c>
      <c r="C8" s="31">
        <v>67410</v>
      </c>
      <c r="D8" s="27">
        <f t="shared" si="1"/>
        <v>67410</v>
      </c>
      <c r="E8" s="25" t="s">
        <v>6906</v>
      </c>
      <c r="F8" s="28" t="str">
        <f t="shared" si="0"/>
        <v>insert into ins_premium_det (premium_rcv_code,assorted_code, rec_amount,premium_rcv_detail_code,remaining_amt, payrec, mode_code,coinsurance_code,class_cd,it_remarks) values</v>
      </c>
      <c r="G8" s="29" t="str">
        <f t="shared" si="2"/>
        <v>('29Nov240034','070000167986','67410',(select max(to_number(i.premium_rcv_detail_code))+1
from ins_premium_det i),'67410','67410','02', '11000003','00','Request by Mr. Reheel Malik 02-Dec-2024');</v>
      </c>
      <c r="H8" s="30" t="str">
        <f t="shared" si="3"/>
        <v>insert into ins_premium_det (premium_rcv_code,assorted_code, rec_amount,premium_rcv_detail_code,remaining_amt, payrec, mode_code,coinsurance_code,class_cd,it_remarks) values('29Nov240034','070000167986','67410',(select max(to_number(i.premium_rcv_detail_code))+1
from ins_premium_det i),'67410','67410','02', '11000003','00','Request by Mr. Reheel Malik 02-Dec-2024');</v>
      </c>
    </row>
    <row r="9" spans="1:8" ht="105" x14ac:dyDescent="0.25">
      <c r="A9" s="19" t="s">
        <v>5903</v>
      </c>
      <c r="B9" s="26" t="str">
        <f>VLOOKUP(A9,policy!B:C,2,0)</f>
        <v>070000167987</v>
      </c>
      <c r="C9" s="32">
        <v>74242</v>
      </c>
      <c r="D9" s="27">
        <f t="shared" si="1"/>
        <v>74242</v>
      </c>
      <c r="E9" s="25" t="s">
        <v>6906</v>
      </c>
      <c r="F9" s="28" t="str">
        <f t="shared" si="0"/>
        <v>insert into ins_premium_det (premium_rcv_code,assorted_code, rec_amount,premium_rcv_detail_code,remaining_amt, payrec, mode_code,coinsurance_code,class_cd,it_remarks) values</v>
      </c>
      <c r="G9" s="29" t="str">
        <f t="shared" si="2"/>
        <v>('29Nov240034','070000167987','74242',(select max(to_number(i.premium_rcv_detail_code))+1
from ins_premium_det i),'74242','74242','02', '11000003','00','Request by Mr. Reheel Malik 02-Dec-2024');</v>
      </c>
      <c r="H9" s="30" t="str">
        <f t="shared" si="3"/>
        <v>insert into ins_premium_det (premium_rcv_code,assorted_code, rec_amount,premium_rcv_detail_code,remaining_amt, payrec, mode_code,coinsurance_code,class_cd,it_remarks) values('29Nov240034','070000167987','74242',(select max(to_number(i.premium_rcv_detail_code))+1
from ins_premium_det i),'74242','74242','02', '11000003','00','Request by Mr. Reheel Malik 02-Dec-2024');</v>
      </c>
    </row>
    <row r="10" spans="1:8" ht="105" x14ac:dyDescent="0.25">
      <c r="A10" s="18" t="s">
        <v>5904</v>
      </c>
      <c r="B10" s="26" t="str">
        <f>VLOOKUP(A10,policy!B:C,2,0)</f>
        <v>070000167988</v>
      </c>
      <c r="C10" s="31">
        <v>22400</v>
      </c>
      <c r="D10" s="27">
        <f t="shared" si="1"/>
        <v>22400</v>
      </c>
      <c r="E10" s="25" t="s">
        <v>6906</v>
      </c>
      <c r="F10" s="28" t="str">
        <f t="shared" si="0"/>
        <v>insert into ins_premium_det (premium_rcv_code,assorted_code, rec_amount,premium_rcv_detail_code,remaining_amt, payrec, mode_code,coinsurance_code,class_cd,it_remarks) values</v>
      </c>
      <c r="G10" s="29" t="str">
        <f t="shared" si="2"/>
        <v>('29Nov240034','070000167988','22400',(select max(to_number(i.premium_rcv_detail_code))+1
from ins_premium_det i),'22400','22400','02', '11000003','00','Request by Mr. Reheel Malik 02-Dec-2024');</v>
      </c>
      <c r="H10" s="30" t="str">
        <f t="shared" si="3"/>
        <v>insert into ins_premium_det (premium_rcv_code,assorted_code, rec_amount,premium_rcv_detail_code,remaining_amt, payrec, mode_code,coinsurance_code,class_cd,it_remarks) values('29Nov240034','070000167988','22400',(select max(to_number(i.premium_rcv_detail_code))+1
from ins_premium_det i),'22400','22400','02', '11000003','00','Request by Mr. Reheel Malik 02-Dec-2024');</v>
      </c>
    </row>
    <row r="11" spans="1:8" ht="105" x14ac:dyDescent="0.25">
      <c r="A11" s="19" t="s">
        <v>5905</v>
      </c>
      <c r="B11" s="26" t="str">
        <f>VLOOKUP(A11,policy!B:C,2,0)</f>
        <v>070000167989</v>
      </c>
      <c r="C11" s="32">
        <v>25760</v>
      </c>
      <c r="D11" s="27">
        <f t="shared" si="1"/>
        <v>25760</v>
      </c>
      <c r="E11" s="25" t="s">
        <v>6906</v>
      </c>
      <c r="F11" s="28" t="str">
        <f t="shared" si="0"/>
        <v>insert into ins_premium_det (premium_rcv_code,assorted_code, rec_amount,premium_rcv_detail_code,remaining_amt, payrec, mode_code,coinsurance_code,class_cd,it_remarks) values</v>
      </c>
      <c r="G11" s="29" t="str">
        <f t="shared" si="2"/>
        <v>('29Nov240034','070000167989','25760',(select max(to_number(i.premium_rcv_detail_code))+1
from ins_premium_det i),'25760','25760','02', '11000003','00','Request by Mr. Reheel Malik 02-Dec-2024');</v>
      </c>
      <c r="H11" s="30" t="str">
        <f t="shared" si="3"/>
        <v>insert into ins_premium_det (premium_rcv_code,assorted_code, rec_amount,premium_rcv_detail_code,remaining_amt, payrec, mode_code,coinsurance_code,class_cd,it_remarks) values('29Nov240034','070000167989','25760',(select max(to_number(i.premium_rcv_detail_code))+1
from ins_premium_det i),'25760','25760','02', '11000003','00','Request by Mr. Reheel Malik 02-Dec-2024');</v>
      </c>
    </row>
    <row r="12" spans="1:8" ht="105" x14ac:dyDescent="0.25">
      <c r="A12" s="18" t="s">
        <v>5906</v>
      </c>
      <c r="B12" s="26" t="str">
        <f>VLOOKUP(A12,policy!B:C,2,0)</f>
        <v>070000167990</v>
      </c>
      <c r="C12" s="31">
        <v>24336</v>
      </c>
      <c r="D12" s="27">
        <f t="shared" si="1"/>
        <v>24336</v>
      </c>
      <c r="E12" s="25" t="s">
        <v>6906</v>
      </c>
      <c r="F12" s="28" t="str">
        <f t="shared" si="0"/>
        <v>insert into ins_premium_det (premium_rcv_code,assorted_code, rec_amount,premium_rcv_detail_code,remaining_amt, payrec, mode_code,coinsurance_code,class_cd,it_remarks) values</v>
      </c>
      <c r="G12" s="29" t="str">
        <f t="shared" si="2"/>
        <v>('29Nov240034','070000167990','24336',(select max(to_number(i.premium_rcv_detail_code))+1
from ins_premium_det i),'24336','24336','02', '11000003','00','Request by Mr. Reheel Malik 02-Dec-2024');</v>
      </c>
      <c r="H12" s="30" t="str">
        <f t="shared" si="3"/>
        <v>insert into ins_premium_det (premium_rcv_code,assorted_code, rec_amount,premium_rcv_detail_code,remaining_amt, payrec, mode_code,coinsurance_code,class_cd,it_remarks) values('29Nov240034','070000167990','24336',(select max(to_number(i.premium_rcv_detail_code))+1
from ins_premium_det i),'24336','24336','02', '11000003','00','Request by Mr. Reheel Malik 02-Dec-2024');</v>
      </c>
    </row>
    <row r="13" spans="1:8" ht="105" x14ac:dyDescent="0.25">
      <c r="A13" s="19" t="s">
        <v>5907</v>
      </c>
      <c r="B13" s="26" t="str">
        <f>VLOOKUP(A13,policy!B:C,2,0)</f>
        <v>070000167991</v>
      </c>
      <c r="C13" s="32">
        <v>25760</v>
      </c>
      <c r="D13" s="27">
        <f t="shared" si="1"/>
        <v>25760</v>
      </c>
      <c r="E13" s="25" t="s">
        <v>6906</v>
      </c>
      <c r="F13" s="28" t="str">
        <f t="shared" si="0"/>
        <v>insert into ins_premium_det (premium_rcv_code,assorted_code, rec_amount,premium_rcv_detail_code,remaining_amt, payrec, mode_code,coinsurance_code,class_cd,it_remarks) values</v>
      </c>
      <c r="G13" s="29" t="str">
        <f t="shared" si="2"/>
        <v>('29Nov240034','070000167991','25760',(select max(to_number(i.premium_rcv_detail_code))+1
from ins_premium_det i),'25760','25760','02', '11000003','00','Request by Mr. Reheel Malik 02-Dec-2024');</v>
      </c>
      <c r="H13" s="30" t="str">
        <f t="shared" si="3"/>
        <v>insert into ins_premium_det (premium_rcv_code,assorted_code, rec_amount,premium_rcv_detail_code,remaining_amt, payrec, mode_code,coinsurance_code,class_cd,it_remarks) values('29Nov240034','070000167991','25760',(select max(to_number(i.premium_rcv_detail_code))+1
from ins_premium_det i),'25760','25760','02', '11000003','00','Request by Mr. Reheel Malik 02-Dec-2024');</v>
      </c>
    </row>
    <row r="14" spans="1:8" ht="105" x14ac:dyDescent="0.25">
      <c r="A14" s="18" t="s">
        <v>5908</v>
      </c>
      <c r="B14" s="26" t="str">
        <f>VLOOKUP(A14,policy!B:C,2,0)</f>
        <v>070000167993</v>
      </c>
      <c r="C14" s="31">
        <v>43248</v>
      </c>
      <c r="D14" s="27">
        <f t="shared" si="1"/>
        <v>43248</v>
      </c>
      <c r="E14" s="25" t="s">
        <v>6906</v>
      </c>
      <c r="F14" s="28" t="str">
        <f t="shared" si="0"/>
        <v>insert into ins_premium_det (premium_rcv_code,assorted_code, rec_amount,premium_rcv_detail_code,remaining_amt, payrec, mode_code,coinsurance_code,class_cd,it_remarks) values</v>
      </c>
      <c r="G14" s="29" t="str">
        <f t="shared" si="2"/>
        <v>('29Nov240034','070000167993','43248',(select max(to_number(i.premium_rcv_detail_code))+1
from ins_premium_det i),'43248','43248','02', '11000003','00','Request by Mr. Reheel Malik 02-Dec-2024');</v>
      </c>
      <c r="H14" s="30" t="str">
        <f t="shared" si="3"/>
        <v>insert into ins_premium_det (premium_rcv_code,assorted_code, rec_amount,premium_rcv_detail_code,remaining_amt, payrec, mode_code,coinsurance_code,class_cd,it_remarks) values('29Nov240034','070000167993','43248',(select max(to_number(i.premium_rcv_detail_code))+1
from ins_premium_det i),'43248','43248','02', '11000003','00','Request by Mr. Reheel Malik 02-Dec-2024');</v>
      </c>
    </row>
    <row r="15" spans="1:8" ht="105" x14ac:dyDescent="0.25">
      <c r="A15" s="19" t="s">
        <v>5909</v>
      </c>
      <c r="B15" s="26" t="str">
        <f>VLOOKUP(A15,policy!B:C,2,0)</f>
        <v>070000167994</v>
      </c>
      <c r="C15" s="32">
        <v>43400</v>
      </c>
      <c r="D15" s="27">
        <f t="shared" si="1"/>
        <v>43400</v>
      </c>
      <c r="E15" s="25" t="s">
        <v>6906</v>
      </c>
      <c r="F15" s="28" t="str">
        <f t="shared" si="0"/>
        <v>insert into ins_premium_det (premium_rcv_code,assorted_code, rec_amount,premium_rcv_detail_code,remaining_amt, payrec, mode_code,coinsurance_code,class_cd,it_remarks) values</v>
      </c>
      <c r="G15" s="29" t="str">
        <f t="shared" si="2"/>
        <v>('29Nov240034','070000167994','43400',(select max(to_number(i.premium_rcv_detail_code))+1
from ins_premium_det i),'43400','43400','02', '11000003','00','Request by Mr. Reheel Malik 02-Dec-2024');</v>
      </c>
      <c r="H15" s="30" t="str">
        <f t="shared" si="3"/>
        <v>insert into ins_premium_det (premium_rcv_code,assorted_code, rec_amount,premium_rcv_detail_code,remaining_amt, payrec, mode_code,coinsurance_code,class_cd,it_remarks) values('29Nov240034','070000167994','43400',(select max(to_number(i.premium_rcv_detail_code))+1
from ins_premium_det i),'43400','43400','02', '11000003','00','Request by Mr. Reheel Malik 02-Dec-2024');</v>
      </c>
    </row>
    <row r="16" spans="1:8" ht="105" x14ac:dyDescent="0.25">
      <c r="A16" s="18" t="s">
        <v>5910</v>
      </c>
      <c r="B16" s="26" t="str">
        <f>VLOOKUP(A16,policy!B:C,2,0)</f>
        <v>070000168008</v>
      </c>
      <c r="C16" s="31">
        <v>22384</v>
      </c>
      <c r="D16" s="27">
        <f t="shared" si="1"/>
        <v>22384</v>
      </c>
      <c r="E16" s="25" t="s">
        <v>6906</v>
      </c>
      <c r="F16" s="28" t="str">
        <f t="shared" si="0"/>
        <v>insert into ins_premium_det (premium_rcv_code,assorted_code, rec_amount,premium_rcv_detail_code,remaining_amt, payrec, mode_code,coinsurance_code,class_cd,it_remarks) values</v>
      </c>
      <c r="G16" s="29" t="str">
        <f t="shared" si="2"/>
        <v>('29Nov240034','070000168008','22384',(select max(to_number(i.premium_rcv_detail_code))+1
from ins_premium_det i),'22384','22384','02', '11000003','00','Request by Mr. Reheel Malik 02-Dec-2024');</v>
      </c>
      <c r="H16" s="30" t="str">
        <f t="shared" si="3"/>
        <v>insert into ins_premium_det (premium_rcv_code,assorted_code, rec_amount,premium_rcv_detail_code,remaining_amt, payrec, mode_code,coinsurance_code,class_cd,it_remarks) values('29Nov240034','070000168008','22384',(select max(to_number(i.premium_rcv_detail_code))+1
from ins_premium_det i),'22384','22384','02', '11000003','00','Request by Mr. Reheel Malik 02-Dec-2024');</v>
      </c>
    </row>
    <row r="17" spans="1:8" ht="105" x14ac:dyDescent="0.25">
      <c r="A17" s="19" t="s">
        <v>5911</v>
      </c>
      <c r="B17" s="26" t="str">
        <f>VLOOKUP(A17,policy!B:C,2,0)</f>
        <v>070000168009</v>
      </c>
      <c r="C17" s="32">
        <v>21360</v>
      </c>
      <c r="D17" s="27">
        <f t="shared" si="1"/>
        <v>21360</v>
      </c>
      <c r="E17" s="25" t="s">
        <v>6906</v>
      </c>
      <c r="F17" s="28" t="str">
        <f t="shared" si="0"/>
        <v>insert into ins_premium_det (premium_rcv_code,assorted_code, rec_amount,premium_rcv_detail_code,remaining_amt, payrec, mode_code,coinsurance_code,class_cd,it_remarks) values</v>
      </c>
      <c r="G17" s="29" t="str">
        <f t="shared" si="2"/>
        <v>('29Nov240034','070000168009','21360',(select max(to_number(i.premium_rcv_detail_code))+1
from ins_premium_det i),'21360','21360','02', '11000003','00','Request by Mr. Reheel Malik 02-Dec-2024');</v>
      </c>
      <c r="H17" s="30" t="str">
        <f t="shared" si="3"/>
        <v>insert into ins_premium_det (premium_rcv_code,assorted_code, rec_amount,premium_rcv_detail_code,remaining_amt, payrec, mode_code,coinsurance_code,class_cd,it_remarks) values('29Nov240034','070000168009','21360',(select max(to_number(i.premium_rcv_detail_code))+1
from ins_premium_det i),'21360','21360','02', '11000003','00','Request by Mr. Reheel Malik 02-Dec-2024');</v>
      </c>
    </row>
    <row r="18" spans="1:8" ht="105" x14ac:dyDescent="0.25">
      <c r="A18" s="18" t="s">
        <v>5912</v>
      </c>
      <c r="B18" s="26" t="str">
        <f>VLOOKUP(A18,policy!B:C,2,0)</f>
        <v>070000167555</v>
      </c>
      <c r="C18" s="31">
        <v>21360</v>
      </c>
      <c r="D18" s="27">
        <f t="shared" si="1"/>
        <v>21360</v>
      </c>
      <c r="E18" s="25" t="s">
        <v>6906</v>
      </c>
      <c r="F18" s="28" t="str">
        <f t="shared" si="0"/>
        <v>insert into ins_premium_det (premium_rcv_code,assorted_code, rec_amount,premium_rcv_detail_code,remaining_amt, payrec, mode_code,coinsurance_code,class_cd,it_remarks) values</v>
      </c>
      <c r="G18" s="29" t="str">
        <f t="shared" si="2"/>
        <v>('29Nov240034','070000167555','21360',(select max(to_number(i.premium_rcv_detail_code))+1
from ins_premium_det i),'21360','21360','02', '11000003','00','Request by Mr. Reheel Malik 02-Dec-2024');</v>
      </c>
      <c r="H18" s="30" t="str">
        <f t="shared" si="3"/>
        <v>insert into ins_premium_det (premium_rcv_code,assorted_code, rec_amount,premium_rcv_detail_code,remaining_amt, payrec, mode_code,coinsurance_code,class_cd,it_remarks) values('29Nov240034','070000167555','21360',(select max(to_number(i.premium_rcv_detail_code))+1
from ins_premium_det i),'21360','21360','02', '11000003','00','Request by Mr. Reheel Malik 02-Dec-2024');</v>
      </c>
    </row>
    <row r="19" spans="1:8" ht="105" x14ac:dyDescent="0.25">
      <c r="A19" s="19" t="s">
        <v>5913</v>
      </c>
      <c r="B19" s="26" t="str">
        <f>VLOOKUP(A19,policy!B:C,2,0)</f>
        <v>070000168010</v>
      </c>
      <c r="C19" s="32">
        <v>26480</v>
      </c>
      <c r="D19" s="27">
        <f t="shared" si="1"/>
        <v>26480</v>
      </c>
      <c r="E19" s="25" t="s">
        <v>6906</v>
      </c>
      <c r="F19" s="28" t="str">
        <f t="shared" si="0"/>
        <v>insert into ins_premium_det (premium_rcv_code,assorted_code, rec_amount,premium_rcv_detail_code,remaining_amt, payrec, mode_code,coinsurance_code,class_cd,it_remarks) values</v>
      </c>
      <c r="G19" s="29" t="str">
        <f t="shared" si="2"/>
        <v>('29Nov240034','070000168010','26480',(select max(to_number(i.premium_rcv_detail_code))+1
from ins_premium_det i),'26480','26480','02', '11000003','00','Request by Mr. Reheel Malik 02-Dec-2024');</v>
      </c>
      <c r="H19" s="30" t="str">
        <f t="shared" si="3"/>
        <v>insert into ins_premium_det (premium_rcv_code,assorted_code, rec_amount,premium_rcv_detail_code,remaining_amt, payrec, mode_code,coinsurance_code,class_cd,it_remarks) values('29Nov240034','070000168010','26480',(select max(to_number(i.premium_rcv_detail_code))+1
from ins_premium_det i),'26480','26480','02', '11000003','00','Request by Mr. Reheel Malik 02-Dec-2024');</v>
      </c>
    </row>
    <row r="20" spans="1:8" ht="105" x14ac:dyDescent="0.25">
      <c r="A20" s="18" t="s">
        <v>5914</v>
      </c>
      <c r="B20" s="26" t="str">
        <f>VLOOKUP(A20,policy!B:C,2,0)</f>
        <v>070000168011</v>
      </c>
      <c r="C20" s="31">
        <v>21600</v>
      </c>
      <c r="D20" s="27">
        <f t="shared" si="1"/>
        <v>21600</v>
      </c>
      <c r="E20" s="25" t="s">
        <v>6906</v>
      </c>
      <c r="F20" s="28" t="str">
        <f t="shared" si="0"/>
        <v>insert into ins_premium_det (premium_rcv_code,assorted_code, rec_amount,premium_rcv_detail_code,remaining_amt, payrec, mode_code,coinsurance_code,class_cd,it_remarks) values</v>
      </c>
      <c r="G20" s="29" t="str">
        <f t="shared" si="2"/>
        <v>('29Nov240034','070000168011','21600',(select max(to_number(i.premium_rcv_detail_code))+1
from ins_premium_det i),'21600','21600','02', '11000003','00','Request by Mr. Reheel Malik 02-Dec-2024');</v>
      </c>
      <c r="H20" s="30" t="str">
        <f t="shared" si="3"/>
        <v>insert into ins_premium_det (premium_rcv_code,assorted_code, rec_amount,premium_rcv_detail_code,remaining_amt, payrec, mode_code,coinsurance_code,class_cd,it_remarks) values('29Nov240034','070000168011','21600',(select max(to_number(i.premium_rcv_detail_code))+1
from ins_premium_det i),'21600','21600','02', '11000003','00','Request by Mr. Reheel Malik 02-Dec-2024');</v>
      </c>
    </row>
    <row r="21" spans="1:8" ht="105" x14ac:dyDescent="0.25">
      <c r="A21" s="19" t="s">
        <v>5915</v>
      </c>
      <c r="B21" s="26" t="str">
        <f>VLOOKUP(A21,policy!B:C,2,0)</f>
        <v>070000168013</v>
      </c>
      <c r="C21" s="32">
        <v>21360</v>
      </c>
      <c r="D21" s="27">
        <f t="shared" si="1"/>
        <v>21360</v>
      </c>
      <c r="E21" s="25" t="s">
        <v>6906</v>
      </c>
      <c r="F21" s="28" t="str">
        <f t="shared" si="0"/>
        <v>insert into ins_premium_det (premium_rcv_code,assorted_code, rec_amount,premium_rcv_detail_code,remaining_amt, payrec, mode_code,coinsurance_code,class_cd,it_remarks) values</v>
      </c>
      <c r="G21" s="29" t="str">
        <f t="shared" si="2"/>
        <v>('29Nov240034','070000168013','21360',(select max(to_number(i.premium_rcv_detail_code))+1
from ins_premium_det i),'21360','21360','02', '11000003','00','Request by Mr. Reheel Malik 02-Dec-2024');</v>
      </c>
      <c r="H21" s="30" t="str">
        <f t="shared" si="3"/>
        <v>insert into ins_premium_det (premium_rcv_code,assorted_code, rec_amount,premium_rcv_detail_code,remaining_amt, payrec, mode_code,coinsurance_code,class_cd,it_remarks) values('29Nov240034','070000168013','21360',(select max(to_number(i.premium_rcv_detail_code))+1
from ins_premium_det i),'21360','21360','02', '11000003','00','Request by Mr. Reheel Malik 02-Dec-2024');</v>
      </c>
    </row>
    <row r="22" spans="1:8" ht="105" x14ac:dyDescent="0.25">
      <c r="A22" s="18" t="s">
        <v>5916</v>
      </c>
      <c r="B22" s="26" t="str">
        <f>VLOOKUP(A22,policy!B:C,2,0)</f>
        <v>070000168015</v>
      </c>
      <c r="C22" s="31">
        <v>24336</v>
      </c>
      <c r="D22" s="27">
        <f t="shared" si="1"/>
        <v>24336</v>
      </c>
      <c r="E22" s="25" t="s">
        <v>6906</v>
      </c>
      <c r="F22" s="28" t="str">
        <f t="shared" si="0"/>
        <v>insert into ins_premium_det (premium_rcv_code,assorted_code, rec_amount,premium_rcv_detail_code,remaining_amt, payrec, mode_code,coinsurance_code,class_cd,it_remarks) values</v>
      </c>
      <c r="G22" s="29" t="str">
        <f t="shared" si="2"/>
        <v>('29Nov240034','070000168015','24336',(select max(to_number(i.premium_rcv_detail_code))+1
from ins_premium_det i),'24336','24336','02', '11000003','00','Request by Mr. Reheel Malik 02-Dec-2024');</v>
      </c>
      <c r="H22" s="30" t="str">
        <f t="shared" si="3"/>
        <v>insert into ins_premium_det (premium_rcv_code,assorted_code, rec_amount,premium_rcv_detail_code,remaining_amt, payrec, mode_code,coinsurance_code,class_cd,it_remarks) values('29Nov240034','070000168015','24336',(select max(to_number(i.premium_rcv_detail_code))+1
from ins_premium_det i),'24336','24336','02', '11000003','00','Request by Mr. Reheel Malik 02-Dec-2024');</v>
      </c>
    </row>
    <row r="23" spans="1:8" ht="105" x14ac:dyDescent="0.25">
      <c r="A23" s="19" t="s">
        <v>5917</v>
      </c>
      <c r="B23" s="26" t="str">
        <f>VLOOKUP(A23,policy!B:C,2,0)</f>
        <v>070000168017</v>
      </c>
      <c r="C23" s="32">
        <v>28160</v>
      </c>
      <c r="D23" s="27">
        <f t="shared" si="1"/>
        <v>28160</v>
      </c>
      <c r="E23" s="25" t="s">
        <v>6906</v>
      </c>
      <c r="F23" s="28" t="str">
        <f t="shared" si="0"/>
        <v>insert into ins_premium_det (premium_rcv_code,assorted_code, rec_amount,premium_rcv_detail_code,remaining_amt, payrec, mode_code,coinsurance_code,class_cd,it_remarks) values</v>
      </c>
      <c r="G23" s="29" t="str">
        <f t="shared" si="2"/>
        <v>('29Nov240034','070000168017','28160',(select max(to_number(i.premium_rcv_detail_code))+1
from ins_premium_det i),'28160','28160','02', '11000003','00','Request by Mr. Reheel Malik 02-Dec-2024');</v>
      </c>
      <c r="H23" s="30" t="str">
        <f t="shared" si="3"/>
        <v>insert into ins_premium_det (premium_rcv_code,assorted_code, rec_amount,premium_rcv_detail_code,remaining_amt, payrec, mode_code,coinsurance_code,class_cd,it_remarks) values('29Nov240034','070000168017','28160',(select max(to_number(i.premium_rcv_detail_code))+1
from ins_premium_det i),'28160','28160','02', '11000003','00','Request by Mr. Reheel Malik 02-Dec-2024');</v>
      </c>
    </row>
    <row r="24" spans="1:8" ht="105" x14ac:dyDescent="0.25">
      <c r="A24" s="18" t="s">
        <v>5918</v>
      </c>
      <c r="B24" s="26" t="str">
        <f>VLOOKUP(A24,policy!B:C,2,0)</f>
        <v>070000168018</v>
      </c>
      <c r="C24" s="31">
        <v>42400</v>
      </c>
      <c r="D24" s="27">
        <f t="shared" si="1"/>
        <v>42400</v>
      </c>
      <c r="E24" s="25" t="s">
        <v>6906</v>
      </c>
      <c r="F24" s="28" t="str">
        <f t="shared" si="0"/>
        <v>insert into ins_premium_det (premium_rcv_code,assorted_code, rec_amount,premium_rcv_detail_code,remaining_amt, payrec, mode_code,coinsurance_code,class_cd,it_remarks) values</v>
      </c>
      <c r="G24" s="29" t="str">
        <f t="shared" si="2"/>
        <v>('29Nov240034','070000168018','42400',(select max(to_number(i.premium_rcv_detail_code))+1
from ins_premium_det i),'42400','42400','02', '11000003','00','Request by Mr. Reheel Malik 02-Dec-2024');</v>
      </c>
      <c r="H24" s="30" t="str">
        <f t="shared" si="3"/>
        <v>insert into ins_premium_det (premium_rcv_code,assorted_code, rec_amount,premium_rcv_detail_code,remaining_amt, payrec, mode_code,coinsurance_code,class_cd,it_remarks) values('29Nov240034','070000168018','42400',(select max(to_number(i.premium_rcv_detail_code))+1
from ins_premium_det i),'42400','42400','02', '11000003','00','Request by Mr. Reheel Malik 02-Dec-2024');</v>
      </c>
    </row>
    <row r="25" spans="1:8" ht="105" x14ac:dyDescent="0.25">
      <c r="A25" s="19" t="s">
        <v>5919</v>
      </c>
      <c r="B25" s="26" t="str">
        <f>VLOOKUP(A25,policy!B:C,2,0)</f>
        <v>070000168019</v>
      </c>
      <c r="C25" s="32">
        <v>46928</v>
      </c>
      <c r="D25" s="27">
        <f t="shared" si="1"/>
        <v>46928</v>
      </c>
      <c r="E25" s="25" t="s">
        <v>6906</v>
      </c>
      <c r="F25" s="28" t="str">
        <f t="shared" si="0"/>
        <v>insert into ins_premium_det (premium_rcv_code,assorted_code, rec_amount,premium_rcv_detail_code,remaining_amt, payrec, mode_code,coinsurance_code,class_cd,it_remarks) values</v>
      </c>
      <c r="G25" s="29" t="str">
        <f t="shared" si="2"/>
        <v>('29Nov240034','070000168019','46928',(select max(to_number(i.premium_rcv_detail_code))+1
from ins_premium_det i),'46928','46928','02', '11000003','00','Request by Mr. Reheel Malik 02-Dec-2024');</v>
      </c>
      <c r="H25" s="30" t="str">
        <f t="shared" si="3"/>
        <v>insert into ins_premium_det (premium_rcv_code,assorted_code, rec_amount,premium_rcv_detail_code,remaining_amt, payrec, mode_code,coinsurance_code,class_cd,it_remarks) values('29Nov240034','070000168019','46928',(select max(to_number(i.premium_rcv_detail_code))+1
from ins_premium_det i),'46928','46928','02', '11000003','00','Request by Mr. Reheel Malik 02-Dec-2024');</v>
      </c>
    </row>
    <row r="26" spans="1:8" ht="105" x14ac:dyDescent="0.25">
      <c r="A26" s="18" t="s">
        <v>5920</v>
      </c>
      <c r="B26" s="26" t="str">
        <f>VLOOKUP(A26,policy!B:C,2,0)</f>
        <v>070000168020</v>
      </c>
      <c r="C26" s="31">
        <v>41520</v>
      </c>
      <c r="D26" s="27">
        <f t="shared" si="1"/>
        <v>41520</v>
      </c>
      <c r="E26" s="25" t="s">
        <v>6906</v>
      </c>
      <c r="F26" s="28" t="str">
        <f t="shared" si="0"/>
        <v>insert into ins_premium_det (premium_rcv_code,assorted_code, rec_amount,premium_rcv_detail_code,remaining_amt, payrec, mode_code,coinsurance_code,class_cd,it_remarks) values</v>
      </c>
      <c r="G26" s="29" t="str">
        <f t="shared" si="2"/>
        <v>('29Nov240034','070000168020','41520',(select max(to_number(i.premium_rcv_detail_code))+1
from ins_premium_det i),'41520','41520','02', '11000003','00','Request by Mr. Reheel Malik 02-Dec-2024');</v>
      </c>
      <c r="H26" s="30" t="str">
        <f t="shared" si="3"/>
        <v>insert into ins_premium_det (premium_rcv_code,assorted_code, rec_amount,premium_rcv_detail_code,remaining_amt, payrec, mode_code,coinsurance_code,class_cd,it_remarks) values('29Nov240034','070000168020','41520',(select max(to_number(i.premium_rcv_detail_code))+1
from ins_premium_det i),'41520','41520','02', '11000003','00','Request by Mr. Reheel Malik 02-Dec-2024');</v>
      </c>
    </row>
    <row r="27" spans="1:8" ht="105" x14ac:dyDescent="0.25">
      <c r="A27" s="19" t="s">
        <v>5921</v>
      </c>
      <c r="B27" s="26" t="str">
        <f>VLOOKUP(A27,policy!B:C,2,0)</f>
        <v>070000168021</v>
      </c>
      <c r="C27" s="32">
        <v>43248</v>
      </c>
      <c r="D27" s="27">
        <f t="shared" si="1"/>
        <v>43248</v>
      </c>
      <c r="E27" s="25" t="s">
        <v>6906</v>
      </c>
      <c r="F27" s="28" t="str">
        <f t="shared" si="0"/>
        <v>insert into ins_premium_det (premium_rcv_code,assorted_code, rec_amount,premium_rcv_detail_code,remaining_amt, payrec, mode_code,coinsurance_code,class_cd,it_remarks) values</v>
      </c>
      <c r="G27" s="29" t="str">
        <f t="shared" si="2"/>
        <v>('29Nov240034','070000168021','43248',(select max(to_number(i.premium_rcv_detail_code))+1
from ins_premium_det i),'43248','43248','02', '11000003','00','Request by Mr. Reheel Malik 02-Dec-2024');</v>
      </c>
      <c r="H27" s="30" t="str">
        <f t="shared" si="3"/>
        <v>insert into ins_premium_det (premium_rcv_code,assorted_code, rec_amount,premium_rcv_detail_code,remaining_amt, payrec, mode_code,coinsurance_code,class_cd,it_remarks) values('29Nov240034','070000168021','43248',(select max(to_number(i.premium_rcv_detail_code))+1
from ins_premium_det i),'43248','43248','02', '11000003','00','Request by Mr. Reheel Malik 02-Dec-2024');</v>
      </c>
    </row>
    <row r="28" spans="1:8" ht="105" x14ac:dyDescent="0.25">
      <c r="A28" s="18" t="s">
        <v>5922</v>
      </c>
      <c r="B28" s="26" t="str">
        <f>VLOOKUP(A28,policy!B:C,2,0)</f>
        <v>070000168022</v>
      </c>
      <c r="C28" s="31">
        <v>45840</v>
      </c>
      <c r="D28" s="27">
        <f t="shared" si="1"/>
        <v>45840</v>
      </c>
      <c r="E28" s="25" t="s">
        <v>6906</v>
      </c>
      <c r="F28" s="28" t="str">
        <f t="shared" si="0"/>
        <v>insert into ins_premium_det (premium_rcv_code,assorted_code, rec_amount,premium_rcv_detail_code,remaining_amt, payrec, mode_code,coinsurance_code,class_cd,it_remarks) values</v>
      </c>
      <c r="G28" s="29" t="str">
        <f t="shared" si="2"/>
        <v>('29Nov240034','070000168022','45840',(select max(to_number(i.premium_rcv_detail_code))+1
from ins_premium_det i),'45840','45840','02', '11000003','00','Request by Mr. Reheel Malik 02-Dec-2024');</v>
      </c>
      <c r="H28" s="30" t="str">
        <f t="shared" si="3"/>
        <v>insert into ins_premium_det (premium_rcv_code,assorted_code, rec_amount,premium_rcv_detail_code,remaining_amt, payrec, mode_code,coinsurance_code,class_cd,it_remarks) values('29Nov240034','070000168022','45840',(select max(to_number(i.premium_rcv_detail_code))+1
from ins_premium_det i),'45840','45840','02', '11000003','00','Request by Mr. Reheel Malik 02-Dec-2024');</v>
      </c>
    </row>
    <row r="29" spans="1:8" ht="105" x14ac:dyDescent="0.25">
      <c r="A29" s="19" t="s">
        <v>5923</v>
      </c>
      <c r="B29" s="26" t="str">
        <f>VLOOKUP(A29,policy!B:C,2,0)</f>
        <v>070000168023</v>
      </c>
      <c r="C29" s="32">
        <v>62448</v>
      </c>
      <c r="D29" s="27">
        <f t="shared" si="1"/>
        <v>62448</v>
      </c>
      <c r="E29" s="25" t="s">
        <v>6906</v>
      </c>
      <c r="F29" s="28" t="str">
        <f t="shared" si="0"/>
        <v>insert into ins_premium_det (premium_rcv_code,assorted_code, rec_amount,premium_rcv_detail_code,remaining_amt, payrec, mode_code,coinsurance_code,class_cd,it_remarks) values</v>
      </c>
      <c r="G29" s="29" t="str">
        <f t="shared" si="2"/>
        <v>('29Nov240034','070000168023','62448',(select max(to_number(i.premium_rcv_detail_code))+1
from ins_premium_det i),'62448','62448','02', '11000003','00','Request by Mr. Reheel Malik 02-Dec-2024');</v>
      </c>
      <c r="H29" s="30" t="str">
        <f t="shared" si="3"/>
        <v>insert into ins_premium_det (premium_rcv_code,assorted_code, rec_amount,premium_rcv_detail_code,remaining_amt, payrec, mode_code,coinsurance_code,class_cd,it_remarks) values('29Nov240034','070000168023','62448',(select max(to_number(i.premium_rcv_detail_code))+1
from ins_premium_det i),'62448','62448','02', '11000003','00','Request by Mr. Reheel Malik 02-Dec-2024');</v>
      </c>
    </row>
    <row r="30" spans="1:8" ht="105" x14ac:dyDescent="0.25">
      <c r="A30" s="18" t="s">
        <v>5924</v>
      </c>
      <c r="B30" s="26" t="str">
        <f>VLOOKUP(A30,policy!B:C,2,0)</f>
        <v>070000168024</v>
      </c>
      <c r="C30" s="31">
        <v>76286</v>
      </c>
      <c r="D30" s="27">
        <f t="shared" si="1"/>
        <v>76286</v>
      </c>
      <c r="E30" s="25" t="s">
        <v>6906</v>
      </c>
      <c r="F30" s="28" t="str">
        <f t="shared" si="0"/>
        <v>insert into ins_premium_det (premium_rcv_code,assorted_code, rec_amount,premium_rcv_detail_code,remaining_amt, payrec, mode_code,coinsurance_code,class_cd,it_remarks) values</v>
      </c>
      <c r="G30" s="29" t="str">
        <f t="shared" si="2"/>
        <v>('29Nov240034','070000168024','76286',(select max(to_number(i.premium_rcv_detail_code))+1
from ins_premium_det i),'76286','76286','02', '11000003','00','Request by Mr. Reheel Malik 02-Dec-2024');</v>
      </c>
      <c r="H30" s="30" t="str">
        <f t="shared" si="3"/>
        <v>insert into ins_premium_det (premium_rcv_code,assorted_code, rec_amount,premium_rcv_detail_code,remaining_amt, payrec, mode_code,coinsurance_code,class_cd,it_remarks) values('29Nov240034','070000168024','76286',(select max(to_number(i.premium_rcv_detail_code))+1
from ins_premium_det i),'76286','76286','02', '11000003','00','Request by Mr. Reheel Malik 02-Dec-2024');</v>
      </c>
    </row>
    <row r="31" spans="1:8" ht="105" x14ac:dyDescent="0.25">
      <c r="A31" s="19" t="s">
        <v>5925</v>
      </c>
      <c r="B31" s="26" t="str">
        <f>VLOOKUP(A31,policy!B:C,2,0)</f>
        <v>070000168025</v>
      </c>
      <c r="C31" s="32">
        <v>84320</v>
      </c>
      <c r="D31" s="27">
        <f t="shared" si="1"/>
        <v>84320</v>
      </c>
      <c r="E31" s="25" t="s">
        <v>6906</v>
      </c>
      <c r="F31" s="28" t="str">
        <f t="shared" si="0"/>
        <v>insert into ins_premium_det (premium_rcv_code,assorted_code, rec_amount,premium_rcv_detail_code,remaining_amt, payrec, mode_code,coinsurance_code,class_cd,it_remarks) values</v>
      </c>
      <c r="G31" s="29" t="str">
        <f t="shared" si="2"/>
        <v>('29Nov240034','070000168025','84320',(select max(to_number(i.premium_rcv_detail_code))+1
from ins_premium_det i),'84320','84320','02', '11000003','00','Request by Mr. Reheel Malik 02-Dec-2024');</v>
      </c>
      <c r="H31" s="30" t="str">
        <f t="shared" si="3"/>
        <v>insert into ins_premium_det (premium_rcv_code,assorted_code, rec_amount,premium_rcv_detail_code,remaining_amt, payrec, mode_code,coinsurance_code,class_cd,it_remarks) values('29Nov240034','070000168025','84320',(select max(to_number(i.premium_rcv_detail_code))+1
from ins_premium_det i),'84320','84320','02', '11000003','00','Request by Mr. Reheel Malik 02-Dec-2024');</v>
      </c>
    </row>
    <row r="32" spans="1:8" ht="105" x14ac:dyDescent="0.25">
      <c r="A32" s="18" t="s">
        <v>5926</v>
      </c>
      <c r="B32" s="26" t="str">
        <f>VLOOKUP(A32,policy!B:C,2,0)</f>
        <v>070000168028</v>
      </c>
      <c r="C32" s="31">
        <v>29750</v>
      </c>
      <c r="D32" s="27">
        <f t="shared" si="1"/>
        <v>29750</v>
      </c>
      <c r="E32" s="25" t="s">
        <v>6906</v>
      </c>
      <c r="F32" s="28" t="str">
        <f t="shared" si="0"/>
        <v>insert into ins_premium_det (premium_rcv_code,assorted_code, rec_amount,premium_rcv_detail_code,remaining_amt, payrec, mode_code,coinsurance_code,class_cd,it_remarks) values</v>
      </c>
      <c r="G32" s="29" t="str">
        <f t="shared" si="2"/>
        <v>('29Nov240034','070000168028','29750',(select max(to_number(i.premium_rcv_detail_code))+1
from ins_premium_det i),'29750','29750','02', '11000003','00','Request by Mr. Reheel Malik 02-Dec-2024');</v>
      </c>
      <c r="H32" s="30" t="str">
        <f t="shared" si="3"/>
        <v>insert into ins_premium_det (premium_rcv_code,assorted_code, rec_amount,premium_rcv_detail_code,remaining_amt, payrec, mode_code,coinsurance_code,class_cd,it_remarks) values('29Nov240034','070000168028','29750',(select max(to_number(i.premium_rcv_detail_code))+1
from ins_premium_det i),'29750','29750','02', '11000003','00','Request by Mr. Reheel Malik 02-Dec-2024');</v>
      </c>
    </row>
    <row r="33" spans="1:8" ht="105" x14ac:dyDescent="0.25">
      <c r="A33" s="19" t="s">
        <v>5927</v>
      </c>
      <c r="B33" s="26" t="str">
        <f>VLOOKUP(A33,policy!B:C,2,0)</f>
        <v>070000168030</v>
      </c>
      <c r="C33" s="32">
        <v>59330</v>
      </c>
      <c r="D33" s="27">
        <f t="shared" si="1"/>
        <v>59330</v>
      </c>
      <c r="E33" s="25" t="s">
        <v>6906</v>
      </c>
      <c r="F33" s="28" t="str">
        <f t="shared" si="0"/>
        <v>insert into ins_premium_det (premium_rcv_code,assorted_code, rec_amount,premium_rcv_detail_code,remaining_amt, payrec, mode_code,coinsurance_code,class_cd,it_remarks) values</v>
      </c>
      <c r="G33" s="29" t="str">
        <f t="shared" si="2"/>
        <v>('29Nov240034','070000168030','59330',(select max(to_number(i.premium_rcv_detail_code))+1
from ins_premium_det i),'59330','59330','02', '11000003','00','Request by Mr. Reheel Malik 02-Dec-2024');</v>
      </c>
      <c r="H33" s="30" t="str">
        <f t="shared" si="3"/>
        <v>insert into ins_premium_det (premium_rcv_code,assorted_code, rec_amount,premium_rcv_detail_code,remaining_amt, payrec, mode_code,coinsurance_code,class_cd,it_remarks) values('29Nov240034','070000168030','59330',(select max(to_number(i.premium_rcv_detail_code))+1
from ins_premium_det i),'59330','59330','02', '11000003','00','Request by Mr. Reheel Malik 02-Dec-2024');</v>
      </c>
    </row>
    <row r="34" spans="1:8" ht="105" x14ac:dyDescent="0.25">
      <c r="A34" s="18" t="s">
        <v>5928</v>
      </c>
      <c r="B34" s="26" t="str">
        <f>VLOOKUP(A34,policy!B:C,2,0)</f>
        <v>070000168035</v>
      </c>
      <c r="C34" s="31">
        <v>29280</v>
      </c>
      <c r="D34" s="27">
        <f t="shared" si="1"/>
        <v>29280</v>
      </c>
      <c r="E34" s="25" t="s">
        <v>6906</v>
      </c>
      <c r="F34" s="28" t="str">
        <f t="shared" si="0"/>
        <v>insert into ins_premium_det (premium_rcv_code,assorted_code, rec_amount,premium_rcv_detail_code,remaining_amt, payrec, mode_code,coinsurance_code,class_cd,it_remarks) values</v>
      </c>
      <c r="G34" s="29" t="str">
        <f t="shared" si="2"/>
        <v>('29Nov240034','070000168035','29280',(select max(to_number(i.premium_rcv_detail_code))+1
from ins_premium_det i),'29280','29280','02', '11000003','00','Request by Mr. Reheel Malik 02-Dec-2024');</v>
      </c>
      <c r="H34" s="30" t="str">
        <f t="shared" si="3"/>
        <v>insert into ins_premium_det (premium_rcv_code,assorted_code, rec_amount,premium_rcv_detail_code,remaining_amt, payrec, mode_code,coinsurance_code,class_cd,it_remarks) values('29Nov240034','070000168035','29280',(select max(to_number(i.premium_rcv_detail_code))+1
from ins_premium_det i),'29280','29280','02', '11000003','00','Request by Mr. Reheel Malik 02-Dec-2024');</v>
      </c>
    </row>
    <row r="35" spans="1:8" ht="105" x14ac:dyDescent="0.25">
      <c r="A35" s="19" t="s">
        <v>5929</v>
      </c>
      <c r="B35" s="26" t="str">
        <f>VLOOKUP(A35,policy!B:C,2,0)</f>
        <v>070000168038</v>
      </c>
      <c r="C35" s="32">
        <v>31600</v>
      </c>
      <c r="D35" s="27">
        <f t="shared" si="1"/>
        <v>31600</v>
      </c>
      <c r="E35" s="25" t="s">
        <v>6906</v>
      </c>
      <c r="F35" s="28" t="str">
        <f t="shared" si="0"/>
        <v>insert into ins_premium_det (premium_rcv_code,assorted_code, rec_amount,premium_rcv_detail_code,remaining_amt, payrec, mode_code,coinsurance_code,class_cd,it_remarks) values</v>
      </c>
      <c r="G35" s="29" t="str">
        <f t="shared" si="2"/>
        <v>('29Nov240034','070000168038','31600',(select max(to_number(i.premium_rcv_detail_code))+1
from ins_premium_det i),'31600','31600','02', '11000003','00','Request by Mr. Reheel Malik 02-Dec-2024');</v>
      </c>
      <c r="H35" s="30" t="str">
        <f t="shared" si="3"/>
        <v>insert into ins_premium_det (premium_rcv_code,assorted_code, rec_amount,premium_rcv_detail_code,remaining_amt, payrec, mode_code,coinsurance_code,class_cd,it_remarks) values('29Nov240034','070000168038','31600',(select max(to_number(i.premium_rcv_detail_code))+1
from ins_premium_det i),'31600','31600','02', '11000003','00','Request by Mr. Reheel Malik 02-Dec-2024');</v>
      </c>
    </row>
    <row r="36" spans="1:8" ht="105" x14ac:dyDescent="0.25">
      <c r="A36" s="18" t="s">
        <v>5930</v>
      </c>
      <c r="B36" s="26" t="str">
        <f>VLOOKUP(A36,policy!B:C,2,0)</f>
        <v>070000168039</v>
      </c>
      <c r="C36" s="31">
        <v>29280</v>
      </c>
      <c r="D36" s="27">
        <f t="shared" si="1"/>
        <v>29280</v>
      </c>
      <c r="E36" s="25" t="s">
        <v>6906</v>
      </c>
      <c r="F36" s="28" t="str">
        <f t="shared" si="0"/>
        <v>insert into ins_premium_det (premium_rcv_code,assorted_code, rec_amount,premium_rcv_detail_code,remaining_amt, payrec, mode_code,coinsurance_code,class_cd,it_remarks) values</v>
      </c>
      <c r="G36" s="29" t="str">
        <f t="shared" si="2"/>
        <v>('29Nov240034','070000168039','29280',(select max(to_number(i.premium_rcv_detail_code))+1
from ins_premium_det i),'29280','29280','02', '11000003','00','Request by Mr. Reheel Malik 02-Dec-2024');</v>
      </c>
      <c r="H36" s="30" t="str">
        <f t="shared" si="3"/>
        <v>insert into ins_premium_det (premium_rcv_code,assorted_code, rec_amount,premium_rcv_detail_code,remaining_amt, payrec, mode_code,coinsurance_code,class_cd,it_remarks) values('29Nov240034','070000168039','29280',(select max(to_number(i.premium_rcv_detail_code))+1
from ins_premium_det i),'29280','29280','02', '11000003','00','Request by Mr. Reheel Malik 02-Dec-2024');</v>
      </c>
    </row>
    <row r="37" spans="1:8" ht="105" x14ac:dyDescent="0.25">
      <c r="A37" s="19" t="s">
        <v>5931</v>
      </c>
      <c r="B37" s="26" t="str">
        <f>VLOOKUP(A37,policy!B:C,2,0)</f>
        <v>070000168041</v>
      </c>
      <c r="C37" s="32">
        <v>73780</v>
      </c>
      <c r="D37" s="27">
        <f t="shared" si="1"/>
        <v>73780</v>
      </c>
      <c r="E37" s="25" t="s">
        <v>6906</v>
      </c>
      <c r="F37" s="28" t="str">
        <f t="shared" si="0"/>
        <v>insert into ins_premium_det (premium_rcv_code,assorted_code, rec_amount,premium_rcv_detail_code,remaining_amt, payrec, mode_code,coinsurance_code,class_cd,it_remarks) values</v>
      </c>
      <c r="G37" s="29" t="str">
        <f t="shared" si="2"/>
        <v>('29Nov240034','070000168041','73780',(select max(to_number(i.premium_rcv_detail_code))+1
from ins_premium_det i),'73780','73780','02', '11000003','00','Request by Mr. Reheel Malik 02-Dec-2024');</v>
      </c>
      <c r="H37" s="30" t="str">
        <f t="shared" si="3"/>
        <v>insert into ins_premium_det (premium_rcv_code,assorted_code, rec_amount,premium_rcv_detail_code,remaining_amt, payrec, mode_code,coinsurance_code,class_cd,it_remarks) values('29Nov240034','070000168041','73780',(select max(to_number(i.premium_rcv_detail_code))+1
from ins_premium_det i),'73780','73780','02', '11000003','00','Request by Mr. Reheel Malik 02-Dec-2024');</v>
      </c>
    </row>
    <row r="38" spans="1:8" ht="105" x14ac:dyDescent="0.25">
      <c r="A38" s="18" t="s">
        <v>5932</v>
      </c>
      <c r="B38" s="26" t="str">
        <f>VLOOKUP(A38,policy!B:C,2,0)</f>
        <v>070000168042</v>
      </c>
      <c r="C38" s="31">
        <v>84848</v>
      </c>
      <c r="D38" s="27">
        <f t="shared" si="1"/>
        <v>84848</v>
      </c>
      <c r="E38" s="25" t="s">
        <v>6906</v>
      </c>
      <c r="F38" s="28" t="str">
        <f t="shared" si="0"/>
        <v>insert into ins_premium_det (premium_rcv_code,assorted_code, rec_amount,premium_rcv_detail_code,remaining_amt, payrec, mode_code,coinsurance_code,class_cd,it_remarks) values</v>
      </c>
      <c r="G38" s="29" t="str">
        <f t="shared" si="2"/>
        <v>('29Nov240034','070000168042','84848',(select max(to_number(i.premium_rcv_detail_code))+1
from ins_premium_det i),'84848','84848','02', '11000003','00','Request by Mr. Reheel Malik 02-Dec-2024');</v>
      </c>
      <c r="H38" s="30" t="str">
        <f t="shared" si="3"/>
        <v>insert into ins_premium_det (premium_rcv_code,assorted_code, rec_amount,premium_rcv_detail_code,remaining_amt, payrec, mode_code,coinsurance_code,class_cd,it_remarks) values('29Nov240034','070000168042','84848',(select max(to_number(i.premium_rcv_detail_code))+1
from ins_premium_det i),'84848','84848','02', '11000003','00','Request by Mr. Reheel Malik 02-Dec-2024');</v>
      </c>
    </row>
    <row r="39" spans="1:8" ht="105" x14ac:dyDescent="0.25">
      <c r="A39" s="19" t="s">
        <v>5933</v>
      </c>
      <c r="B39" s="26" t="str">
        <f>VLOOKUP(A39,policy!B:C,2,0)</f>
        <v>070000168043</v>
      </c>
      <c r="C39" s="32">
        <v>73780</v>
      </c>
      <c r="D39" s="27">
        <f t="shared" si="1"/>
        <v>73780</v>
      </c>
      <c r="E39" s="25" t="s">
        <v>6906</v>
      </c>
      <c r="F39" s="28" t="str">
        <f t="shared" si="0"/>
        <v>insert into ins_premium_det (premium_rcv_code,assorted_code, rec_amount,premium_rcv_detail_code,remaining_amt, payrec, mode_code,coinsurance_code,class_cd,it_remarks) values</v>
      </c>
      <c r="G39" s="29" t="str">
        <f t="shared" si="2"/>
        <v>('29Nov240034','070000168043','73780',(select max(to_number(i.premium_rcv_detail_code))+1
from ins_premium_det i),'73780','73780','02', '11000003','00','Request by Mr. Reheel Malik 02-Dec-2024');</v>
      </c>
      <c r="H39" s="30" t="str">
        <f t="shared" si="3"/>
        <v>insert into ins_premium_det (premium_rcv_code,assorted_code, rec_amount,premium_rcv_detail_code,remaining_amt, payrec, mode_code,coinsurance_code,class_cd,it_remarks) values('29Nov240034','070000168043','73780',(select max(to_number(i.premium_rcv_detail_code))+1
from ins_premium_det i),'73780','73780','02', '11000003','00','Request by Mr. Reheel Malik 02-Dec-2024');</v>
      </c>
    </row>
    <row r="40" spans="1:8" ht="105" x14ac:dyDescent="0.25">
      <c r="A40" s="18" t="s">
        <v>5934</v>
      </c>
      <c r="B40" s="26" t="str">
        <f>VLOOKUP(A40,policy!B:C,2,0)</f>
        <v>070000168048</v>
      </c>
      <c r="C40" s="31">
        <v>17106</v>
      </c>
      <c r="D40" s="27">
        <f t="shared" si="1"/>
        <v>17106</v>
      </c>
      <c r="E40" s="25" t="s">
        <v>6906</v>
      </c>
      <c r="F40" s="28" t="str">
        <f t="shared" si="0"/>
        <v>insert into ins_premium_det (premium_rcv_code,assorted_code, rec_amount,premium_rcv_detail_code,remaining_amt, payrec, mode_code,coinsurance_code,class_cd,it_remarks) values</v>
      </c>
      <c r="G40" s="29" t="str">
        <f t="shared" si="2"/>
        <v>('29Nov240034','070000168048','17106',(select max(to_number(i.premium_rcv_detail_code))+1
from ins_premium_det i),'17106','17106','02', '11000003','00','Request by Mr. Reheel Malik 02-Dec-2024');</v>
      </c>
      <c r="H40" s="30" t="str">
        <f t="shared" si="3"/>
        <v>insert into ins_premium_det (premium_rcv_code,assorted_code, rec_amount,premium_rcv_detail_code,remaining_amt, payrec, mode_code,coinsurance_code,class_cd,it_remarks) values('29Nov240034','070000168048','17106',(select max(to_number(i.premium_rcv_detail_code))+1
from ins_premium_det i),'17106','17106','02', '11000003','00','Request by Mr. Reheel Malik 02-Dec-2024');</v>
      </c>
    </row>
    <row r="41" spans="1:8" ht="105" x14ac:dyDescent="0.25">
      <c r="A41" s="19" t="s">
        <v>5935</v>
      </c>
      <c r="B41" s="26" t="str">
        <f>VLOOKUP(A41,policy!B:C,2,0)</f>
        <v>070000168056</v>
      </c>
      <c r="C41" s="32">
        <v>21360</v>
      </c>
      <c r="D41" s="27">
        <f t="shared" si="1"/>
        <v>21360</v>
      </c>
      <c r="E41" s="25" t="s">
        <v>6906</v>
      </c>
      <c r="F41" s="28" t="str">
        <f t="shared" si="0"/>
        <v>insert into ins_premium_det (premium_rcv_code,assorted_code, rec_amount,premium_rcv_detail_code,remaining_amt, payrec, mode_code,coinsurance_code,class_cd,it_remarks) values</v>
      </c>
      <c r="G41" s="29" t="str">
        <f t="shared" si="2"/>
        <v>('29Nov240034','070000168056','21360',(select max(to_number(i.premium_rcv_detail_code))+1
from ins_premium_det i),'21360','21360','02', '11000003','00','Request by Mr. Reheel Malik 02-Dec-2024');</v>
      </c>
      <c r="H41" s="30" t="str">
        <f t="shared" si="3"/>
        <v>insert into ins_premium_det (premium_rcv_code,assorted_code, rec_amount,premium_rcv_detail_code,remaining_amt, payrec, mode_code,coinsurance_code,class_cd,it_remarks) values('29Nov240034','070000168056','21360',(select max(to_number(i.premium_rcv_detail_code))+1
from ins_premium_det i),'21360','21360','02', '11000003','00','Request by Mr. Reheel Malik 02-Dec-2024');</v>
      </c>
    </row>
    <row r="42" spans="1:8" ht="105" x14ac:dyDescent="0.25">
      <c r="A42" s="18" t="s">
        <v>5936</v>
      </c>
      <c r="B42" s="26" t="str">
        <f>VLOOKUP(A42,policy!B:C,2,0)</f>
        <v>070000168058</v>
      </c>
      <c r="C42" s="31">
        <v>21360</v>
      </c>
      <c r="D42" s="27">
        <f t="shared" si="1"/>
        <v>21360</v>
      </c>
      <c r="E42" s="25" t="s">
        <v>6906</v>
      </c>
      <c r="F42" s="28" t="str">
        <f t="shared" si="0"/>
        <v>insert into ins_premium_det (premium_rcv_code,assorted_code, rec_amount,premium_rcv_detail_code,remaining_amt, payrec, mode_code,coinsurance_code,class_cd,it_remarks) values</v>
      </c>
      <c r="G42" s="29" t="str">
        <f t="shared" si="2"/>
        <v>('29Nov240034','070000168058','21360',(select max(to_number(i.premium_rcv_detail_code))+1
from ins_premium_det i),'21360','21360','02', '11000003','00','Request by Mr. Reheel Malik 02-Dec-2024');</v>
      </c>
      <c r="H42" s="30" t="str">
        <f t="shared" si="3"/>
        <v>insert into ins_premium_det (premium_rcv_code,assorted_code, rec_amount,premium_rcv_detail_code,remaining_amt, payrec, mode_code,coinsurance_code,class_cd,it_remarks) values('29Nov240034','070000168058','21360',(select max(to_number(i.premium_rcv_detail_code))+1
from ins_premium_det i),'21360','21360','02', '11000003','00','Request by Mr. Reheel Malik 02-Dec-2024');</v>
      </c>
    </row>
    <row r="43" spans="1:8" ht="105" x14ac:dyDescent="0.25">
      <c r="A43" s="19" t="s">
        <v>5937</v>
      </c>
      <c r="B43" s="26" t="str">
        <f>VLOOKUP(A43,policy!B:C,2,0)</f>
        <v>070000168059</v>
      </c>
      <c r="C43" s="32">
        <v>29280</v>
      </c>
      <c r="D43" s="27">
        <f t="shared" si="1"/>
        <v>29280</v>
      </c>
      <c r="E43" s="25" t="s">
        <v>6906</v>
      </c>
      <c r="F43" s="28" t="str">
        <f t="shared" si="0"/>
        <v>insert into ins_premium_det (premium_rcv_code,assorted_code, rec_amount,premium_rcv_detail_code,remaining_amt, payrec, mode_code,coinsurance_code,class_cd,it_remarks) values</v>
      </c>
      <c r="G43" s="29" t="str">
        <f t="shared" si="2"/>
        <v>('29Nov240034','070000168059','29280',(select max(to_number(i.premium_rcv_detail_code))+1
from ins_premium_det i),'29280','29280','02', '11000003','00','Request by Mr. Reheel Malik 02-Dec-2024');</v>
      </c>
      <c r="H43" s="30" t="str">
        <f t="shared" si="3"/>
        <v>insert into ins_premium_det (premium_rcv_code,assorted_code, rec_amount,premium_rcv_detail_code,remaining_amt, payrec, mode_code,coinsurance_code,class_cd,it_remarks) values('29Nov240034','070000168059','29280',(select max(to_number(i.premium_rcv_detail_code))+1
from ins_premium_det i),'29280','29280','02', '11000003','00','Request by Mr. Reheel Malik 02-Dec-2024');</v>
      </c>
    </row>
    <row r="44" spans="1:8" ht="105" x14ac:dyDescent="0.25">
      <c r="A44" s="18" t="s">
        <v>5938</v>
      </c>
      <c r="B44" s="26" t="str">
        <f>VLOOKUP(A44,policy!B:C,2,0)</f>
        <v>070000168062</v>
      </c>
      <c r="C44" s="31">
        <v>43248</v>
      </c>
      <c r="D44" s="27">
        <f t="shared" si="1"/>
        <v>43248</v>
      </c>
      <c r="E44" s="25" t="s">
        <v>6906</v>
      </c>
      <c r="F44" s="28" t="str">
        <f t="shared" si="0"/>
        <v>insert into ins_premium_det (premium_rcv_code,assorted_code, rec_amount,premium_rcv_detail_code,remaining_amt, payrec, mode_code,coinsurance_code,class_cd,it_remarks) values</v>
      </c>
      <c r="G44" s="29" t="str">
        <f t="shared" si="2"/>
        <v>('29Nov240034','070000168062','43248',(select max(to_number(i.premium_rcv_detail_code))+1
from ins_premium_det i),'43248','43248','02', '11000003','00','Request by Mr. Reheel Malik 02-Dec-2024');</v>
      </c>
      <c r="H44" s="30" t="str">
        <f t="shared" si="3"/>
        <v>insert into ins_premium_det (premium_rcv_code,assorted_code, rec_amount,premium_rcv_detail_code,remaining_amt, payrec, mode_code,coinsurance_code,class_cd,it_remarks) values('29Nov240034','070000168062','43248',(select max(to_number(i.premium_rcv_detail_code))+1
from ins_premium_det i),'43248','43248','02', '11000003','00','Request by Mr. Reheel Malik 02-Dec-2024');</v>
      </c>
    </row>
    <row r="45" spans="1:8" ht="105" x14ac:dyDescent="0.25">
      <c r="A45" s="19" t="s">
        <v>5939</v>
      </c>
      <c r="B45" s="26" t="str">
        <f>VLOOKUP(A45,policy!B:C,2,0)</f>
        <v>070000168070</v>
      </c>
      <c r="C45" s="32">
        <v>72754</v>
      </c>
      <c r="D45" s="27">
        <f t="shared" si="1"/>
        <v>72754</v>
      </c>
      <c r="E45" s="25" t="s">
        <v>6906</v>
      </c>
      <c r="F45" s="28" t="str">
        <f t="shared" si="0"/>
        <v>insert into ins_premium_det (premium_rcv_code,assorted_code, rec_amount,premium_rcv_detail_code,remaining_amt, payrec, mode_code,coinsurance_code,class_cd,it_remarks) values</v>
      </c>
      <c r="G45" s="29" t="str">
        <f t="shared" si="2"/>
        <v>('29Nov240034','070000168070','72754',(select max(to_number(i.premium_rcv_detail_code))+1
from ins_premium_det i),'72754','72754','02', '11000003','00','Request by Mr. Reheel Malik 02-Dec-2024');</v>
      </c>
      <c r="H45" s="30" t="str">
        <f t="shared" si="3"/>
        <v>insert into ins_premium_det (premium_rcv_code,assorted_code, rec_amount,premium_rcv_detail_code,remaining_amt, payrec, mode_code,coinsurance_code,class_cd,it_remarks) values('29Nov240034','070000168070','72754',(select max(to_number(i.premium_rcv_detail_code))+1
from ins_premium_det i),'72754','72754','02', '11000003','00','Request by Mr. Reheel Malik 02-Dec-2024');</v>
      </c>
    </row>
    <row r="46" spans="1:8" ht="105" x14ac:dyDescent="0.25">
      <c r="A46" s="18" t="s">
        <v>5940</v>
      </c>
      <c r="B46" s="26" t="str">
        <f>VLOOKUP(A46,policy!B:C,2,0)</f>
        <v>070000168072</v>
      </c>
      <c r="C46" s="31">
        <v>32062</v>
      </c>
      <c r="D46" s="27">
        <f t="shared" si="1"/>
        <v>32062</v>
      </c>
      <c r="E46" s="25" t="s">
        <v>6906</v>
      </c>
      <c r="F46" s="28" t="str">
        <f t="shared" si="0"/>
        <v>insert into ins_premium_det (premium_rcv_code,assorted_code, rec_amount,premium_rcv_detail_code,remaining_amt, payrec, mode_code,coinsurance_code,class_cd,it_remarks) values</v>
      </c>
      <c r="G46" s="29" t="str">
        <f t="shared" si="2"/>
        <v>('29Nov240034','070000168072','32062',(select max(to_number(i.premium_rcv_detail_code))+1
from ins_premium_det i),'32062','32062','02', '11000003','00','Request by Mr. Reheel Malik 02-Dec-2024');</v>
      </c>
      <c r="H46" s="30" t="str">
        <f t="shared" si="3"/>
        <v>insert into ins_premium_det (premium_rcv_code,assorted_code, rec_amount,premium_rcv_detail_code,remaining_amt, payrec, mode_code,coinsurance_code,class_cd,it_remarks) values('29Nov240034','070000168072','32062',(select max(to_number(i.premium_rcv_detail_code))+1
from ins_premium_det i),'32062','32062','02', '11000003','00','Request by Mr. Reheel Malik 02-Dec-2024');</v>
      </c>
    </row>
    <row r="47" spans="1:8" ht="105" x14ac:dyDescent="0.25">
      <c r="A47" s="19" t="s">
        <v>5941</v>
      </c>
      <c r="B47" s="26" t="str">
        <f>VLOOKUP(A47,policy!B:C,2,0)</f>
        <v>070000168073</v>
      </c>
      <c r="C47" s="32">
        <v>65348</v>
      </c>
      <c r="D47" s="27">
        <f t="shared" si="1"/>
        <v>65348</v>
      </c>
      <c r="E47" s="25" t="s">
        <v>6906</v>
      </c>
      <c r="F47" s="28" t="str">
        <f t="shared" si="0"/>
        <v>insert into ins_premium_det (premium_rcv_code,assorted_code, rec_amount,premium_rcv_detail_code,remaining_amt, payrec, mode_code,coinsurance_code,class_cd,it_remarks) values</v>
      </c>
      <c r="G47" s="29" t="str">
        <f t="shared" si="2"/>
        <v>('29Nov240034','070000168073','65348',(select max(to_number(i.premium_rcv_detail_code))+1
from ins_premium_det i),'65348','65348','02', '11000003','00','Request by Mr. Reheel Malik 02-Dec-2024');</v>
      </c>
      <c r="H47" s="30" t="str">
        <f t="shared" si="3"/>
        <v>insert into ins_premium_det (premium_rcv_code,assorted_code, rec_amount,premium_rcv_detail_code,remaining_amt, payrec, mode_code,coinsurance_code,class_cd,it_remarks) values('29Nov240034','070000168073','65348',(select max(to_number(i.premium_rcv_detail_code))+1
from ins_premium_det i),'65348','65348','02', '11000003','00','Request by Mr. Reheel Malik 02-Dec-2024');</v>
      </c>
    </row>
    <row r="48" spans="1:8" ht="105" x14ac:dyDescent="0.25">
      <c r="A48" s="18" t="s">
        <v>5942</v>
      </c>
      <c r="B48" s="26" t="str">
        <f>VLOOKUP(A48,policy!B:C,2,0)</f>
        <v>070000168074</v>
      </c>
      <c r="C48" s="31">
        <v>37723</v>
      </c>
      <c r="D48" s="27">
        <f t="shared" si="1"/>
        <v>37723</v>
      </c>
      <c r="E48" s="25" t="s">
        <v>6906</v>
      </c>
      <c r="F48" s="28" t="str">
        <f t="shared" si="0"/>
        <v>insert into ins_premium_det (premium_rcv_code,assorted_code, rec_amount,premium_rcv_detail_code,remaining_amt, payrec, mode_code,coinsurance_code,class_cd,it_remarks) values</v>
      </c>
      <c r="G48" s="29" t="str">
        <f t="shared" si="2"/>
        <v>('29Nov240034','070000168074','37723',(select max(to_number(i.premium_rcv_detail_code))+1
from ins_premium_det i),'37723','37723','02', '11000003','00','Request by Mr. Reheel Malik 02-Dec-2024');</v>
      </c>
      <c r="H48" s="30" t="str">
        <f t="shared" si="3"/>
        <v>insert into ins_premium_det (premium_rcv_code,assorted_code, rec_amount,premium_rcv_detail_code,remaining_amt, payrec, mode_code,coinsurance_code,class_cd,it_remarks) values('29Nov240034','070000168074','37723',(select max(to_number(i.premium_rcv_detail_code))+1
from ins_premium_det i),'37723','37723','02', '11000003','00','Request by Mr. Reheel Malik 02-Dec-2024');</v>
      </c>
    </row>
    <row r="49" spans="1:8" ht="105" x14ac:dyDescent="0.25">
      <c r="A49" s="19" t="s">
        <v>5943</v>
      </c>
      <c r="B49" s="26" t="str">
        <f>VLOOKUP(A49,policy!B:C,2,0)</f>
        <v>070000168075</v>
      </c>
      <c r="C49" s="32">
        <v>28475</v>
      </c>
      <c r="D49" s="27">
        <f t="shared" si="1"/>
        <v>28475</v>
      </c>
      <c r="E49" s="25" t="s">
        <v>6906</v>
      </c>
      <c r="F49" s="28" t="str">
        <f t="shared" si="0"/>
        <v>insert into ins_premium_det (premium_rcv_code,assorted_code, rec_amount,premium_rcv_detail_code,remaining_amt, payrec, mode_code,coinsurance_code,class_cd,it_remarks) values</v>
      </c>
      <c r="G49" s="29" t="str">
        <f t="shared" si="2"/>
        <v>('29Nov240034','070000168075','28475',(select max(to_number(i.premium_rcv_detail_code))+1
from ins_premium_det i),'28475','28475','02', '11000003','00','Request by Mr. Reheel Malik 02-Dec-2024');</v>
      </c>
      <c r="H49" s="30" t="str">
        <f t="shared" si="3"/>
        <v>insert into ins_premium_det (premium_rcv_code,assorted_code, rec_amount,premium_rcv_detail_code,remaining_amt, payrec, mode_code,coinsurance_code,class_cd,it_remarks) values('29Nov240034','070000168075','28475',(select max(to_number(i.premium_rcv_detail_code))+1
from ins_premium_det i),'28475','28475','02', '11000003','00','Request by Mr. Reheel Malik 02-Dec-2024');</v>
      </c>
    </row>
    <row r="50" spans="1:8" ht="105" x14ac:dyDescent="0.25">
      <c r="A50" s="18" t="s">
        <v>5944</v>
      </c>
      <c r="B50" s="26" t="str">
        <f>VLOOKUP(A50,policy!B:C,2,0)</f>
        <v>070000168079</v>
      </c>
      <c r="C50" s="31">
        <v>31238</v>
      </c>
      <c r="D50" s="27">
        <f t="shared" si="1"/>
        <v>31238</v>
      </c>
      <c r="E50" s="25" t="s">
        <v>6906</v>
      </c>
      <c r="F50" s="28" t="str">
        <f t="shared" si="0"/>
        <v>insert into ins_premium_det (premium_rcv_code,assorted_code, rec_amount,premium_rcv_detail_code,remaining_amt, payrec, mode_code,coinsurance_code,class_cd,it_remarks) values</v>
      </c>
      <c r="G50" s="29" t="str">
        <f t="shared" si="2"/>
        <v>('29Nov240034','070000168079','31238',(select max(to_number(i.premium_rcv_detail_code))+1
from ins_premium_det i),'31238','31238','02', '11000003','00','Request by Mr. Reheel Malik 02-Dec-2024');</v>
      </c>
      <c r="H50" s="30" t="str">
        <f t="shared" si="3"/>
        <v>insert into ins_premium_det (premium_rcv_code,assorted_code, rec_amount,premium_rcv_detail_code,remaining_amt, payrec, mode_code,coinsurance_code,class_cd,it_remarks) values('29Nov240034','070000168079','31238',(select max(to_number(i.premium_rcv_detail_code))+1
from ins_premium_det i),'31238','31238','02', '11000003','00','Request by Mr. Reheel Malik 02-Dec-2024');</v>
      </c>
    </row>
    <row r="51" spans="1:8" ht="105" x14ac:dyDescent="0.25">
      <c r="A51" s="19" t="s">
        <v>5945</v>
      </c>
      <c r="B51" s="26" t="str">
        <f>VLOOKUP(A51,policy!B:C,2,0)</f>
        <v>070000168084</v>
      </c>
      <c r="C51" s="32">
        <v>21360</v>
      </c>
      <c r="D51" s="27">
        <f t="shared" si="1"/>
        <v>21360</v>
      </c>
      <c r="E51" s="25" t="s">
        <v>6906</v>
      </c>
      <c r="F51" s="28" t="str">
        <f t="shared" si="0"/>
        <v>insert into ins_premium_det (premium_rcv_code,assorted_code, rec_amount,premium_rcv_detail_code,remaining_amt, payrec, mode_code,coinsurance_code,class_cd,it_remarks) values</v>
      </c>
      <c r="G51" s="29" t="str">
        <f t="shared" si="2"/>
        <v>('29Nov240034','070000168084','21360',(select max(to_number(i.premium_rcv_detail_code))+1
from ins_premium_det i),'21360','21360','02', '11000003','00','Request by Mr. Reheel Malik 02-Dec-2024');</v>
      </c>
      <c r="H51" s="30" t="str">
        <f t="shared" si="3"/>
        <v>insert into ins_premium_det (premium_rcv_code,assorted_code, rec_amount,premium_rcv_detail_code,remaining_amt, payrec, mode_code,coinsurance_code,class_cd,it_remarks) values('29Nov240034','070000168084','21360',(select max(to_number(i.premium_rcv_detail_code))+1
from ins_premium_det i),'21360','21360','02', '11000003','00','Request by Mr. Reheel Malik 02-Dec-2024');</v>
      </c>
    </row>
    <row r="52" spans="1:8" ht="105" x14ac:dyDescent="0.25">
      <c r="A52" s="18" t="s">
        <v>5946</v>
      </c>
      <c r="B52" s="26" t="str">
        <f>VLOOKUP(A52,policy!B:C,2,0)</f>
        <v>070000168085</v>
      </c>
      <c r="C52" s="31">
        <v>24336</v>
      </c>
      <c r="D52" s="27">
        <f t="shared" si="1"/>
        <v>24336</v>
      </c>
      <c r="E52" s="25" t="s">
        <v>6906</v>
      </c>
      <c r="F52" s="28" t="str">
        <f t="shared" si="0"/>
        <v>insert into ins_premium_det (premium_rcv_code,assorted_code, rec_amount,premium_rcv_detail_code,remaining_amt, payrec, mode_code,coinsurance_code,class_cd,it_remarks) values</v>
      </c>
      <c r="G52" s="29" t="str">
        <f t="shared" si="2"/>
        <v>('29Nov240034','070000168085','24336',(select max(to_number(i.premium_rcv_detail_code))+1
from ins_premium_det i),'24336','24336','02', '11000003','00','Request by Mr. Reheel Malik 02-Dec-2024');</v>
      </c>
      <c r="H52" s="30" t="str">
        <f t="shared" si="3"/>
        <v>insert into ins_premium_det (premium_rcv_code,assorted_code, rec_amount,premium_rcv_detail_code,remaining_amt, payrec, mode_code,coinsurance_code,class_cd,it_remarks) values('29Nov240034','070000168085','24336',(select max(to_number(i.premium_rcv_detail_code))+1
from ins_premium_det i),'24336','24336','02', '11000003','00','Request by Mr. Reheel Malik 02-Dec-2024');</v>
      </c>
    </row>
    <row r="53" spans="1:8" ht="105" x14ac:dyDescent="0.25">
      <c r="A53" s="19" t="s">
        <v>5947</v>
      </c>
      <c r="B53" s="26" t="str">
        <f>VLOOKUP(A53,policy!B:C,2,0)</f>
        <v>070000168086</v>
      </c>
      <c r="C53" s="32">
        <v>48000</v>
      </c>
      <c r="D53" s="27">
        <f t="shared" si="1"/>
        <v>48000</v>
      </c>
      <c r="E53" s="25" t="s">
        <v>6906</v>
      </c>
      <c r="F53" s="28" t="str">
        <f t="shared" si="0"/>
        <v>insert into ins_premium_det (premium_rcv_code,assorted_code, rec_amount,premium_rcv_detail_code,remaining_amt, payrec, mode_code,coinsurance_code,class_cd,it_remarks) values</v>
      </c>
      <c r="G53" s="29" t="str">
        <f t="shared" si="2"/>
        <v>('29Nov240034','070000168086','48000',(select max(to_number(i.premium_rcv_detail_code))+1
from ins_premium_det i),'48000','48000','02', '11000003','00','Request by Mr. Reheel Malik 02-Dec-2024');</v>
      </c>
      <c r="H53" s="30" t="str">
        <f t="shared" si="3"/>
        <v>insert into ins_premium_det (premium_rcv_code,assorted_code, rec_amount,premium_rcv_detail_code,remaining_amt, payrec, mode_code,coinsurance_code,class_cd,it_remarks) values('29Nov240034','070000168086','48000',(select max(to_number(i.premium_rcv_detail_code))+1
from ins_premium_det i),'48000','48000','02', '11000003','00','Request by Mr. Reheel Malik 02-Dec-2024');</v>
      </c>
    </row>
    <row r="54" spans="1:8" ht="105" x14ac:dyDescent="0.25">
      <c r="A54" s="18" t="s">
        <v>5948</v>
      </c>
      <c r="B54" s="26" t="str">
        <f>VLOOKUP(A54,policy!B:C,2,0)</f>
        <v>070000168087</v>
      </c>
      <c r="C54" s="31">
        <v>39472</v>
      </c>
      <c r="D54" s="27">
        <f t="shared" si="1"/>
        <v>39472</v>
      </c>
      <c r="E54" s="25" t="s">
        <v>6906</v>
      </c>
      <c r="F54" s="28" t="str">
        <f t="shared" si="0"/>
        <v>insert into ins_premium_det (premium_rcv_code,assorted_code, rec_amount,premium_rcv_detail_code,remaining_amt, payrec, mode_code,coinsurance_code,class_cd,it_remarks) values</v>
      </c>
      <c r="G54" s="29" t="str">
        <f t="shared" si="2"/>
        <v>('29Nov240034','070000168087','39472',(select max(to_number(i.premium_rcv_detail_code))+1
from ins_premium_det i),'39472','39472','02', '11000003','00','Request by Mr. Reheel Malik 02-Dec-2024');</v>
      </c>
      <c r="H54" s="30" t="str">
        <f t="shared" si="3"/>
        <v>insert into ins_premium_det (premium_rcv_code,assorted_code, rec_amount,premium_rcv_detail_code,remaining_amt, payrec, mode_code,coinsurance_code,class_cd,it_remarks) values('29Nov240034','070000168087','39472',(select max(to_number(i.premium_rcv_detail_code))+1
from ins_premium_det i),'39472','39472','02', '11000003','00','Request by Mr. Reheel Malik 02-Dec-2024');</v>
      </c>
    </row>
    <row r="55" spans="1:8" ht="105" x14ac:dyDescent="0.25">
      <c r="A55" s="19" t="s">
        <v>5949</v>
      </c>
      <c r="B55" s="26" t="str">
        <f>VLOOKUP(A55,policy!B:C,2,0)</f>
        <v>070000168088</v>
      </c>
      <c r="C55" s="32">
        <v>33600</v>
      </c>
      <c r="D55" s="27">
        <f t="shared" si="1"/>
        <v>33600</v>
      </c>
      <c r="E55" s="25" t="s">
        <v>6906</v>
      </c>
      <c r="F55" s="28" t="str">
        <f t="shared" si="0"/>
        <v>insert into ins_premium_det (premium_rcv_code,assorted_code, rec_amount,premium_rcv_detail_code,remaining_amt, payrec, mode_code,coinsurance_code,class_cd,it_remarks) values</v>
      </c>
      <c r="G55" s="29" t="str">
        <f t="shared" si="2"/>
        <v>('29Nov240034','070000168088','33600',(select max(to_number(i.premium_rcv_detail_code))+1
from ins_premium_det i),'33600','33600','02', '11000003','00','Request by Mr. Reheel Malik 02-Dec-2024');</v>
      </c>
      <c r="H55" s="30" t="str">
        <f t="shared" si="3"/>
        <v>insert into ins_premium_det (premium_rcv_code,assorted_code, rec_amount,premium_rcv_detail_code,remaining_amt, payrec, mode_code,coinsurance_code,class_cd,it_remarks) values('29Nov240034','070000168088','33600',(select max(to_number(i.premium_rcv_detail_code))+1
from ins_premium_det i),'33600','33600','02', '11000003','00','Request by Mr. Reheel Malik 02-Dec-2024');</v>
      </c>
    </row>
    <row r="56" spans="1:8" ht="105" x14ac:dyDescent="0.25">
      <c r="A56" s="18" t="s">
        <v>5950</v>
      </c>
      <c r="B56" s="26" t="str">
        <f>VLOOKUP(A56,policy!B:C,2,0)</f>
        <v>070000168089</v>
      </c>
      <c r="C56" s="31">
        <v>42800</v>
      </c>
      <c r="D56" s="27">
        <f t="shared" si="1"/>
        <v>42800</v>
      </c>
      <c r="E56" s="25" t="s">
        <v>6906</v>
      </c>
      <c r="F56" s="28" t="str">
        <f t="shared" si="0"/>
        <v>insert into ins_premium_det (premium_rcv_code,assorted_code, rec_amount,premium_rcv_detail_code,remaining_amt, payrec, mode_code,coinsurance_code,class_cd,it_remarks) values</v>
      </c>
      <c r="G56" s="29" t="str">
        <f t="shared" si="2"/>
        <v>('29Nov240034','070000168089','42800',(select max(to_number(i.premium_rcv_detail_code))+1
from ins_premium_det i),'42800','42800','02', '11000003','00','Request by Mr. Reheel Malik 02-Dec-2024');</v>
      </c>
      <c r="H56" s="30" t="str">
        <f t="shared" si="3"/>
        <v>insert into ins_premium_det (premium_rcv_code,assorted_code, rec_amount,premium_rcv_detail_code,remaining_amt, payrec, mode_code,coinsurance_code,class_cd,it_remarks) values('29Nov240034','070000168089','42800',(select max(to_number(i.premium_rcv_detail_code))+1
from ins_premium_det i),'42800','42800','02', '11000003','00','Request by Mr. Reheel Malik 02-Dec-2024');</v>
      </c>
    </row>
    <row r="57" spans="1:8" ht="105" x14ac:dyDescent="0.25">
      <c r="A57" s="19" t="s">
        <v>5951</v>
      </c>
      <c r="B57" s="26" t="str">
        <f>VLOOKUP(A57,policy!B:C,2,0)</f>
        <v>070000168090</v>
      </c>
      <c r="C57" s="32">
        <v>69152</v>
      </c>
      <c r="D57" s="27">
        <f t="shared" si="1"/>
        <v>69152</v>
      </c>
      <c r="E57" s="25" t="s">
        <v>6906</v>
      </c>
      <c r="F57" s="28" t="str">
        <f t="shared" si="0"/>
        <v>insert into ins_premium_det (premium_rcv_code,assorted_code, rec_amount,premium_rcv_detail_code,remaining_amt, payrec, mode_code,coinsurance_code,class_cd,it_remarks) values</v>
      </c>
      <c r="G57" s="29" t="str">
        <f t="shared" si="2"/>
        <v>('29Nov240034','070000168090','69152',(select max(to_number(i.premium_rcv_detail_code))+1
from ins_premium_det i),'69152','69152','02', '11000003','00','Request by Mr. Reheel Malik 02-Dec-2024');</v>
      </c>
      <c r="H57" s="30" t="str">
        <f t="shared" si="3"/>
        <v>insert into ins_premium_det (premium_rcv_code,assorted_code, rec_amount,premium_rcv_detail_code,remaining_amt, payrec, mode_code,coinsurance_code,class_cd,it_remarks) values('29Nov240034','070000168090','69152',(select max(to_number(i.premium_rcv_detail_code))+1
from ins_premium_det i),'69152','69152','02', '11000003','00','Request by Mr. Reheel Malik 02-Dec-2024');</v>
      </c>
    </row>
    <row r="58" spans="1:8" ht="105" x14ac:dyDescent="0.25">
      <c r="A58" s="18" t="s">
        <v>5952</v>
      </c>
      <c r="B58" s="26" t="str">
        <f>VLOOKUP(A58,policy!B:C,2,0)</f>
        <v>070000168093</v>
      </c>
      <c r="C58" s="31">
        <v>50873</v>
      </c>
      <c r="D58" s="27">
        <f t="shared" si="1"/>
        <v>50873</v>
      </c>
      <c r="E58" s="25" t="s">
        <v>6906</v>
      </c>
      <c r="F58" s="28" t="str">
        <f t="shared" si="0"/>
        <v>insert into ins_premium_det (premium_rcv_code,assorted_code, rec_amount,premium_rcv_detail_code,remaining_amt, payrec, mode_code,coinsurance_code,class_cd,it_remarks) values</v>
      </c>
      <c r="G58" s="29" t="str">
        <f t="shared" si="2"/>
        <v>('29Nov240034','070000168093','50873',(select max(to_number(i.premium_rcv_detail_code))+1
from ins_premium_det i),'50873','50873','02', '11000003','00','Request by Mr. Reheel Malik 02-Dec-2024');</v>
      </c>
      <c r="H58" s="30" t="str">
        <f t="shared" si="3"/>
        <v>insert into ins_premium_det (premium_rcv_code,assorted_code, rec_amount,premium_rcv_detail_code,remaining_amt, payrec, mode_code,coinsurance_code,class_cd,it_remarks) values('29Nov240034','070000168093','50873',(select max(to_number(i.premium_rcv_detail_code))+1
from ins_premium_det i),'50873','50873','02', '11000003','00','Request by Mr. Reheel Malik 02-Dec-2024');</v>
      </c>
    </row>
    <row r="59" spans="1:8" ht="105" x14ac:dyDescent="0.25">
      <c r="A59" s="19" t="s">
        <v>5953</v>
      </c>
      <c r="B59" s="26" t="str">
        <f>VLOOKUP(A59,policy!B:C,2,0)</f>
        <v>070000168096</v>
      </c>
      <c r="C59" s="32">
        <v>52955</v>
      </c>
      <c r="D59" s="27">
        <f t="shared" si="1"/>
        <v>52955</v>
      </c>
      <c r="E59" s="25" t="s">
        <v>6906</v>
      </c>
      <c r="F59" s="28" t="str">
        <f t="shared" si="0"/>
        <v>insert into ins_premium_det (premium_rcv_code,assorted_code, rec_amount,premium_rcv_detail_code,remaining_amt, payrec, mode_code,coinsurance_code,class_cd,it_remarks) values</v>
      </c>
      <c r="G59" s="29" t="str">
        <f t="shared" si="2"/>
        <v>('29Nov240034','070000168096','52955',(select max(to_number(i.premium_rcv_detail_code))+1
from ins_premium_det i),'52955','52955','02', '11000003','00','Request by Mr. Reheel Malik 02-Dec-2024');</v>
      </c>
      <c r="H59" s="30" t="str">
        <f t="shared" si="3"/>
        <v>insert into ins_premium_det (premium_rcv_code,assorted_code, rec_amount,premium_rcv_detail_code,remaining_amt, payrec, mode_code,coinsurance_code,class_cd,it_remarks) values('29Nov240034','070000168096','52955',(select max(to_number(i.premium_rcv_detail_code))+1
from ins_premium_det i),'52955','52955','02', '11000003','00','Request by Mr. Reheel Malik 02-Dec-2024');</v>
      </c>
    </row>
    <row r="60" spans="1:8" ht="105" x14ac:dyDescent="0.25">
      <c r="A60" s="18" t="s">
        <v>5954</v>
      </c>
      <c r="B60" s="26" t="str">
        <f>VLOOKUP(A60,policy!B:C,2,0)</f>
        <v>070000168098</v>
      </c>
      <c r="C60" s="31">
        <v>40163</v>
      </c>
      <c r="D60" s="27">
        <f t="shared" si="1"/>
        <v>40163</v>
      </c>
      <c r="E60" s="25" t="s">
        <v>6906</v>
      </c>
      <c r="F60" s="28" t="str">
        <f t="shared" si="0"/>
        <v>insert into ins_premium_det (premium_rcv_code,assorted_code, rec_amount,premium_rcv_detail_code,remaining_amt, payrec, mode_code,coinsurance_code,class_cd,it_remarks) values</v>
      </c>
      <c r="G60" s="29" t="str">
        <f t="shared" si="2"/>
        <v>('29Nov240034','070000168098','40163',(select max(to_number(i.premium_rcv_detail_code))+1
from ins_premium_det i),'40163','40163','02', '11000003','00','Request by Mr. Reheel Malik 02-Dec-2024');</v>
      </c>
      <c r="H60" s="30" t="str">
        <f t="shared" si="3"/>
        <v>insert into ins_premium_det (premium_rcv_code,assorted_code, rec_amount,premium_rcv_detail_code,remaining_amt, payrec, mode_code,coinsurance_code,class_cd,it_remarks) values('29Nov240034','070000168098','40163',(select max(to_number(i.premium_rcv_detail_code))+1
from ins_premium_det i),'40163','40163','02', '11000003','00','Request by Mr. Reheel Malik 02-Dec-2024');</v>
      </c>
    </row>
    <row r="61" spans="1:8" ht="105" x14ac:dyDescent="0.25">
      <c r="A61" s="19" t="s">
        <v>5955</v>
      </c>
      <c r="B61" s="26" t="str">
        <f>VLOOKUP(A61,policy!B:C,2,0)</f>
        <v>070000168100</v>
      </c>
      <c r="C61" s="32">
        <v>36890</v>
      </c>
      <c r="D61" s="27">
        <f t="shared" si="1"/>
        <v>36890</v>
      </c>
      <c r="E61" s="25" t="s">
        <v>6906</v>
      </c>
      <c r="F61" s="28" t="str">
        <f t="shared" si="0"/>
        <v>insert into ins_premium_det (premium_rcv_code,assorted_code, rec_amount,premium_rcv_detail_code,remaining_amt, payrec, mode_code,coinsurance_code,class_cd,it_remarks) values</v>
      </c>
      <c r="G61" s="29" t="str">
        <f t="shared" si="2"/>
        <v>('29Nov240034','070000168100','36890',(select max(to_number(i.premium_rcv_detail_code))+1
from ins_premium_det i),'36890','36890','02', '11000003','00','Request by Mr. Reheel Malik 02-Dec-2024');</v>
      </c>
      <c r="H61" s="30" t="str">
        <f t="shared" si="3"/>
        <v>insert into ins_premium_det (premium_rcv_code,assorted_code, rec_amount,premium_rcv_detail_code,remaining_amt, payrec, mode_code,coinsurance_code,class_cd,it_remarks) values('29Nov240034','070000168100','36890',(select max(to_number(i.premium_rcv_detail_code))+1
from ins_premium_det i),'36890','36890','02', '11000003','00','Request by Mr. Reheel Malik 02-Dec-2024');</v>
      </c>
    </row>
    <row r="62" spans="1:8" ht="105" x14ac:dyDescent="0.25">
      <c r="A62" s="20" t="s">
        <v>5890</v>
      </c>
      <c r="B62" s="26" t="str">
        <f>VLOOKUP(A62,policy!B:C,2,0)</f>
        <v>070000165930</v>
      </c>
      <c r="C62" s="31">
        <v>28480</v>
      </c>
      <c r="D62" s="27">
        <f t="shared" si="1"/>
        <v>28480</v>
      </c>
      <c r="E62" s="25" t="s">
        <v>6906</v>
      </c>
      <c r="F62" s="28" t="str">
        <f t="shared" si="0"/>
        <v>insert into ins_premium_det (premium_rcv_code,assorted_code, rec_amount,premium_rcv_detail_code,remaining_amt, payrec, mode_code,coinsurance_code,class_cd,it_remarks) values</v>
      </c>
      <c r="G62" s="29" t="str">
        <f t="shared" si="2"/>
        <v>('29Nov240034','070000165930','28480',(select max(to_number(i.premium_rcv_detail_code))+1
from ins_premium_det i),'28480','28480','02', '11000003','00','Request by Mr. Reheel Malik 02-Dec-2024');</v>
      </c>
      <c r="H62" s="30" t="str">
        <f t="shared" si="3"/>
        <v>insert into ins_premium_det (premium_rcv_code,assorted_code, rec_amount,premium_rcv_detail_code,remaining_amt, payrec, mode_code,coinsurance_code,class_cd,it_remarks) values('29Nov240034','070000165930','28480',(select max(to_number(i.premium_rcv_detail_code))+1
from ins_premium_det i),'28480','28480','02', '11000003','00','Request by Mr. Reheel Malik 02-Dec-2024');</v>
      </c>
    </row>
    <row r="63" spans="1:8" ht="105" x14ac:dyDescent="0.25">
      <c r="A63" s="21" t="s">
        <v>5891</v>
      </c>
      <c r="B63" s="26" t="str">
        <f>VLOOKUP(A63,policy!B:C,2,0)</f>
        <v>070000166001</v>
      </c>
      <c r="C63" s="32">
        <v>76286</v>
      </c>
      <c r="D63" s="27">
        <f t="shared" si="1"/>
        <v>76286</v>
      </c>
      <c r="E63" s="25" t="s">
        <v>6906</v>
      </c>
      <c r="F63" s="28" t="str">
        <f t="shared" si="0"/>
        <v>insert into ins_premium_det (premium_rcv_code,assorted_code, rec_amount,premium_rcv_detail_code,remaining_amt, payrec, mode_code,coinsurance_code,class_cd,it_remarks) values</v>
      </c>
      <c r="G63" s="29" t="str">
        <f t="shared" si="2"/>
        <v>('29Nov240034','070000166001','76286',(select max(to_number(i.premium_rcv_detail_code))+1
from ins_premium_det i),'76286','76286','02', '11000003','00','Request by Mr. Reheel Malik 02-Dec-2024');</v>
      </c>
      <c r="H63" s="30" t="str">
        <f t="shared" si="3"/>
        <v>insert into ins_premium_det (premium_rcv_code,assorted_code, rec_amount,premium_rcv_detail_code,remaining_amt, payrec, mode_code,coinsurance_code,class_cd,it_remarks) values('29Nov240034','070000166001','76286',(select max(to_number(i.premium_rcv_detail_code))+1
from ins_premium_det i),'76286','76286','02', '11000003','00','Request by Mr. Reheel Malik 02-Dec-2024');</v>
      </c>
    </row>
    <row r="64" spans="1:8" ht="105" x14ac:dyDescent="0.25">
      <c r="A64" s="20" t="s">
        <v>5892</v>
      </c>
      <c r="B64" s="26" t="str">
        <f>VLOOKUP(A64,policy!B:C,2,0)</f>
        <v>070000166067</v>
      </c>
      <c r="C64" s="31">
        <v>42400</v>
      </c>
      <c r="D64" s="27">
        <f t="shared" si="1"/>
        <v>42400</v>
      </c>
      <c r="E64" s="25" t="s">
        <v>6906</v>
      </c>
      <c r="F64" s="28" t="str">
        <f t="shared" si="0"/>
        <v>insert into ins_premium_det (premium_rcv_code,assorted_code, rec_amount,premium_rcv_detail_code,remaining_amt, payrec, mode_code,coinsurance_code,class_cd,it_remarks) values</v>
      </c>
      <c r="G64" s="29" t="str">
        <f t="shared" si="2"/>
        <v>('29Nov240034','070000166067','42400',(select max(to_number(i.premium_rcv_detail_code))+1
from ins_premium_det i),'42400','42400','02', '11000003','00','Request by Mr. Reheel Malik 02-Dec-2024');</v>
      </c>
      <c r="H64" s="30" t="str">
        <f t="shared" si="3"/>
        <v>insert into ins_premium_det (premium_rcv_code,assorted_code, rec_amount,premium_rcv_detail_code,remaining_amt, payrec, mode_code,coinsurance_code,class_cd,it_remarks) values('29Nov240034','070000166067','42400',(select max(to_number(i.premium_rcv_detail_code))+1
from ins_premium_det i),'42400','42400','02', '11000003','00','Request by Mr. Reheel Malik 02-Dec-2024');</v>
      </c>
    </row>
    <row r="65" spans="1:8" ht="105" x14ac:dyDescent="0.25">
      <c r="A65" s="21" t="s">
        <v>5893</v>
      </c>
      <c r="B65" s="26" t="str">
        <f>VLOOKUP(A65,policy!B:C,2,0)</f>
        <v>070000166089</v>
      </c>
      <c r="C65" s="32">
        <v>31520</v>
      </c>
      <c r="D65" s="27">
        <f t="shared" si="1"/>
        <v>31520</v>
      </c>
      <c r="E65" s="25" t="s">
        <v>6906</v>
      </c>
      <c r="F65" s="28" t="str">
        <f t="shared" si="0"/>
        <v>insert into ins_premium_det (premium_rcv_code,assorted_code, rec_amount,premium_rcv_detail_code,remaining_amt, payrec, mode_code,coinsurance_code,class_cd,it_remarks) values</v>
      </c>
      <c r="G65" s="29" t="str">
        <f t="shared" si="2"/>
        <v>('29Nov240034','070000166089','31520',(select max(to_number(i.premium_rcv_detail_code))+1
from ins_premium_det i),'31520','31520','02', '11000003','00','Request by Mr. Reheel Malik 02-Dec-2024');</v>
      </c>
      <c r="H65" s="30" t="str">
        <f t="shared" si="3"/>
        <v>insert into ins_premium_det (premium_rcv_code,assorted_code, rec_amount,premium_rcv_detail_code,remaining_amt, payrec, mode_code,coinsurance_code,class_cd,it_remarks) values('29Nov240034','070000166089','31520',(select max(to_number(i.premium_rcv_detail_code))+1
from ins_premium_det i),'31520','31520','02', '11000003','00','Request by Mr. Reheel Malik 02-Dec-2024');</v>
      </c>
    </row>
    <row r="66" spans="1:8" ht="105" x14ac:dyDescent="0.25">
      <c r="A66" s="20" t="s">
        <v>5894</v>
      </c>
      <c r="B66" s="26" t="str">
        <f>VLOOKUP(A66,policy!B:C,2,0)</f>
        <v>070000165833</v>
      </c>
      <c r="C66" s="31">
        <v>46480</v>
      </c>
      <c r="D66" s="27">
        <f t="shared" si="1"/>
        <v>46480</v>
      </c>
      <c r="E66" s="25" t="s">
        <v>6906</v>
      </c>
      <c r="F66" s="28" t="str">
        <f t="shared" ref="F66:F129" si="4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66" s="29" t="str">
        <f t="shared" si="2"/>
        <v>('29Nov240034','070000165833','46480',(select max(to_number(i.premium_rcv_detail_code))+1
from ins_premium_det i),'46480','46480','02', '11000003','00','Request by Mr. Reheel Malik 02-Dec-2024');</v>
      </c>
      <c r="H66" s="30" t="str">
        <f t="shared" si="3"/>
        <v>insert into ins_premium_det (premium_rcv_code,assorted_code, rec_amount,premium_rcv_detail_code,remaining_amt, payrec, mode_code,coinsurance_code,class_cd,it_remarks) values('29Nov240034','070000165833','46480',(select max(to_number(i.premium_rcv_detail_code))+1
from ins_premium_det i),'46480','46480','02', '11000003','00','Request by Mr. Reheel Malik 02-Dec-2024');</v>
      </c>
    </row>
    <row r="67" spans="1:8" ht="105" x14ac:dyDescent="0.25">
      <c r="A67" s="21" t="s">
        <v>5895</v>
      </c>
      <c r="B67" s="26" t="str">
        <f>VLOOKUP(A67,policy!B:C,2,0)</f>
        <v>070000165832</v>
      </c>
      <c r="C67" s="32">
        <v>31520</v>
      </c>
      <c r="D67" s="27">
        <f t="shared" ref="D67:D130" si="5">ROUND(C67,0)</f>
        <v>31520</v>
      </c>
      <c r="E67" s="25" t="s">
        <v>6906</v>
      </c>
      <c r="F67" s="28" t="str">
        <f t="shared" si="4"/>
        <v>insert into ins_premium_det (premium_rcv_code,assorted_code, rec_amount,premium_rcv_detail_code,remaining_amt, payrec, mode_code,coinsurance_code,class_cd,it_remarks) values</v>
      </c>
      <c r="G67" s="29" t="str">
        <f t="shared" ref="G67:G130" si="6">"('"&amp;E67&amp;"','"&amp;B67&amp;"','"&amp;D67&amp;"',(select max(to_number(i.premium_rcv_detail_code))+1
from ins_premium_det i),'"&amp;D67&amp;"','"&amp;D67&amp;"','02', '11000003','00','Request by Mr. Reheel Malik 02-Dec-2024');"</f>
        <v>('29Nov240034','070000165832','31520',(select max(to_number(i.premium_rcv_detail_code))+1
from ins_premium_det i),'31520','31520','02', '11000003','00','Request by Mr. Reheel Malik 02-Dec-2024');</v>
      </c>
      <c r="H67" s="30" t="str">
        <f t="shared" ref="H67:H130" si="7">F67&amp;G67</f>
        <v>insert into ins_premium_det (premium_rcv_code,assorted_code, rec_amount,premium_rcv_detail_code,remaining_amt, payrec, mode_code,coinsurance_code,class_cd,it_remarks) values('29Nov240034','070000165832','31520',(select max(to_number(i.premium_rcv_detail_code))+1
from ins_premium_det i),'31520','31520','02', '11000003','00','Request by Mr. Reheel Malik 02-Dec-2024');</v>
      </c>
    </row>
    <row r="68" spans="1:8" ht="105" x14ac:dyDescent="0.25">
      <c r="A68" s="18" t="s">
        <v>5956</v>
      </c>
      <c r="B68" s="26" t="str">
        <f>VLOOKUP(A68,policy!B:C,2,0)</f>
        <v>070000167980</v>
      </c>
      <c r="C68" s="31">
        <v>43706</v>
      </c>
      <c r="D68" s="27">
        <f t="shared" si="5"/>
        <v>43706</v>
      </c>
      <c r="E68" s="25" t="s">
        <v>6906</v>
      </c>
      <c r="F68" s="28" t="str">
        <f t="shared" si="4"/>
        <v>insert into ins_premium_det (premium_rcv_code,assorted_code, rec_amount,premium_rcv_detail_code,remaining_amt, payrec, mode_code,coinsurance_code,class_cd,it_remarks) values</v>
      </c>
      <c r="G68" s="29" t="str">
        <f t="shared" si="6"/>
        <v>('29Nov240034','070000167980','43706',(select max(to_number(i.premium_rcv_detail_code))+1
from ins_premium_det i),'43706','43706','02', '11000003','00','Request by Mr. Reheel Malik 02-Dec-2024');</v>
      </c>
      <c r="H68" s="30" t="str">
        <f t="shared" si="7"/>
        <v>insert into ins_premium_det (premium_rcv_code,assorted_code, rec_amount,premium_rcv_detail_code,remaining_amt, payrec, mode_code,coinsurance_code,class_cd,it_remarks) values('29Nov240034','070000167980','43706',(select max(to_number(i.premium_rcv_detail_code))+1
from ins_premium_det i),'43706','43706','02', '11000003','00','Request by Mr. Reheel Malik 02-Dec-2024');</v>
      </c>
    </row>
    <row r="69" spans="1:8" ht="105" x14ac:dyDescent="0.25">
      <c r="A69" s="19" t="s">
        <v>5957</v>
      </c>
      <c r="B69" s="26" t="str">
        <f>VLOOKUP(A69,policy!B:C,2,0)</f>
        <v>070000168113</v>
      </c>
      <c r="C69" s="32">
        <v>12800</v>
      </c>
      <c r="D69" s="27">
        <f t="shared" si="5"/>
        <v>12800</v>
      </c>
      <c r="E69" s="25" t="s">
        <v>6906</v>
      </c>
      <c r="F69" s="28" t="str">
        <f t="shared" si="4"/>
        <v>insert into ins_premium_det (premium_rcv_code,assorted_code, rec_amount,premium_rcv_detail_code,remaining_amt, payrec, mode_code,coinsurance_code,class_cd,it_remarks) values</v>
      </c>
      <c r="G69" s="29" t="str">
        <f t="shared" si="6"/>
        <v>('29Nov240034','070000168113','12800',(select max(to_number(i.premium_rcv_detail_code))+1
from ins_premium_det i),'12800','12800','02', '11000003','00','Request by Mr. Reheel Malik 02-Dec-2024');</v>
      </c>
      <c r="H69" s="30" t="str">
        <f t="shared" si="7"/>
        <v>insert into ins_premium_det (premium_rcv_code,assorted_code, rec_amount,premium_rcv_detail_code,remaining_amt, payrec, mode_code,coinsurance_code,class_cd,it_remarks) values('29Nov240034','070000168113','12800',(select max(to_number(i.premium_rcv_detail_code))+1
from ins_premium_det i),'12800','12800','02', '11000003','00','Request by Mr. Reheel Malik 02-Dec-2024');</v>
      </c>
    </row>
    <row r="70" spans="1:8" ht="105" x14ac:dyDescent="0.25">
      <c r="A70" s="18" t="s">
        <v>5958</v>
      </c>
      <c r="B70" s="26" t="str">
        <f>VLOOKUP(A70,policy!B:C,2,0)</f>
        <v>070000168114</v>
      </c>
      <c r="C70" s="31">
        <v>26480</v>
      </c>
      <c r="D70" s="27">
        <f t="shared" si="5"/>
        <v>26480</v>
      </c>
      <c r="E70" s="25" t="s">
        <v>6906</v>
      </c>
      <c r="F70" s="28" t="str">
        <f t="shared" si="4"/>
        <v>insert into ins_premium_det (premium_rcv_code,assorted_code, rec_amount,premium_rcv_detail_code,remaining_amt, payrec, mode_code,coinsurance_code,class_cd,it_remarks) values</v>
      </c>
      <c r="G70" s="29" t="str">
        <f t="shared" si="6"/>
        <v>('29Nov240034','070000168114','26480',(select max(to_number(i.premium_rcv_detail_code))+1
from ins_premium_det i),'26480','26480','02', '11000003','00','Request by Mr. Reheel Malik 02-Dec-2024');</v>
      </c>
      <c r="H70" s="30" t="str">
        <f t="shared" si="7"/>
        <v>insert into ins_premium_det (premium_rcv_code,assorted_code, rec_amount,premium_rcv_detail_code,remaining_amt, payrec, mode_code,coinsurance_code,class_cd,it_remarks) values('29Nov240034','070000168114','26480',(select max(to_number(i.premium_rcv_detail_code))+1
from ins_premium_det i),'26480','26480','02', '11000003','00','Request by Mr. Reheel Malik 02-Dec-2024');</v>
      </c>
    </row>
    <row r="71" spans="1:8" ht="105" x14ac:dyDescent="0.25">
      <c r="A71" s="19" t="s">
        <v>5959</v>
      </c>
      <c r="B71" s="26" t="str">
        <f>VLOOKUP(A71,policy!B:C,2,0)</f>
        <v>070000168115</v>
      </c>
      <c r="C71" s="32">
        <v>21360</v>
      </c>
      <c r="D71" s="27">
        <f t="shared" si="5"/>
        <v>21360</v>
      </c>
      <c r="E71" s="25" t="s">
        <v>6906</v>
      </c>
      <c r="F71" s="28" t="str">
        <f t="shared" si="4"/>
        <v>insert into ins_premium_det (premium_rcv_code,assorted_code, rec_amount,premium_rcv_detail_code,remaining_amt, payrec, mode_code,coinsurance_code,class_cd,it_remarks) values</v>
      </c>
      <c r="G71" s="29" t="str">
        <f t="shared" si="6"/>
        <v>('29Nov240034','070000168115','21360',(select max(to_number(i.premium_rcv_detail_code))+1
from ins_premium_det i),'21360','21360','02', '11000003','00','Request by Mr. Reheel Malik 02-Dec-2024');</v>
      </c>
      <c r="H71" s="30" t="str">
        <f t="shared" si="7"/>
        <v>insert into ins_premium_det (premium_rcv_code,assorted_code, rec_amount,premium_rcv_detail_code,remaining_amt, payrec, mode_code,coinsurance_code,class_cd,it_remarks) values('29Nov240034','070000168115','21360',(select max(to_number(i.premium_rcv_detail_code))+1
from ins_premium_det i),'21360','21360','02', '11000003','00','Request by Mr. Reheel Malik 02-Dec-2024');</v>
      </c>
    </row>
    <row r="72" spans="1:8" ht="105" x14ac:dyDescent="0.25">
      <c r="A72" s="18" t="s">
        <v>5960</v>
      </c>
      <c r="B72" s="26" t="str">
        <f>VLOOKUP(A72,policy!B:C,2,0)</f>
        <v>070000168117</v>
      </c>
      <c r="C72" s="31">
        <v>21360</v>
      </c>
      <c r="D72" s="27">
        <f t="shared" si="5"/>
        <v>21360</v>
      </c>
      <c r="E72" s="25" t="s">
        <v>6906</v>
      </c>
      <c r="F72" s="28" t="str">
        <f t="shared" si="4"/>
        <v>insert into ins_premium_det (premium_rcv_code,assorted_code, rec_amount,premium_rcv_detail_code,remaining_amt, payrec, mode_code,coinsurance_code,class_cd,it_remarks) values</v>
      </c>
      <c r="G72" s="29" t="str">
        <f t="shared" si="6"/>
        <v>('29Nov240034','070000168117','21360',(select max(to_number(i.premium_rcv_detail_code))+1
from ins_premium_det i),'21360','21360','02', '11000003','00','Request by Mr. Reheel Malik 02-Dec-2024');</v>
      </c>
      <c r="H72" s="30" t="str">
        <f t="shared" si="7"/>
        <v>insert into ins_premium_det (premium_rcv_code,assorted_code, rec_amount,premium_rcv_detail_code,remaining_amt, payrec, mode_code,coinsurance_code,class_cd,it_remarks) values('29Nov240034','070000168117','21360',(select max(to_number(i.premium_rcv_detail_code))+1
from ins_premium_det i),'21360','21360','02', '11000003','00','Request by Mr. Reheel Malik 02-Dec-2024');</v>
      </c>
    </row>
    <row r="73" spans="1:8" ht="105" x14ac:dyDescent="0.25">
      <c r="A73" s="19" t="s">
        <v>5961</v>
      </c>
      <c r="B73" s="26" t="str">
        <f>VLOOKUP(A73,policy!B:C,2,0)</f>
        <v>070000168118</v>
      </c>
      <c r="C73" s="32">
        <v>27680</v>
      </c>
      <c r="D73" s="27">
        <f t="shared" si="5"/>
        <v>27680</v>
      </c>
      <c r="E73" s="25" t="s">
        <v>6906</v>
      </c>
      <c r="F73" s="28" t="str">
        <f t="shared" si="4"/>
        <v>insert into ins_premium_det (premium_rcv_code,assorted_code, rec_amount,premium_rcv_detail_code,remaining_amt, payrec, mode_code,coinsurance_code,class_cd,it_remarks) values</v>
      </c>
      <c r="G73" s="29" t="str">
        <f t="shared" si="6"/>
        <v>('29Nov240034','070000168118','27680',(select max(to_number(i.premium_rcv_detail_code))+1
from ins_premium_det i),'27680','27680','02', '11000003','00','Request by Mr. Reheel Malik 02-Dec-2024');</v>
      </c>
      <c r="H73" s="30" t="str">
        <f t="shared" si="7"/>
        <v>insert into ins_premium_det (premium_rcv_code,assorted_code, rec_amount,premium_rcv_detail_code,remaining_amt, payrec, mode_code,coinsurance_code,class_cd,it_remarks) values('29Nov240034','070000168118','27680',(select max(to_number(i.premium_rcv_detail_code))+1
from ins_premium_det i),'27680','27680','02', '11000003','00','Request by Mr. Reheel Malik 02-Dec-2024');</v>
      </c>
    </row>
    <row r="74" spans="1:8" ht="105" x14ac:dyDescent="0.25">
      <c r="A74" s="18" t="s">
        <v>5962</v>
      </c>
      <c r="B74" s="26" t="str">
        <f>VLOOKUP(A74,policy!B:C,2,0)</f>
        <v>070000168119</v>
      </c>
      <c r="C74" s="31">
        <v>30606</v>
      </c>
      <c r="D74" s="27">
        <f t="shared" si="5"/>
        <v>30606</v>
      </c>
      <c r="E74" s="25" t="s">
        <v>6906</v>
      </c>
      <c r="F74" s="28" t="str">
        <f t="shared" si="4"/>
        <v>insert into ins_premium_det (premium_rcv_code,assorted_code, rec_amount,premium_rcv_detail_code,remaining_amt, payrec, mode_code,coinsurance_code,class_cd,it_remarks) values</v>
      </c>
      <c r="G74" s="29" t="str">
        <f t="shared" si="6"/>
        <v>('29Nov240034','070000168119','30606',(select max(to_number(i.premium_rcv_detail_code))+1
from ins_premium_det i),'30606','30606','02', '11000003','00','Request by Mr. Reheel Malik 02-Dec-2024');</v>
      </c>
      <c r="H74" s="30" t="str">
        <f t="shared" si="7"/>
        <v>insert into ins_premium_det (premium_rcv_code,assorted_code, rec_amount,premium_rcv_detail_code,remaining_amt, payrec, mode_code,coinsurance_code,class_cd,it_remarks) values('29Nov240034','070000168119','30606',(select max(to_number(i.premium_rcv_detail_code))+1
from ins_premium_det i),'30606','30606','02', '11000003','00','Request by Mr. Reheel Malik 02-Dec-2024');</v>
      </c>
    </row>
    <row r="75" spans="1:8" ht="105" x14ac:dyDescent="0.25">
      <c r="A75" s="19" t="s">
        <v>5963</v>
      </c>
      <c r="B75" s="26" t="str">
        <f>VLOOKUP(A75,policy!B:C,2,0)</f>
        <v>070000168120</v>
      </c>
      <c r="C75" s="32">
        <v>28480</v>
      </c>
      <c r="D75" s="27">
        <f t="shared" si="5"/>
        <v>28480</v>
      </c>
      <c r="E75" s="25" t="s">
        <v>6906</v>
      </c>
      <c r="F75" s="28" t="str">
        <f t="shared" si="4"/>
        <v>insert into ins_premium_det (premium_rcv_code,assorted_code, rec_amount,premium_rcv_detail_code,remaining_amt, payrec, mode_code,coinsurance_code,class_cd,it_remarks) values</v>
      </c>
      <c r="G75" s="29" t="str">
        <f t="shared" si="6"/>
        <v>('29Nov240034','070000168120','28480',(select max(to_number(i.premium_rcv_detail_code))+1
from ins_premium_det i),'28480','28480','02', '11000003','00','Request by Mr. Reheel Malik 02-Dec-2024');</v>
      </c>
      <c r="H75" s="30" t="str">
        <f t="shared" si="7"/>
        <v>insert into ins_premium_det (premium_rcv_code,assorted_code, rec_amount,premium_rcv_detail_code,remaining_amt, payrec, mode_code,coinsurance_code,class_cd,it_remarks) values('29Nov240034','070000168120','28480',(select max(to_number(i.premium_rcv_detail_code))+1
from ins_premium_det i),'28480','28480','02', '11000003','00','Request by Mr. Reheel Malik 02-Dec-2024');</v>
      </c>
    </row>
    <row r="76" spans="1:8" ht="105" x14ac:dyDescent="0.25">
      <c r="A76" s="18" t="s">
        <v>5964</v>
      </c>
      <c r="B76" s="26" t="str">
        <f>VLOOKUP(A76,policy!B:C,2,0)</f>
        <v>070000168121</v>
      </c>
      <c r="C76" s="31">
        <v>29600</v>
      </c>
      <c r="D76" s="27">
        <f t="shared" si="5"/>
        <v>29600</v>
      </c>
      <c r="E76" s="25" t="s">
        <v>6906</v>
      </c>
      <c r="F76" s="28" t="str">
        <f t="shared" si="4"/>
        <v>insert into ins_premium_det (premium_rcv_code,assorted_code, rec_amount,premium_rcv_detail_code,remaining_amt, payrec, mode_code,coinsurance_code,class_cd,it_remarks) values</v>
      </c>
      <c r="G76" s="29" t="str">
        <f t="shared" si="6"/>
        <v>('29Nov240034','070000168121','29600',(select max(to_number(i.premium_rcv_detail_code))+1
from ins_premium_det i),'29600','29600','02', '11000003','00','Request by Mr. Reheel Malik 02-Dec-2024');</v>
      </c>
      <c r="H76" s="30" t="str">
        <f t="shared" si="7"/>
        <v>insert into ins_premium_det (premium_rcv_code,assorted_code, rec_amount,premium_rcv_detail_code,remaining_amt, payrec, mode_code,coinsurance_code,class_cd,it_remarks) values('29Nov240034','070000168121','29600',(select max(to_number(i.premium_rcv_detail_code))+1
from ins_premium_det i),'29600','29600','02', '11000003','00','Request by Mr. Reheel Malik 02-Dec-2024');</v>
      </c>
    </row>
    <row r="77" spans="1:8" ht="105" x14ac:dyDescent="0.25">
      <c r="A77" s="19" t="s">
        <v>5965</v>
      </c>
      <c r="B77" s="26" t="str">
        <f>VLOOKUP(A77,policy!B:C,2,0)</f>
        <v>070000168124</v>
      </c>
      <c r="C77" s="32">
        <v>20496</v>
      </c>
      <c r="D77" s="27">
        <f t="shared" si="5"/>
        <v>20496</v>
      </c>
      <c r="E77" s="25" t="s">
        <v>6906</v>
      </c>
      <c r="F77" s="28" t="str">
        <f t="shared" si="4"/>
        <v>insert into ins_premium_det (premium_rcv_code,assorted_code, rec_amount,premium_rcv_detail_code,remaining_amt, payrec, mode_code,coinsurance_code,class_cd,it_remarks) values</v>
      </c>
      <c r="G77" s="29" t="str">
        <f t="shared" si="6"/>
        <v>('29Nov240034','070000168124','20496',(select max(to_number(i.premium_rcv_detail_code))+1
from ins_premium_det i),'20496','20496','02', '11000003','00','Request by Mr. Reheel Malik 02-Dec-2024');</v>
      </c>
      <c r="H77" s="30" t="str">
        <f t="shared" si="7"/>
        <v>insert into ins_premium_det (premium_rcv_code,assorted_code, rec_amount,premium_rcv_detail_code,remaining_amt, payrec, mode_code,coinsurance_code,class_cd,it_remarks) values('29Nov240034','070000168124','20496',(select max(to_number(i.premium_rcv_detail_code))+1
from ins_premium_det i),'20496','20496','02', '11000003','00','Request by Mr. Reheel Malik 02-Dec-2024');</v>
      </c>
    </row>
    <row r="78" spans="1:8" ht="105" x14ac:dyDescent="0.25">
      <c r="A78" s="18" t="s">
        <v>5966</v>
      </c>
      <c r="B78" s="26" t="str">
        <f>VLOOKUP(A78,policy!B:C,2,0)</f>
        <v>070000168125</v>
      </c>
      <c r="C78" s="31">
        <v>41424</v>
      </c>
      <c r="D78" s="27">
        <f t="shared" si="5"/>
        <v>41424</v>
      </c>
      <c r="E78" s="25" t="s">
        <v>6906</v>
      </c>
      <c r="F78" s="28" t="str">
        <f t="shared" si="4"/>
        <v>insert into ins_premium_det (premium_rcv_code,assorted_code, rec_amount,premium_rcv_detail_code,remaining_amt, payrec, mode_code,coinsurance_code,class_cd,it_remarks) values</v>
      </c>
      <c r="G78" s="29" t="str">
        <f t="shared" si="6"/>
        <v>('29Nov240034','070000168125','41424',(select max(to_number(i.premium_rcv_detail_code))+1
from ins_premium_det i),'41424','41424','02', '11000003','00','Request by Mr. Reheel Malik 02-Dec-2024');</v>
      </c>
      <c r="H78" s="30" t="str">
        <f t="shared" si="7"/>
        <v>insert into ins_premium_det (premium_rcv_code,assorted_code, rec_amount,premium_rcv_detail_code,remaining_amt, payrec, mode_code,coinsurance_code,class_cd,it_remarks) values('29Nov240034','070000168125','41424',(select max(to_number(i.premium_rcv_detail_code))+1
from ins_premium_det i),'41424','41424','02', '11000003','00','Request by Mr. Reheel Malik 02-Dec-2024');</v>
      </c>
    </row>
    <row r="79" spans="1:8" ht="105" x14ac:dyDescent="0.25">
      <c r="A79" s="19" t="s">
        <v>5967</v>
      </c>
      <c r="B79" s="26" t="str">
        <f>VLOOKUP(A79,policy!B:C,2,0)</f>
        <v>070000168126</v>
      </c>
      <c r="C79" s="32">
        <v>57085</v>
      </c>
      <c r="D79" s="27">
        <f t="shared" si="5"/>
        <v>57085</v>
      </c>
      <c r="E79" s="25" t="s">
        <v>6906</v>
      </c>
      <c r="F79" s="28" t="str">
        <f t="shared" si="4"/>
        <v>insert into ins_premium_det (premium_rcv_code,assorted_code, rec_amount,premium_rcv_detail_code,remaining_amt, payrec, mode_code,coinsurance_code,class_cd,it_remarks) values</v>
      </c>
      <c r="G79" s="29" t="str">
        <f t="shared" si="6"/>
        <v>('29Nov240034','070000168126','57085',(select max(to_number(i.premium_rcv_detail_code))+1
from ins_premium_det i),'57085','57085','02', '11000003','00','Request by Mr. Reheel Malik 02-Dec-2024');</v>
      </c>
      <c r="H79" s="30" t="str">
        <f t="shared" si="7"/>
        <v>insert into ins_premium_det (premium_rcv_code,assorted_code, rec_amount,premium_rcv_detail_code,remaining_amt, payrec, mode_code,coinsurance_code,class_cd,it_remarks) values('29Nov240034','070000168126','57085',(select max(to_number(i.premium_rcv_detail_code))+1
from ins_premium_det i),'57085','57085','02', '11000003','00','Request by Mr. Reheel Malik 02-Dec-2024');</v>
      </c>
    </row>
    <row r="80" spans="1:8" ht="105" x14ac:dyDescent="0.25">
      <c r="A80" s="18" t="s">
        <v>5968</v>
      </c>
      <c r="B80" s="26" t="str">
        <f>VLOOKUP(A80,policy!B:C,2,0)</f>
        <v>070000168127</v>
      </c>
      <c r="C80" s="31">
        <v>43248</v>
      </c>
      <c r="D80" s="27">
        <f t="shared" si="5"/>
        <v>43248</v>
      </c>
      <c r="E80" s="25" t="s">
        <v>6906</v>
      </c>
      <c r="F80" s="28" t="str">
        <f t="shared" si="4"/>
        <v>insert into ins_premium_det (premium_rcv_code,assorted_code, rec_amount,premium_rcv_detail_code,remaining_amt, payrec, mode_code,coinsurance_code,class_cd,it_remarks) values</v>
      </c>
      <c r="G80" s="29" t="str">
        <f t="shared" si="6"/>
        <v>('29Nov240034','070000168127','43248',(select max(to_number(i.premium_rcv_detail_code))+1
from ins_premium_det i),'43248','43248','02', '11000003','00','Request by Mr. Reheel Malik 02-Dec-2024');</v>
      </c>
      <c r="H80" s="30" t="str">
        <f t="shared" si="7"/>
        <v>insert into ins_premium_det (premium_rcv_code,assorted_code, rec_amount,premium_rcv_detail_code,remaining_amt, payrec, mode_code,coinsurance_code,class_cd,it_remarks) values('29Nov240034','070000168127','43248',(select max(to_number(i.premium_rcv_detail_code))+1
from ins_premium_det i),'43248','43248','02', '11000003','00','Request by Mr. Reheel Malik 02-Dec-2024');</v>
      </c>
    </row>
    <row r="81" spans="1:8" ht="105" x14ac:dyDescent="0.25">
      <c r="A81" s="19" t="s">
        <v>5969</v>
      </c>
      <c r="B81" s="26" t="str">
        <f>VLOOKUP(A81,policy!B:C,2,0)</f>
        <v>070000168129</v>
      </c>
      <c r="C81" s="32">
        <v>75460</v>
      </c>
      <c r="D81" s="27">
        <f t="shared" si="5"/>
        <v>75460</v>
      </c>
      <c r="E81" s="25" t="s">
        <v>6906</v>
      </c>
      <c r="F81" s="28" t="str">
        <f t="shared" si="4"/>
        <v>insert into ins_premium_det (premium_rcv_code,assorted_code, rec_amount,premium_rcv_detail_code,remaining_amt, payrec, mode_code,coinsurance_code,class_cd,it_remarks) values</v>
      </c>
      <c r="G81" s="29" t="str">
        <f t="shared" si="6"/>
        <v>('29Nov240034','070000168129','75460',(select max(to_number(i.premium_rcv_detail_code))+1
from ins_premium_det i),'75460','75460','02', '11000003','00','Request by Mr. Reheel Malik 02-Dec-2024');</v>
      </c>
      <c r="H81" s="30" t="str">
        <f t="shared" si="7"/>
        <v>insert into ins_premium_det (premium_rcv_code,assorted_code, rec_amount,premium_rcv_detail_code,remaining_amt, payrec, mode_code,coinsurance_code,class_cd,it_remarks) values('29Nov240034','070000168129','75460',(select max(to_number(i.premium_rcv_detail_code))+1
from ins_premium_det i),'75460','75460','02', '11000003','00','Request by Mr. Reheel Malik 02-Dec-2024');</v>
      </c>
    </row>
    <row r="82" spans="1:8" ht="105" x14ac:dyDescent="0.25">
      <c r="A82" s="18" t="s">
        <v>5970</v>
      </c>
      <c r="B82" s="26" t="str">
        <f>VLOOKUP(A82,policy!B:C,2,0)</f>
        <v>070000167992</v>
      </c>
      <c r="C82" s="31">
        <v>13702</v>
      </c>
      <c r="D82" s="27">
        <f t="shared" si="5"/>
        <v>13702</v>
      </c>
      <c r="E82" s="25" t="s">
        <v>6906</v>
      </c>
      <c r="F82" s="28" t="str">
        <f t="shared" si="4"/>
        <v>insert into ins_premium_det (premium_rcv_code,assorted_code, rec_amount,premium_rcv_detail_code,remaining_amt, payrec, mode_code,coinsurance_code,class_cd,it_remarks) values</v>
      </c>
      <c r="G82" s="29" t="str">
        <f t="shared" si="6"/>
        <v>('29Nov240034','070000167992','13702',(select max(to_number(i.premium_rcv_detail_code))+1
from ins_premium_det i),'13702','13702','02', '11000003','00','Request by Mr. Reheel Malik 02-Dec-2024');</v>
      </c>
      <c r="H82" s="30" t="str">
        <f t="shared" si="7"/>
        <v>insert into ins_premium_det (premium_rcv_code,assorted_code, rec_amount,premium_rcv_detail_code,remaining_amt, payrec, mode_code,coinsurance_code,class_cd,it_remarks) values('29Nov240034','070000167992','13702',(select max(to_number(i.premium_rcv_detail_code))+1
from ins_premium_det i),'13702','13702','02', '11000003','00','Request by Mr. Reheel Malik 02-Dec-2024');</v>
      </c>
    </row>
    <row r="83" spans="1:8" ht="105" x14ac:dyDescent="0.25">
      <c r="A83" s="19" t="s">
        <v>5971</v>
      </c>
      <c r="B83" s="26" t="str">
        <f>VLOOKUP(A83,policy!B:C,2,0)</f>
        <v>070000167995</v>
      </c>
      <c r="C83" s="32">
        <v>15624</v>
      </c>
      <c r="D83" s="27">
        <f t="shared" si="5"/>
        <v>15624</v>
      </c>
      <c r="E83" s="25" t="s">
        <v>6906</v>
      </c>
      <c r="F83" s="28" t="str">
        <f t="shared" si="4"/>
        <v>insert into ins_premium_det (premium_rcv_code,assorted_code, rec_amount,premium_rcv_detail_code,remaining_amt, payrec, mode_code,coinsurance_code,class_cd,it_remarks) values</v>
      </c>
      <c r="G83" s="29" t="str">
        <f t="shared" si="6"/>
        <v>('29Nov240034','070000167995','15624',(select max(to_number(i.premium_rcv_detail_code))+1
from ins_premium_det i),'15624','15624','02', '11000003','00','Request by Mr. Reheel Malik 02-Dec-2024');</v>
      </c>
      <c r="H83" s="30" t="str">
        <f t="shared" si="7"/>
        <v>insert into ins_premium_det (premium_rcv_code,assorted_code, rec_amount,premium_rcv_detail_code,remaining_amt, payrec, mode_code,coinsurance_code,class_cd,it_remarks) values('29Nov240034','070000167995','15624',(select max(to_number(i.premium_rcv_detail_code))+1
from ins_premium_det i),'15624','15624','02', '11000003','00','Request by Mr. Reheel Malik 02-Dec-2024');</v>
      </c>
    </row>
    <row r="84" spans="1:8" ht="105" x14ac:dyDescent="0.25">
      <c r="A84" s="18" t="s">
        <v>5972</v>
      </c>
      <c r="B84" s="26" t="str">
        <f>VLOOKUP(A84,policy!B:C,2,0)</f>
        <v>070000167998</v>
      </c>
      <c r="C84" s="31">
        <v>21360</v>
      </c>
      <c r="D84" s="27">
        <f t="shared" si="5"/>
        <v>21360</v>
      </c>
      <c r="E84" s="25" t="s">
        <v>6906</v>
      </c>
      <c r="F84" s="28" t="str">
        <f t="shared" si="4"/>
        <v>insert into ins_premium_det (premium_rcv_code,assorted_code, rec_amount,premium_rcv_detail_code,remaining_amt, payrec, mode_code,coinsurance_code,class_cd,it_remarks) values</v>
      </c>
      <c r="G84" s="29" t="str">
        <f t="shared" si="6"/>
        <v>('29Nov240034','070000167998','21360',(select max(to_number(i.premium_rcv_detail_code))+1
from ins_premium_det i),'21360','21360','02', '11000003','00','Request by Mr. Reheel Malik 02-Dec-2024');</v>
      </c>
      <c r="H84" s="30" t="str">
        <f t="shared" si="7"/>
        <v>insert into ins_premium_det (premium_rcv_code,assorted_code, rec_amount,premium_rcv_detail_code,remaining_amt, payrec, mode_code,coinsurance_code,class_cd,it_remarks) values('29Nov240034','070000167998','21360',(select max(to_number(i.premium_rcv_detail_code))+1
from ins_premium_det i),'21360','21360','02', '11000003','00','Request by Mr. Reheel Malik 02-Dec-2024');</v>
      </c>
    </row>
    <row r="85" spans="1:8" ht="105" x14ac:dyDescent="0.25">
      <c r="A85" s="19" t="s">
        <v>5973</v>
      </c>
      <c r="B85" s="26" t="str">
        <f>VLOOKUP(A85,policy!B:C,2,0)</f>
        <v>070000167999</v>
      </c>
      <c r="C85" s="32">
        <v>24336</v>
      </c>
      <c r="D85" s="27">
        <f t="shared" si="5"/>
        <v>24336</v>
      </c>
      <c r="E85" s="25" t="s">
        <v>6906</v>
      </c>
      <c r="F85" s="28" t="str">
        <f t="shared" si="4"/>
        <v>insert into ins_premium_det (premium_rcv_code,assorted_code, rec_amount,premium_rcv_detail_code,remaining_amt, payrec, mode_code,coinsurance_code,class_cd,it_remarks) values</v>
      </c>
      <c r="G85" s="29" t="str">
        <f t="shared" si="6"/>
        <v>('29Nov240034','070000167999','24336',(select max(to_number(i.premium_rcv_detail_code))+1
from ins_premium_det i),'24336','24336','02', '11000003','00','Request by Mr. Reheel Malik 02-Dec-2024');</v>
      </c>
      <c r="H85" s="30" t="str">
        <f t="shared" si="7"/>
        <v>insert into ins_premium_det (premium_rcv_code,assorted_code, rec_amount,premium_rcv_detail_code,remaining_amt, payrec, mode_code,coinsurance_code,class_cd,it_remarks) values('29Nov240034','070000167999','24336',(select max(to_number(i.premium_rcv_detail_code))+1
from ins_premium_det i),'24336','24336','02', '11000003','00','Request by Mr. Reheel Malik 02-Dec-2024');</v>
      </c>
    </row>
    <row r="86" spans="1:8" ht="105" x14ac:dyDescent="0.25">
      <c r="A86" s="18" t="s">
        <v>5974</v>
      </c>
      <c r="B86" s="26" t="str">
        <f>VLOOKUP(A86,policy!B:C,2,0)</f>
        <v>070000168000</v>
      </c>
      <c r="C86" s="31">
        <v>75460</v>
      </c>
      <c r="D86" s="27">
        <f t="shared" si="5"/>
        <v>75460</v>
      </c>
      <c r="E86" s="25" t="s">
        <v>6906</v>
      </c>
      <c r="F86" s="28" t="str">
        <f t="shared" si="4"/>
        <v>insert into ins_premium_det (premium_rcv_code,assorted_code, rec_amount,premium_rcv_detail_code,remaining_amt, payrec, mode_code,coinsurance_code,class_cd,it_remarks) values</v>
      </c>
      <c r="G86" s="29" t="str">
        <f t="shared" si="6"/>
        <v>('29Nov240034','070000168000','75460',(select max(to_number(i.premium_rcv_detail_code))+1
from ins_premium_det i),'75460','75460','02', '11000003','00','Request by Mr. Reheel Malik 02-Dec-2024');</v>
      </c>
      <c r="H86" s="30" t="str">
        <f t="shared" si="7"/>
        <v>insert into ins_premium_det (premium_rcv_code,assorted_code, rec_amount,premium_rcv_detail_code,remaining_amt, payrec, mode_code,coinsurance_code,class_cd,it_remarks) values('29Nov240034','070000168000','75460',(select max(to_number(i.premium_rcv_detail_code))+1
from ins_premium_det i),'75460','75460','02', '11000003','00','Request by Mr. Reheel Malik 02-Dec-2024');</v>
      </c>
    </row>
    <row r="87" spans="1:8" ht="105" x14ac:dyDescent="0.25">
      <c r="A87" s="19" t="s">
        <v>5975</v>
      </c>
      <c r="B87" s="26" t="str">
        <f>VLOOKUP(A87,policy!B:C,2,0)</f>
        <v>070000168001</v>
      </c>
      <c r="C87" s="32">
        <v>33970</v>
      </c>
      <c r="D87" s="27">
        <f t="shared" si="5"/>
        <v>33970</v>
      </c>
      <c r="E87" s="25" t="s">
        <v>6906</v>
      </c>
      <c r="F87" s="28" t="str">
        <f t="shared" si="4"/>
        <v>insert into ins_premium_det (premium_rcv_code,assorted_code, rec_amount,premium_rcv_detail_code,remaining_amt, payrec, mode_code,coinsurance_code,class_cd,it_remarks) values</v>
      </c>
      <c r="G87" s="29" t="str">
        <f t="shared" si="6"/>
        <v>('29Nov240034','070000168001','33970',(select max(to_number(i.premium_rcv_detail_code))+1
from ins_premium_det i),'33970','33970','02', '11000003','00','Request by Mr. Reheel Malik 02-Dec-2024');</v>
      </c>
      <c r="H87" s="30" t="str">
        <f t="shared" si="7"/>
        <v>insert into ins_premium_det (premium_rcv_code,assorted_code, rec_amount,premium_rcv_detail_code,remaining_amt, payrec, mode_code,coinsurance_code,class_cd,it_remarks) values('29Nov240034','070000168001','33970',(select max(to_number(i.premium_rcv_detail_code))+1
from ins_premium_det i),'33970','33970','02', '11000003','00','Request by Mr. Reheel Malik 02-Dec-2024');</v>
      </c>
    </row>
    <row r="88" spans="1:8" ht="105" x14ac:dyDescent="0.25">
      <c r="A88" s="18" t="s">
        <v>5976</v>
      </c>
      <c r="B88" s="26" t="str">
        <f>VLOOKUP(A88,policy!B:C,2,0)</f>
        <v>070000168137</v>
      </c>
      <c r="C88" s="31">
        <v>107294</v>
      </c>
      <c r="D88" s="27">
        <f t="shared" si="5"/>
        <v>107294</v>
      </c>
      <c r="E88" s="25" t="s">
        <v>6906</v>
      </c>
      <c r="F88" s="28" t="str">
        <f t="shared" si="4"/>
        <v>insert into ins_premium_det (premium_rcv_code,assorted_code, rec_amount,premium_rcv_detail_code,remaining_amt, payrec, mode_code,coinsurance_code,class_cd,it_remarks) values</v>
      </c>
      <c r="G88" s="29" t="str">
        <f t="shared" si="6"/>
        <v>('29Nov240034','070000168137','107294',(select max(to_number(i.premium_rcv_detail_code))+1
from ins_premium_det i),'107294','107294','02', '11000003','00','Request by Mr. Reheel Malik 02-Dec-2024');</v>
      </c>
      <c r="H88" s="30" t="str">
        <f t="shared" si="7"/>
        <v>insert into ins_premium_det (premium_rcv_code,assorted_code, rec_amount,premium_rcv_detail_code,remaining_amt, payrec, mode_code,coinsurance_code,class_cd,it_remarks) values('29Nov240034','070000168137','107294',(select max(to_number(i.premium_rcv_detail_code))+1
from ins_premium_det i),'107294','107294','02', '11000003','00','Request by Mr. Reheel Malik 02-Dec-2024');</v>
      </c>
    </row>
    <row r="89" spans="1:8" ht="105" x14ac:dyDescent="0.25">
      <c r="A89" s="19" t="s">
        <v>5977</v>
      </c>
      <c r="B89" s="26" t="str">
        <f>VLOOKUP(A89,policy!B:C,2,0)</f>
        <v>070000168003</v>
      </c>
      <c r="C89" s="32">
        <v>64500</v>
      </c>
      <c r="D89" s="27">
        <f t="shared" si="5"/>
        <v>64500</v>
      </c>
      <c r="E89" s="25" t="s">
        <v>6906</v>
      </c>
      <c r="F89" s="28" t="str">
        <f t="shared" si="4"/>
        <v>insert into ins_premium_det (premium_rcv_code,assorted_code, rec_amount,premium_rcv_detail_code,remaining_amt, payrec, mode_code,coinsurance_code,class_cd,it_remarks) values</v>
      </c>
      <c r="G89" s="29" t="str">
        <f t="shared" si="6"/>
        <v>('29Nov240034','070000168003','64500',(select max(to_number(i.premium_rcv_detail_code))+1
from ins_premium_det i),'64500','64500','02', '11000003','00','Request by Mr. Reheel Malik 02-Dec-2024');</v>
      </c>
      <c r="H89" s="30" t="str">
        <f t="shared" si="7"/>
        <v>insert into ins_premium_det (premium_rcv_code,assorted_code, rec_amount,premium_rcv_detail_code,remaining_amt, payrec, mode_code,coinsurance_code,class_cd,it_remarks) values('29Nov240034','070000168003','64500',(select max(to_number(i.premium_rcv_detail_code))+1
from ins_premium_det i),'64500','64500','02', '11000003','00','Request by Mr. Reheel Malik 02-Dec-2024');</v>
      </c>
    </row>
    <row r="90" spans="1:8" ht="105" x14ac:dyDescent="0.25">
      <c r="A90" s="18" t="s">
        <v>5978</v>
      </c>
      <c r="B90" s="26" t="str">
        <f>VLOOKUP(A90,policy!B:C,2,0)</f>
        <v>070000168138</v>
      </c>
      <c r="C90" s="31">
        <v>24864</v>
      </c>
      <c r="D90" s="27">
        <f t="shared" si="5"/>
        <v>24864</v>
      </c>
      <c r="E90" s="25" t="s">
        <v>6906</v>
      </c>
      <c r="F90" s="28" t="str">
        <f t="shared" si="4"/>
        <v>insert into ins_premium_det (premium_rcv_code,assorted_code, rec_amount,premium_rcv_detail_code,remaining_amt, payrec, mode_code,coinsurance_code,class_cd,it_remarks) values</v>
      </c>
      <c r="G90" s="29" t="str">
        <f t="shared" si="6"/>
        <v>('29Nov240034','070000168138','24864',(select max(to_number(i.premium_rcv_detail_code))+1
from ins_premium_det i),'24864','24864','02', '11000003','00','Request by Mr. Reheel Malik 02-Dec-2024');</v>
      </c>
      <c r="H90" s="30" t="str">
        <f t="shared" si="7"/>
        <v>insert into ins_premium_det (premium_rcv_code,assorted_code, rec_amount,premium_rcv_detail_code,remaining_amt, payrec, mode_code,coinsurance_code,class_cd,it_remarks) values('29Nov240034','070000168138','24864',(select max(to_number(i.premium_rcv_detail_code))+1
from ins_premium_det i),'24864','24864','02', '11000003','00','Request by Mr. Reheel Malik 02-Dec-2024');</v>
      </c>
    </row>
    <row r="91" spans="1:8" ht="105" x14ac:dyDescent="0.25">
      <c r="A91" s="19" t="s">
        <v>5979</v>
      </c>
      <c r="B91" s="26" t="str">
        <f>VLOOKUP(A91,policy!B:C,2,0)</f>
        <v>070000168004</v>
      </c>
      <c r="C91" s="32">
        <v>43500</v>
      </c>
      <c r="D91" s="27">
        <f t="shared" si="5"/>
        <v>43500</v>
      </c>
      <c r="E91" s="25" t="s">
        <v>6906</v>
      </c>
      <c r="F91" s="28" t="str">
        <f t="shared" si="4"/>
        <v>insert into ins_premium_det (premium_rcv_code,assorted_code, rec_amount,premium_rcv_detail_code,remaining_amt, payrec, mode_code,coinsurance_code,class_cd,it_remarks) values</v>
      </c>
      <c r="G91" s="29" t="str">
        <f t="shared" si="6"/>
        <v>('29Nov240034','070000168004','43500',(select max(to_number(i.premium_rcv_detail_code))+1
from ins_premium_det i),'43500','43500','02', '11000003','00','Request by Mr. Reheel Malik 02-Dec-2024');</v>
      </c>
      <c r="H91" s="30" t="str">
        <f t="shared" si="7"/>
        <v>insert into ins_premium_det (premium_rcv_code,assorted_code, rec_amount,premium_rcv_detail_code,remaining_amt, payrec, mode_code,coinsurance_code,class_cd,it_remarks) values('29Nov240034','070000168004','43500',(select max(to_number(i.premium_rcv_detail_code))+1
from ins_premium_det i),'43500','43500','02', '11000003','00','Request by Mr. Reheel Malik 02-Dec-2024');</v>
      </c>
    </row>
    <row r="92" spans="1:8" ht="105" x14ac:dyDescent="0.25">
      <c r="A92" s="18" t="s">
        <v>5980</v>
      </c>
      <c r="B92" s="26" t="str">
        <f>VLOOKUP(A92,policy!B:C,2,0)</f>
        <v>070000168140</v>
      </c>
      <c r="C92" s="31">
        <v>26480</v>
      </c>
      <c r="D92" s="27">
        <f t="shared" si="5"/>
        <v>26480</v>
      </c>
      <c r="E92" s="25" t="s">
        <v>6906</v>
      </c>
      <c r="F92" s="28" t="str">
        <f t="shared" si="4"/>
        <v>insert into ins_premium_det (premium_rcv_code,assorted_code, rec_amount,premium_rcv_detail_code,remaining_amt, payrec, mode_code,coinsurance_code,class_cd,it_remarks) values</v>
      </c>
      <c r="G92" s="29" t="str">
        <f t="shared" si="6"/>
        <v>('29Nov240034','070000168140','26480',(select max(to_number(i.premium_rcv_detail_code))+1
from ins_premium_det i),'26480','26480','02', '11000003','00','Request by Mr. Reheel Malik 02-Dec-2024');</v>
      </c>
      <c r="H92" s="30" t="str">
        <f t="shared" si="7"/>
        <v>insert into ins_premium_det (premium_rcv_code,assorted_code, rec_amount,premium_rcv_detail_code,remaining_amt, payrec, mode_code,coinsurance_code,class_cd,it_remarks) values('29Nov240034','070000168140','26480',(select max(to_number(i.premium_rcv_detail_code))+1
from ins_premium_det i),'26480','26480','02', '11000003','00','Request by Mr. Reheel Malik 02-Dec-2024');</v>
      </c>
    </row>
    <row r="93" spans="1:8" ht="105" x14ac:dyDescent="0.25">
      <c r="A93" s="19" t="s">
        <v>5981</v>
      </c>
      <c r="B93" s="26" t="str">
        <f>VLOOKUP(A93,policy!B:C,2,0)</f>
        <v>070000168141</v>
      </c>
      <c r="C93" s="32">
        <v>24864</v>
      </c>
      <c r="D93" s="27">
        <f t="shared" si="5"/>
        <v>24864</v>
      </c>
      <c r="E93" s="25" t="s">
        <v>6906</v>
      </c>
      <c r="F93" s="28" t="str">
        <f t="shared" si="4"/>
        <v>insert into ins_premium_det (premium_rcv_code,assorted_code, rec_amount,premium_rcv_detail_code,remaining_amt, payrec, mode_code,coinsurance_code,class_cd,it_remarks) values</v>
      </c>
      <c r="G93" s="29" t="str">
        <f t="shared" si="6"/>
        <v>('29Nov240034','070000168141','24864',(select max(to_number(i.premium_rcv_detail_code))+1
from ins_premium_det i),'24864','24864','02', '11000003','00','Request by Mr. Reheel Malik 02-Dec-2024');</v>
      </c>
      <c r="H93" s="30" t="str">
        <f t="shared" si="7"/>
        <v>insert into ins_premium_det (premium_rcv_code,assorted_code, rec_amount,premium_rcv_detail_code,remaining_amt, payrec, mode_code,coinsurance_code,class_cd,it_remarks) values('29Nov240034','070000168141','24864',(select max(to_number(i.premium_rcv_detail_code))+1
from ins_premium_det i),'24864','24864','02', '11000003','00','Request by Mr. Reheel Malik 02-Dec-2024');</v>
      </c>
    </row>
    <row r="94" spans="1:8" ht="105" x14ac:dyDescent="0.25">
      <c r="A94" s="18" t="s">
        <v>5982</v>
      </c>
      <c r="B94" s="26" t="str">
        <f>VLOOKUP(A94,policy!B:C,2,0)</f>
        <v>070000168005</v>
      </c>
      <c r="C94" s="31">
        <v>33000</v>
      </c>
      <c r="D94" s="27">
        <f t="shared" si="5"/>
        <v>33000</v>
      </c>
      <c r="E94" s="25" t="s">
        <v>6906</v>
      </c>
      <c r="F94" s="28" t="str">
        <f t="shared" si="4"/>
        <v>insert into ins_premium_det (premium_rcv_code,assorted_code, rec_amount,premium_rcv_detail_code,remaining_amt, payrec, mode_code,coinsurance_code,class_cd,it_remarks) values</v>
      </c>
      <c r="G94" s="29" t="str">
        <f t="shared" si="6"/>
        <v>('29Nov240034','070000168005','33000',(select max(to_number(i.premium_rcv_detail_code))+1
from ins_premium_det i),'33000','33000','02', '11000003','00','Request by Mr. Reheel Malik 02-Dec-2024');</v>
      </c>
      <c r="H94" s="30" t="str">
        <f t="shared" si="7"/>
        <v>insert into ins_premium_det (premium_rcv_code,assorted_code, rec_amount,premium_rcv_detail_code,remaining_amt, payrec, mode_code,coinsurance_code,class_cd,it_remarks) values('29Nov240034','070000168005','33000',(select max(to_number(i.premium_rcv_detail_code))+1
from ins_premium_det i),'33000','33000','02', '11000003','00','Request by Mr. Reheel Malik 02-Dec-2024');</v>
      </c>
    </row>
    <row r="95" spans="1:8" ht="105" x14ac:dyDescent="0.25">
      <c r="A95" s="19" t="s">
        <v>5983</v>
      </c>
      <c r="B95" s="26" t="str">
        <f>VLOOKUP(A95,policy!B:C,2,0)</f>
        <v>070000168006</v>
      </c>
      <c r="C95" s="32">
        <v>25950</v>
      </c>
      <c r="D95" s="27">
        <f t="shared" si="5"/>
        <v>25950</v>
      </c>
      <c r="E95" s="25" t="s">
        <v>6906</v>
      </c>
      <c r="F95" s="28" t="str">
        <f t="shared" si="4"/>
        <v>insert into ins_premium_det (premium_rcv_code,assorted_code, rec_amount,premium_rcv_detail_code,remaining_amt, payrec, mode_code,coinsurance_code,class_cd,it_remarks) values</v>
      </c>
      <c r="G95" s="29" t="str">
        <f t="shared" si="6"/>
        <v>('29Nov240034','070000168006','25950',(select max(to_number(i.premium_rcv_detail_code))+1
from ins_premium_det i),'25950','25950','02', '11000003','00','Request by Mr. Reheel Malik 02-Dec-2024');</v>
      </c>
      <c r="H95" s="30" t="str">
        <f t="shared" si="7"/>
        <v>insert into ins_premium_det (premium_rcv_code,assorted_code, rec_amount,premium_rcv_detail_code,remaining_amt, payrec, mode_code,coinsurance_code,class_cd,it_remarks) values('29Nov240034','070000168006','25950',(select max(to_number(i.premium_rcv_detail_code))+1
from ins_premium_det i),'25950','25950','02', '11000003','00','Request by Mr. Reheel Malik 02-Dec-2024');</v>
      </c>
    </row>
    <row r="96" spans="1:8" ht="105" x14ac:dyDescent="0.25">
      <c r="A96" s="18" t="s">
        <v>5984</v>
      </c>
      <c r="B96" s="26" t="str">
        <f>VLOOKUP(A96,policy!B:C,2,0)</f>
        <v>070000168012</v>
      </c>
      <c r="C96" s="31">
        <v>29250</v>
      </c>
      <c r="D96" s="27">
        <f t="shared" si="5"/>
        <v>29250</v>
      </c>
      <c r="E96" s="25" t="s">
        <v>6906</v>
      </c>
      <c r="F96" s="28" t="str">
        <f t="shared" si="4"/>
        <v>insert into ins_premium_det (premium_rcv_code,assorted_code, rec_amount,premium_rcv_detail_code,remaining_amt, payrec, mode_code,coinsurance_code,class_cd,it_remarks) values</v>
      </c>
      <c r="G96" s="29" t="str">
        <f t="shared" si="6"/>
        <v>('29Nov240034','070000168012','29250',(select max(to_number(i.premium_rcv_detail_code))+1
from ins_premium_det i),'29250','29250','02', '11000003','00','Request by Mr. Reheel Malik 02-Dec-2024');</v>
      </c>
      <c r="H96" s="30" t="str">
        <f t="shared" si="7"/>
        <v>insert into ins_premium_det (premium_rcv_code,assorted_code, rec_amount,premium_rcv_detail_code,remaining_amt, payrec, mode_code,coinsurance_code,class_cd,it_remarks) values('29Nov240034','070000168012','29250',(select max(to_number(i.premium_rcv_detail_code))+1
from ins_premium_det i),'29250','29250','02', '11000003','00','Request by Mr. Reheel Malik 02-Dec-2024');</v>
      </c>
    </row>
    <row r="97" spans="1:8" ht="105" x14ac:dyDescent="0.25">
      <c r="A97" s="19" t="s">
        <v>5985</v>
      </c>
      <c r="B97" s="26" t="str">
        <f>VLOOKUP(A97,policy!B:C,2,0)</f>
        <v>070000168014</v>
      </c>
      <c r="C97" s="32">
        <v>24075</v>
      </c>
      <c r="D97" s="27">
        <f t="shared" si="5"/>
        <v>24075</v>
      </c>
      <c r="E97" s="25" t="s">
        <v>6906</v>
      </c>
      <c r="F97" s="28" t="str">
        <f t="shared" si="4"/>
        <v>insert into ins_premium_det (premium_rcv_code,assorted_code, rec_amount,premium_rcv_detail_code,remaining_amt, payrec, mode_code,coinsurance_code,class_cd,it_remarks) values</v>
      </c>
      <c r="G97" s="29" t="str">
        <f t="shared" si="6"/>
        <v>('29Nov240034','070000168014','24075',(select max(to_number(i.premium_rcv_detail_code))+1
from ins_premium_det i),'24075','24075','02', '11000003','00','Request by Mr. Reheel Malik 02-Dec-2024');</v>
      </c>
      <c r="H97" s="30" t="str">
        <f t="shared" si="7"/>
        <v>insert into ins_premium_det (premium_rcv_code,assorted_code, rec_amount,premium_rcv_detail_code,remaining_amt, payrec, mode_code,coinsurance_code,class_cd,it_remarks) values('29Nov240034','070000168014','24075',(select max(to_number(i.premium_rcv_detail_code))+1
from ins_premium_det i),'24075','24075','02', '11000003','00','Request by Mr. Reheel Malik 02-Dec-2024');</v>
      </c>
    </row>
    <row r="98" spans="1:8" ht="105" x14ac:dyDescent="0.25">
      <c r="A98" s="18" t="s">
        <v>5986</v>
      </c>
      <c r="B98" s="26" t="str">
        <f>VLOOKUP(A98,policy!B:C,2,0)</f>
        <v>070000168145</v>
      </c>
      <c r="C98" s="31">
        <v>23800</v>
      </c>
      <c r="D98" s="27">
        <f t="shared" si="5"/>
        <v>23800</v>
      </c>
      <c r="E98" s="25" t="s">
        <v>6906</v>
      </c>
      <c r="F98" s="28" t="str">
        <f t="shared" si="4"/>
        <v>insert into ins_premium_det (premium_rcv_code,assorted_code, rec_amount,premium_rcv_detail_code,remaining_amt, payrec, mode_code,coinsurance_code,class_cd,it_remarks) values</v>
      </c>
      <c r="G98" s="29" t="str">
        <f t="shared" si="6"/>
        <v>('29Nov240034','070000168145','23800',(select max(to_number(i.premium_rcv_detail_code))+1
from ins_premium_det i),'23800','23800','02', '11000003','00','Request by Mr. Reheel Malik 02-Dec-2024');</v>
      </c>
      <c r="H98" s="30" t="str">
        <f t="shared" si="7"/>
        <v>insert into ins_premium_det (premium_rcv_code,assorted_code, rec_amount,premium_rcv_detail_code,remaining_amt, payrec, mode_code,coinsurance_code,class_cd,it_remarks) values('29Nov240034','070000168145','23800',(select max(to_number(i.premium_rcv_detail_code))+1
from ins_premium_det i),'23800','23800','02', '11000003','00','Request by Mr. Reheel Malik 02-Dec-2024');</v>
      </c>
    </row>
    <row r="99" spans="1:8" ht="105" x14ac:dyDescent="0.25">
      <c r="A99" s="19" t="s">
        <v>5987</v>
      </c>
      <c r="B99" s="26" t="str">
        <f>VLOOKUP(A99,policy!B:C,2,0)</f>
        <v>070000168146</v>
      </c>
      <c r="C99" s="32">
        <v>31238</v>
      </c>
      <c r="D99" s="27">
        <f t="shared" si="5"/>
        <v>31238</v>
      </c>
      <c r="E99" s="25" t="s">
        <v>6906</v>
      </c>
      <c r="F99" s="28" t="str">
        <f t="shared" si="4"/>
        <v>insert into ins_premium_det (premium_rcv_code,assorted_code, rec_amount,premium_rcv_detail_code,remaining_amt, payrec, mode_code,coinsurance_code,class_cd,it_remarks) values</v>
      </c>
      <c r="G99" s="29" t="str">
        <f t="shared" si="6"/>
        <v>('29Nov240034','070000168146','31238',(select max(to_number(i.premium_rcv_detail_code))+1
from ins_premium_det i),'31238','31238','02', '11000003','00','Request by Mr. Reheel Malik 02-Dec-2024');</v>
      </c>
      <c r="H99" s="30" t="str">
        <f t="shared" si="7"/>
        <v>insert into ins_premium_det (premium_rcv_code,assorted_code, rec_amount,premium_rcv_detail_code,remaining_amt, payrec, mode_code,coinsurance_code,class_cd,it_remarks) values('29Nov240034','070000168146','31238',(select max(to_number(i.premium_rcv_detail_code))+1
from ins_premium_det i),'31238','31238','02', '11000003','00','Request by Mr. Reheel Malik 02-Dec-2024');</v>
      </c>
    </row>
    <row r="100" spans="1:8" ht="105" x14ac:dyDescent="0.25">
      <c r="A100" s="18" t="s">
        <v>5988</v>
      </c>
      <c r="B100" s="26" t="str">
        <f>VLOOKUP(A100,policy!B:C,2,0)</f>
        <v>070000168016</v>
      </c>
      <c r="C100" s="31">
        <v>37942</v>
      </c>
      <c r="D100" s="27">
        <f t="shared" si="5"/>
        <v>37942</v>
      </c>
      <c r="E100" s="25" t="s">
        <v>6906</v>
      </c>
      <c r="F100" s="28" t="str">
        <f t="shared" si="4"/>
        <v>insert into ins_premium_det (premium_rcv_code,assorted_code, rec_amount,premium_rcv_detail_code,remaining_amt, payrec, mode_code,coinsurance_code,class_cd,it_remarks) values</v>
      </c>
      <c r="G100" s="29" t="str">
        <f t="shared" si="6"/>
        <v>('29Nov240034','070000168016','37942',(select max(to_number(i.premium_rcv_detail_code))+1
from ins_premium_det i),'37942','37942','02', '11000003','00','Request by Mr. Reheel Malik 02-Dec-2024');</v>
      </c>
      <c r="H100" s="30" t="str">
        <f t="shared" si="7"/>
        <v>insert into ins_premium_det (premium_rcv_code,assorted_code, rec_amount,premium_rcv_detail_code,remaining_amt, payrec, mode_code,coinsurance_code,class_cd,it_remarks) values('29Nov240034','070000168016','37942',(select max(to_number(i.premium_rcv_detail_code))+1
from ins_premium_det i),'37942','37942','02', '11000003','00','Request by Mr. Reheel Malik 02-Dec-2024');</v>
      </c>
    </row>
    <row r="101" spans="1:8" ht="105" x14ac:dyDescent="0.25">
      <c r="A101" s="19" t="s">
        <v>5989</v>
      </c>
      <c r="B101" s="26" t="str">
        <f>VLOOKUP(A101,policy!B:C,2,0)</f>
        <v>070000168029</v>
      </c>
      <c r="C101" s="32">
        <v>22890</v>
      </c>
      <c r="D101" s="27">
        <f t="shared" si="5"/>
        <v>22890</v>
      </c>
      <c r="E101" s="25" t="s">
        <v>6906</v>
      </c>
      <c r="F101" s="28" t="str">
        <f t="shared" si="4"/>
        <v>insert into ins_premium_det (premium_rcv_code,assorted_code, rec_amount,premium_rcv_detail_code,remaining_amt, payrec, mode_code,coinsurance_code,class_cd,it_remarks) values</v>
      </c>
      <c r="G101" s="29" t="str">
        <f t="shared" si="6"/>
        <v>('29Nov240034','070000168029','22890',(select max(to_number(i.premium_rcv_detail_code))+1
from ins_premium_det i),'22890','22890','02', '11000003','00','Request by Mr. Reheel Malik 02-Dec-2024');</v>
      </c>
      <c r="H101" s="30" t="str">
        <f t="shared" si="7"/>
        <v>insert into ins_premium_det (premium_rcv_code,assorted_code, rec_amount,premium_rcv_detail_code,remaining_amt, payrec, mode_code,coinsurance_code,class_cd,it_remarks) values('29Nov240034','070000168029','22890',(select max(to_number(i.premium_rcv_detail_code))+1
from ins_premium_det i),'22890','22890','02', '11000003','00','Request by Mr. Reheel Malik 02-Dec-2024');</v>
      </c>
    </row>
    <row r="102" spans="1:8" ht="105" x14ac:dyDescent="0.25">
      <c r="A102" s="18" t="s">
        <v>5990</v>
      </c>
      <c r="B102" s="26" t="str">
        <f>VLOOKUP(A102,policy!B:C,2,0)</f>
        <v>070000168031</v>
      </c>
      <c r="C102" s="31">
        <v>17010</v>
      </c>
      <c r="D102" s="27">
        <f t="shared" si="5"/>
        <v>17010</v>
      </c>
      <c r="E102" s="25" t="s">
        <v>6906</v>
      </c>
      <c r="F102" s="28" t="str">
        <f t="shared" si="4"/>
        <v>insert into ins_premium_det (premium_rcv_code,assorted_code, rec_amount,premium_rcv_detail_code,remaining_amt, payrec, mode_code,coinsurance_code,class_cd,it_remarks) values</v>
      </c>
      <c r="G102" s="29" t="str">
        <f t="shared" si="6"/>
        <v>('29Nov240034','070000168031','17010',(select max(to_number(i.premium_rcv_detail_code))+1
from ins_premium_det i),'17010','17010','02', '11000003','00','Request by Mr. Reheel Malik 02-Dec-2024');</v>
      </c>
      <c r="H102" s="30" t="str">
        <f t="shared" si="7"/>
        <v>insert into ins_premium_det (premium_rcv_code,assorted_code, rec_amount,premium_rcv_detail_code,remaining_amt, payrec, mode_code,coinsurance_code,class_cd,it_remarks) values('29Nov240034','070000168031','17010',(select max(to_number(i.premium_rcv_detail_code))+1
from ins_premium_det i),'17010','17010','02', '11000003','00','Request by Mr. Reheel Malik 02-Dec-2024');</v>
      </c>
    </row>
    <row r="103" spans="1:8" ht="105" x14ac:dyDescent="0.25">
      <c r="A103" s="19" t="s">
        <v>5991</v>
      </c>
      <c r="B103" s="26" t="str">
        <f>VLOOKUP(A103,policy!B:C,2,0)</f>
        <v>070000168149</v>
      </c>
      <c r="C103" s="32">
        <v>32062</v>
      </c>
      <c r="D103" s="27">
        <f t="shared" si="5"/>
        <v>32062</v>
      </c>
      <c r="E103" s="25" t="s">
        <v>6906</v>
      </c>
      <c r="F103" s="28" t="str">
        <f t="shared" si="4"/>
        <v>insert into ins_premium_det (premium_rcv_code,assorted_code, rec_amount,premium_rcv_detail_code,remaining_amt, payrec, mode_code,coinsurance_code,class_cd,it_remarks) values</v>
      </c>
      <c r="G103" s="29" t="str">
        <f t="shared" si="6"/>
        <v>('29Nov240034','070000168149','32062',(select max(to_number(i.premium_rcv_detail_code))+1
from ins_premium_det i),'32062','32062','02', '11000003','00','Request by Mr. Reheel Malik 02-Dec-2024');</v>
      </c>
      <c r="H103" s="30" t="str">
        <f t="shared" si="7"/>
        <v>insert into ins_premium_det (premium_rcv_code,assorted_code, rec_amount,premium_rcv_detail_code,remaining_amt, payrec, mode_code,coinsurance_code,class_cd,it_remarks) values('29Nov240034','070000168149','32062',(select max(to_number(i.premium_rcv_detail_code))+1
from ins_premium_det i),'32062','32062','02', '11000003','00','Request by Mr. Reheel Malik 02-Dec-2024');</v>
      </c>
    </row>
    <row r="104" spans="1:8" ht="105" x14ac:dyDescent="0.25">
      <c r="A104" s="18" t="s">
        <v>5992</v>
      </c>
      <c r="B104" s="26" t="str">
        <f>VLOOKUP(A104,policy!B:C,2,0)</f>
        <v>070000168032</v>
      </c>
      <c r="C104" s="31">
        <v>27001</v>
      </c>
      <c r="D104" s="27">
        <f t="shared" si="5"/>
        <v>27001</v>
      </c>
      <c r="E104" s="25" t="s">
        <v>6906</v>
      </c>
      <c r="F104" s="28" t="str">
        <f t="shared" si="4"/>
        <v>insert into ins_premium_det (premium_rcv_code,assorted_code, rec_amount,premium_rcv_detail_code,remaining_amt, payrec, mode_code,coinsurance_code,class_cd,it_remarks) values</v>
      </c>
      <c r="G104" s="29" t="str">
        <f t="shared" si="6"/>
        <v>('29Nov240034','070000168032','27001',(select max(to_number(i.premium_rcv_detail_code))+1
from ins_premium_det i),'27001','27001','02', '11000003','00','Request by Mr. Reheel Malik 02-Dec-2024');</v>
      </c>
      <c r="H104" s="30" t="str">
        <f t="shared" si="7"/>
        <v>insert into ins_premium_det (premium_rcv_code,assorted_code, rec_amount,premium_rcv_detail_code,remaining_amt, payrec, mode_code,coinsurance_code,class_cd,it_remarks) values('29Nov240034','070000168032','27001',(select max(to_number(i.premium_rcv_detail_code))+1
from ins_premium_det i),'27001','27001','02', '11000003','00','Request by Mr. Reheel Malik 02-Dec-2024');</v>
      </c>
    </row>
    <row r="105" spans="1:8" ht="105" x14ac:dyDescent="0.25">
      <c r="A105" s="19" t="s">
        <v>5993</v>
      </c>
      <c r="B105" s="26" t="str">
        <f>VLOOKUP(A105,policy!B:C,2,0)</f>
        <v>070000168033</v>
      </c>
      <c r="C105" s="32">
        <v>33248</v>
      </c>
      <c r="D105" s="27">
        <f t="shared" si="5"/>
        <v>33248</v>
      </c>
      <c r="E105" s="25" t="s">
        <v>6906</v>
      </c>
      <c r="F105" s="28" t="str">
        <f t="shared" si="4"/>
        <v>insert into ins_premium_det (premium_rcv_code,assorted_code, rec_amount,premium_rcv_detail_code,remaining_amt, payrec, mode_code,coinsurance_code,class_cd,it_remarks) values</v>
      </c>
      <c r="G105" s="29" t="str">
        <f t="shared" si="6"/>
        <v>('29Nov240034','070000168033','33248',(select max(to_number(i.premium_rcv_detail_code))+1
from ins_premium_det i),'33248','33248','02', '11000003','00','Request by Mr. Reheel Malik 02-Dec-2024');</v>
      </c>
      <c r="H105" s="30" t="str">
        <f t="shared" si="7"/>
        <v>insert into ins_premium_det (premium_rcv_code,assorted_code, rec_amount,premium_rcv_detail_code,remaining_amt, payrec, mode_code,coinsurance_code,class_cd,it_remarks) values('29Nov240034','070000168033','33248',(select max(to_number(i.premium_rcv_detail_code))+1
from ins_premium_det i),'33248','33248','02', '11000003','00','Request by Mr. Reheel Malik 02-Dec-2024');</v>
      </c>
    </row>
    <row r="106" spans="1:8" ht="105" x14ac:dyDescent="0.25">
      <c r="A106" s="18" t="s">
        <v>5994</v>
      </c>
      <c r="B106" s="26" t="str">
        <f>VLOOKUP(A106,policy!B:C,2,0)</f>
        <v>070000168036</v>
      </c>
      <c r="C106" s="31">
        <v>27001</v>
      </c>
      <c r="D106" s="27">
        <f t="shared" si="5"/>
        <v>27001</v>
      </c>
      <c r="E106" s="25" t="s">
        <v>6906</v>
      </c>
      <c r="F106" s="28" t="str">
        <f t="shared" si="4"/>
        <v>insert into ins_premium_det (premium_rcv_code,assorted_code, rec_amount,premium_rcv_detail_code,remaining_amt, payrec, mode_code,coinsurance_code,class_cd,it_remarks) values</v>
      </c>
      <c r="G106" s="29" t="str">
        <f t="shared" si="6"/>
        <v>('29Nov240034','070000168036','27001',(select max(to_number(i.premium_rcv_detail_code))+1
from ins_premium_det i),'27001','27001','02', '11000003','00','Request by Mr. Reheel Malik 02-Dec-2024');</v>
      </c>
      <c r="H106" s="30" t="str">
        <f t="shared" si="7"/>
        <v>insert into ins_premium_det (premium_rcv_code,assorted_code, rec_amount,premium_rcv_detail_code,remaining_amt, payrec, mode_code,coinsurance_code,class_cd,it_remarks) values('29Nov240034','070000168036','27001',(select max(to_number(i.premium_rcv_detail_code))+1
from ins_premium_det i),'27001','27001','02', '11000003','00','Request by Mr. Reheel Malik 02-Dec-2024');</v>
      </c>
    </row>
    <row r="107" spans="1:8" ht="105" x14ac:dyDescent="0.25">
      <c r="A107" s="19" t="s">
        <v>5995</v>
      </c>
      <c r="B107" s="26" t="str">
        <f>VLOOKUP(A107,policy!B:C,2,0)</f>
        <v>070000168037</v>
      </c>
      <c r="C107" s="32">
        <v>55413</v>
      </c>
      <c r="D107" s="27">
        <f t="shared" si="5"/>
        <v>55413</v>
      </c>
      <c r="E107" s="25" t="s">
        <v>6906</v>
      </c>
      <c r="F107" s="28" t="str">
        <f t="shared" si="4"/>
        <v>insert into ins_premium_det (premium_rcv_code,assorted_code, rec_amount,premium_rcv_detail_code,remaining_amt, payrec, mode_code,coinsurance_code,class_cd,it_remarks) values</v>
      </c>
      <c r="G107" s="29" t="str">
        <f t="shared" si="6"/>
        <v>('29Nov240034','070000168037','55413',(select max(to_number(i.premium_rcv_detail_code))+1
from ins_premium_det i),'55413','55413','02', '11000003','00','Request by Mr. Reheel Malik 02-Dec-2024');</v>
      </c>
      <c r="H107" s="30" t="str">
        <f t="shared" si="7"/>
        <v>insert into ins_premium_det (premium_rcv_code,assorted_code, rec_amount,premium_rcv_detail_code,remaining_amt, payrec, mode_code,coinsurance_code,class_cd,it_remarks) values('29Nov240034','070000168037','55413',(select max(to_number(i.premium_rcv_detail_code))+1
from ins_premium_det i),'55413','55413','02', '11000003','00','Request by Mr. Reheel Malik 02-Dec-2024');</v>
      </c>
    </row>
    <row r="108" spans="1:8" ht="105" x14ac:dyDescent="0.25">
      <c r="A108" s="18" t="s">
        <v>5996</v>
      </c>
      <c r="B108" s="26" t="str">
        <f>VLOOKUP(A108,policy!B:C,2,0)</f>
        <v>070000168040</v>
      </c>
      <c r="C108" s="31">
        <v>54345</v>
      </c>
      <c r="D108" s="27">
        <f t="shared" si="5"/>
        <v>54345</v>
      </c>
      <c r="E108" s="25" t="s">
        <v>6906</v>
      </c>
      <c r="F108" s="28" t="str">
        <f t="shared" si="4"/>
        <v>insert into ins_premium_det (premium_rcv_code,assorted_code, rec_amount,premium_rcv_detail_code,remaining_amt, payrec, mode_code,coinsurance_code,class_cd,it_remarks) values</v>
      </c>
      <c r="G108" s="29" t="str">
        <f t="shared" si="6"/>
        <v>('29Nov240034','070000168040','54345',(select max(to_number(i.premium_rcv_detail_code))+1
from ins_premium_det i),'54345','54345','02', '11000003','00','Request by Mr. Reheel Malik 02-Dec-2024');</v>
      </c>
      <c r="H108" s="30" t="str">
        <f t="shared" si="7"/>
        <v>insert into ins_premium_det (premium_rcv_code,assorted_code, rec_amount,premium_rcv_detail_code,remaining_amt, payrec, mode_code,coinsurance_code,class_cd,it_remarks) values('29Nov240034','070000168040','54345',(select max(to_number(i.premium_rcv_detail_code))+1
from ins_premium_det i),'54345','54345','02', '11000003','00','Request by Mr. Reheel Malik 02-Dec-2024');</v>
      </c>
    </row>
    <row r="109" spans="1:8" ht="105" x14ac:dyDescent="0.25">
      <c r="A109" s="19" t="s">
        <v>5997</v>
      </c>
      <c r="B109" s="26" t="str">
        <f>VLOOKUP(A109,policy!B:C,2,0)</f>
        <v>070000168044</v>
      </c>
      <c r="C109" s="32">
        <v>18375</v>
      </c>
      <c r="D109" s="27">
        <f t="shared" si="5"/>
        <v>18375</v>
      </c>
      <c r="E109" s="25" t="s">
        <v>6906</v>
      </c>
      <c r="F109" s="28" t="str">
        <f t="shared" si="4"/>
        <v>insert into ins_premium_det (premium_rcv_code,assorted_code, rec_amount,premium_rcv_detail_code,remaining_amt, payrec, mode_code,coinsurance_code,class_cd,it_remarks) values</v>
      </c>
      <c r="G109" s="29" t="str">
        <f t="shared" si="6"/>
        <v>('29Nov240034','070000168044','18375',(select max(to_number(i.premium_rcv_detail_code))+1
from ins_premium_det i),'18375','18375','02', '11000003','00','Request by Mr. Reheel Malik 02-Dec-2024');</v>
      </c>
      <c r="H109" s="30" t="str">
        <f t="shared" si="7"/>
        <v>insert into ins_premium_det (premium_rcv_code,assorted_code, rec_amount,premium_rcv_detail_code,remaining_amt, payrec, mode_code,coinsurance_code,class_cd,it_remarks) values('29Nov240034','070000168044','18375',(select max(to_number(i.premium_rcv_detail_code))+1
from ins_premium_det i),'18375','18375','02', '11000003','00','Request by Mr. Reheel Malik 02-Dec-2024');</v>
      </c>
    </row>
    <row r="110" spans="1:8" ht="105" x14ac:dyDescent="0.25">
      <c r="A110" s="18" t="s">
        <v>5998</v>
      </c>
      <c r="B110" s="26" t="str">
        <f>VLOOKUP(A110,policy!B:C,2,0)</f>
        <v>070000168157</v>
      </c>
      <c r="C110" s="31">
        <v>41139</v>
      </c>
      <c r="D110" s="27">
        <f t="shared" si="5"/>
        <v>41139</v>
      </c>
      <c r="E110" s="25" t="s">
        <v>6906</v>
      </c>
      <c r="F110" s="28" t="str">
        <f t="shared" si="4"/>
        <v>insert into ins_premium_det (premium_rcv_code,assorted_code, rec_amount,premium_rcv_detail_code,remaining_amt, payrec, mode_code,coinsurance_code,class_cd,it_remarks) values</v>
      </c>
      <c r="G110" s="29" t="str">
        <f t="shared" si="6"/>
        <v>('29Nov240034','070000168157','41139',(select max(to_number(i.premium_rcv_detail_code))+1
from ins_premium_det i),'41139','41139','02', '11000003','00','Request by Mr. Reheel Malik 02-Dec-2024');</v>
      </c>
      <c r="H110" s="30" t="str">
        <f t="shared" si="7"/>
        <v>insert into ins_premium_det (premium_rcv_code,assorted_code, rec_amount,premium_rcv_detail_code,remaining_amt, payrec, mode_code,coinsurance_code,class_cd,it_remarks) values('29Nov240034','070000168157','41139',(select max(to_number(i.premium_rcv_detail_code))+1
from ins_premium_det i),'41139','41139','02', '11000003','00','Request by Mr. Reheel Malik 02-Dec-2024');</v>
      </c>
    </row>
    <row r="111" spans="1:8" ht="105" x14ac:dyDescent="0.25">
      <c r="A111" s="19" t="s">
        <v>5999</v>
      </c>
      <c r="B111" s="26" t="str">
        <f>VLOOKUP(A111,policy!B:C,2,0)</f>
        <v>070000168045</v>
      </c>
      <c r="C111" s="32">
        <v>23052</v>
      </c>
      <c r="D111" s="27">
        <f t="shared" si="5"/>
        <v>23052</v>
      </c>
      <c r="E111" s="25" t="s">
        <v>6906</v>
      </c>
      <c r="F111" s="28" t="str">
        <f t="shared" si="4"/>
        <v>insert into ins_premium_det (premium_rcv_code,assorted_code, rec_amount,premium_rcv_detail_code,remaining_amt, payrec, mode_code,coinsurance_code,class_cd,it_remarks) values</v>
      </c>
      <c r="G111" s="29" t="str">
        <f t="shared" si="6"/>
        <v>('29Nov240034','070000168045','23052',(select max(to_number(i.premium_rcv_detail_code))+1
from ins_premium_det i),'23052','23052','02', '11000003','00','Request by Mr. Reheel Malik 02-Dec-2024');</v>
      </c>
      <c r="H111" s="30" t="str">
        <f t="shared" si="7"/>
        <v>insert into ins_premium_det (premium_rcv_code,assorted_code, rec_amount,premium_rcv_detail_code,remaining_amt, payrec, mode_code,coinsurance_code,class_cd,it_remarks) values('29Nov240034','070000168045','23052',(select max(to_number(i.premium_rcv_detail_code))+1
from ins_premium_det i),'23052','23052','02', '11000003','00','Request by Mr. Reheel Malik 02-Dec-2024');</v>
      </c>
    </row>
    <row r="112" spans="1:8" ht="105" x14ac:dyDescent="0.25">
      <c r="A112" s="18" t="s">
        <v>6000</v>
      </c>
      <c r="B112" s="26" t="str">
        <f>VLOOKUP(A112,policy!B:C,2,0)</f>
        <v>070000168160</v>
      </c>
      <c r="C112" s="31">
        <v>24336</v>
      </c>
      <c r="D112" s="27">
        <f t="shared" si="5"/>
        <v>24336</v>
      </c>
      <c r="E112" s="25" t="s">
        <v>6906</v>
      </c>
      <c r="F112" s="28" t="str">
        <f t="shared" si="4"/>
        <v>insert into ins_premium_det (premium_rcv_code,assorted_code, rec_amount,premium_rcv_detail_code,remaining_amt, payrec, mode_code,coinsurance_code,class_cd,it_remarks) values</v>
      </c>
      <c r="G112" s="29" t="str">
        <f t="shared" si="6"/>
        <v>('29Nov240034','070000168160','24336',(select max(to_number(i.premium_rcv_detail_code))+1
from ins_premium_det i),'24336','24336','02', '11000003','00','Request by Mr. Reheel Malik 02-Dec-2024');</v>
      </c>
      <c r="H112" s="30" t="str">
        <f t="shared" si="7"/>
        <v>insert into ins_premium_det (premium_rcv_code,assorted_code, rec_amount,premium_rcv_detail_code,remaining_amt, payrec, mode_code,coinsurance_code,class_cd,it_remarks) values('29Nov240034','070000168160','24336',(select max(to_number(i.premium_rcv_detail_code))+1
from ins_premium_det i),'24336','24336','02', '11000003','00','Request by Mr. Reheel Malik 02-Dec-2024');</v>
      </c>
    </row>
    <row r="113" spans="1:8" ht="105" x14ac:dyDescent="0.25">
      <c r="A113" s="19" t="s">
        <v>6001</v>
      </c>
      <c r="B113" s="26" t="str">
        <f>VLOOKUP(A113,policy!B:C,2,0)</f>
        <v>070000168046</v>
      </c>
      <c r="C113" s="32">
        <v>60739</v>
      </c>
      <c r="D113" s="27">
        <f t="shared" si="5"/>
        <v>60739</v>
      </c>
      <c r="E113" s="25" t="s">
        <v>6906</v>
      </c>
      <c r="F113" s="28" t="str">
        <f t="shared" si="4"/>
        <v>insert into ins_premium_det (premium_rcv_code,assorted_code, rec_amount,premium_rcv_detail_code,remaining_amt, payrec, mode_code,coinsurance_code,class_cd,it_remarks) values</v>
      </c>
      <c r="G113" s="29" t="str">
        <f t="shared" si="6"/>
        <v>('29Nov240034','070000168046','60739',(select max(to_number(i.premium_rcv_detail_code))+1
from ins_premium_det i),'60739','60739','02', '11000003','00','Request by Mr. Reheel Malik 02-Dec-2024');</v>
      </c>
      <c r="H113" s="30" t="str">
        <f t="shared" si="7"/>
        <v>insert into ins_premium_det (premium_rcv_code,assorted_code, rec_amount,premium_rcv_detail_code,remaining_amt, payrec, mode_code,coinsurance_code,class_cd,it_remarks) values('29Nov240034','070000168046','60739',(select max(to_number(i.premium_rcv_detail_code))+1
from ins_premium_det i),'60739','60739','02', '11000003','00','Request by Mr. Reheel Malik 02-Dec-2024');</v>
      </c>
    </row>
    <row r="114" spans="1:8" ht="105" x14ac:dyDescent="0.25">
      <c r="A114" s="18" t="s">
        <v>6002</v>
      </c>
      <c r="B114" s="26" t="str">
        <f>VLOOKUP(A114,policy!B:C,2,0)</f>
        <v>070000168162</v>
      </c>
      <c r="C114" s="31">
        <v>24336</v>
      </c>
      <c r="D114" s="27">
        <f t="shared" si="5"/>
        <v>24336</v>
      </c>
      <c r="E114" s="25" t="s">
        <v>6906</v>
      </c>
      <c r="F114" s="28" t="str">
        <f t="shared" si="4"/>
        <v>insert into ins_premium_det (premium_rcv_code,assorted_code, rec_amount,premium_rcv_detail_code,remaining_amt, payrec, mode_code,coinsurance_code,class_cd,it_remarks) values</v>
      </c>
      <c r="G114" s="29" t="str">
        <f t="shared" si="6"/>
        <v>('29Nov240034','070000168162','24336',(select max(to_number(i.premium_rcv_detail_code))+1
from ins_premium_det i),'24336','24336','02', '11000003','00','Request by Mr. Reheel Malik 02-Dec-2024');</v>
      </c>
      <c r="H114" s="30" t="str">
        <f t="shared" si="7"/>
        <v>insert into ins_premium_det (premium_rcv_code,assorted_code, rec_amount,premium_rcv_detail_code,remaining_amt, payrec, mode_code,coinsurance_code,class_cd,it_remarks) values('29Nov240034','070000168162','24336',(select max(to_number(i.premium_rcv_detail_code))+1
from ins_premium_det i),'24336','24336','02', '11000003','00','Request by Mr. Reheel Malik 02-Dec-2024');</v>
      </c>
    </row>
    <row r="115" spans="1:8" ht="105" x14ac:dyDescent="0.25">
      <c r="A115" s="19" t="s">
        <v>6003</v>
      </c>
      <c r="B115" s="26" t="str">
        <f>VLOOKUP(A115,policy!B:C,2,0)</f>
        <v>070000168163</v>
      </c>
      <c r="C115" s="32">
        <v>42880</v>
      </c>
      <c r="D115" s="27">
        <f t="shared" si="5"/>
        <v>42880</v>
      </c>
      <c r="E115" s="25" t="s">
        <v>6906</v>
      </c>
      <c r="F115" s="28" t="str">
        <f t="shared" si="4"/>
        <v>insert into ins_premium_det (premium_rcv_code,assorted_code, rec_amount,premium_rcv_detail_code,remaining_amt, payrec, mode_code,coinsurance_code,class_cd,it_remarks) values</v>
      </c>
      <c r="G115" s="29" t="str">
        <f t="shared" si="6"/>
        <v>('29Nov240034','070000168163','42880',(select max(to_number(i.premium_rcv_detail_code))+1
from ins_premium_det i),'42880','42880','02', '11000003','00','Request by Mr. Reheel Malik 02-Dec-2024');</v>
      </c>
      <c r="H115" s="30" t="str">
        <f t="shared" si="7"/>
        <v>insert into ins_premium_det (premium_rcv_code,assorted_code, rec_amount,premium_rcv_detail_code,remaining_amt, payrec, mode_code,coinsurance_code,class_cd,it_remarks) values('29Nov240034','070000168163','42880',(select max(to_number(i.premium_rcv_detail_code))+1
from ins_premium_det i),'42880','42880','02', '11000003','00','Request by Mr. Reheel Malik 02-Dec-2024');</v>
      </c>
    </row>
    <row r="116" spans="1:8" ht="105" x14ac:dyDescent="0.25">
      <c r="A116" s="18" t="s">
        <v>6004</v>
      </c>
      <c r="B116" s="26" t="str">
        <f>VLOOKUP(A116,policy!B:C,2,0)</f>
        <v>070000168164</v>
      </c>
      <c r="C116" s="31">
        <v>29280</v>
      </c>
      <c r="D116" s="27">
        <f t="shared" si="5"/>
        <v>29280</v>
      </c>
      <c r="E116" s="25" t="s">
        <v>6906</v>
      </c>
      <c r="F116" s="28" t="str">
        <f t="shared" si="4"/>
        <v>insert into ins_premium_det (premium_rcv_code,assorted_code, rec_amount,premium_rcv_detail_code,remaining_amt, payrec, mode_code,coinsurance_code,class_cd,it_remarks) values</v>
      </c>
      <c r="G116" s="29" t="str">
        <f t="shared" si="6"/>
        <v>('29Nov240034','070000168164','29280',(select max(to_number(i.premium_rcv_detail_code))+1
from ins_premium_det i),'29280','29280','02', '11000003','00','Request by Mr. Reheel Malik 02-Dec-2024');</v>
      </c>
      <c r="H116" s="30" t="str">
        <f t="shared" si="7"/>
        <v>insert into ins_premium_det (premium_rcv_code,assorted_code, rec_amount,premium_rcv_detail_code,remaining_amt, payrec, mode_code,coinsurance_code,class_cd,it_remarks) values('29Nov240034','070000168164','29280',(select max(to_number(i.premium_rcv_detail_code))+1
from ins_premium_det i),'29280','29280','02', '11000003','00','Request by Mr. Reheel Malik 02-Dec-2024');</v>
      </c>
    </row>
    <row r="117" spans="1:8" ht="105" x14ac:dyDescent="0.25">
      <c r="A117" s="19" t="s">
        <v>6005</v>
      </c>
      <c r="B117" s="26" t="str">
        <f>VLOOKUP(A117,policy!B:C,2,0)</f>
        <v>070000168165</v>
      </c>
      <c r="C117" s="32">
        <v>57276</v>
      </c>
      <c r="D117" s="27">
        <f t="shared" si="5"/>
        <v>57276</v>
      </c>
      <c r="E117" s="25" t="s">
        <v>6906</v>
      </c>
      <c r="F117" s="28" t="str">
        <f t="shared" si="4"/>
        <v>insert into ins_premium_det (premium_rcv_code,assorted_code, rec_amount,premium_rcv_detail_code,remaining_amt, payrec, mode_code,coinsurance_code,class_cd,it_remarks) values</v>
      </c>
      <c r="G117" s="29" t="str">
        <f t="shared" si="6"/>
        <v>('29Nov240034','070000168165','57276',(select max(to_number(i.premium_rcv_detail_code))+1
from ins_premium_det i),'57276','57276','02', '11000003','00','Request by Mr. Reheel Malik 02-Dec-2024');</v>
      </c>
      <c r="H117" s="30" t="str">
        <f t="shared" si="7"/>
        <v>insert into ins_premium_det (premium_rcv_code,assorted_code, rec_amount,premium_rcv_detail_code,remaining_amt, payrec, mode_code,coinsurance_code,class_cd,it_remarks) values('29Nov240034','070000168165','57276',(select max(to_number(i.premium_rcv_detail_code))+1
from ins_premium_det i),'57276','57276','02', '11000003','00','Request by Mr. Reheel Malik 02-Dec-2024');</v>
      </c>
    </row>
    <row r="118" spans="1:8" ht="105" x14ac:dyDescent="0.25">
      <c r="A118" s="18" t="s">
        <v>6006</v>
      </c>
      <c r="B118" s="26" t="str">
        <f>VLOOKUP(A118,policy!B:C,2,0)</f>
        <v>070000168047</v>
      </c>
      <c r="C118" s="31">
        <v>66450</v>
      </c>
      <c r="D118" s="27">
        <f t="shared" si="5"/>
        <v>66450</v>
      </c>
      <c r="E118" s="25" t="s">
        <v>6906</v>
      </c>
      <c r="F118" s="28" t="str">
        <f t="shared" si="4"/>
        <v>insert into ins_premium_det (premium_rcv_code,assorted_code, rec_amount,premium_rcv_detail_code,remaining_amt, payrec, mode_code,coinsurance_code,class_cd,it_remarks) values</v>
      </c>
      <c r="G118" s="29" t="str">
        <f t="shared" si="6"/>
        <v>('29Nov240034','070000168047','66450',(select max(to_number(i.premium_rcv_detail_code))+1
from ins_premium_det i),'66450','66450','02', '11000003','00','Request by Mr. Reheel Malik 02-Dec-2024');</v>
      </c>
      <c r="H118" s="30" t="str">
        <f t="shared" si="7"/>
        <v>insert into ins_premium_det (premium_rcv_code,assorted_code, rec_amount,premium_rcv_detail_code,remaining_amt, payrec, mode_code,coinsurance_code,class_cd,it_remarks) values('29Nov240034','070000168047','66450',(select max(to_number(i.premium_rcv_detail_code))+1
from ins_premium_det i),'66450','66450','02', '11000003','00','Request by Mr. Reheel Malik 02-Dec-2024');</v>
      </c>
    </row>
    <row r="119" spans="1:8" ht="105" x14ac:dyDescent="0.25">
      <c r="A119" s="19" t="s">
        <v>6007</v>
      </c>
      <c r="B119" s="26" t="str">
        <f>VLOOKUP(A119,policy!B:C,2,0)</f>
        <v>070000168049</v>
      </c>
      <c r="C119" s="32">
        <v>58173</v>
      </c>
      <c r="D119" s="27">
        <f t="shared" si="5"/>
        <v>58173</v>
      </c>
      <c r="E119" s="25" t="s">
        <v>6906</v>
      </c>
      <c r="F119" s="28" t="str">
        <f t="shared" si="4"/>
        <v>insert into ins_premium_det (premium_rcv_code,assorted_code, rec_amount,premium_rcv_detail_code,remaining_amt, payrec, mode_code,coinsurance_code,class_cd,it_remarks) values</v>
      </c>
      <c r="G119" s="29" t="str">
        <f t="shared" si="6"/>
        <v>('29Nov240034','070000168049','58173',(select max(to_number(i.premium_rcv_detail_code))+1
from ins_premium_det i),'58173','58173','02', '11000003','00','Request by Mr. Reheel Malik 02-Dec-2024');</v>
      </c>
      <c r="H119" s="30" t="str">
        <f t="shared" si="7"/>
        <v>insert into ins_premium_det (premium_rcv_code,assorted_code, rec_amount,premium_rcv_detail_code,remaining_amt, payrec, mode_code,coinsurance_code,class_cd,it_remarks) values('29Nov240034','070000168049','58173',(select max(to_number(i.premium_rcv_detail_code))+1
from ins_premium_det i),'58173','58173','02', '11000003','00','Request by Mr. Reheel Malik 02-Dec-2024');</v>
      </c>
    </row>
    <row r="120" spans="1:8" ht="105" x14ac:dyDescent="0.25">
      <c r="A120" s="18" t="s">
        <v>6008</v>
      </c>
      <c r="B120" s="26" t="str">
        <f>VLOOKUP(A120,policy!B:C,2,0)</f>
        <v>070000168166</v>
      </c>
      <c r="C120" s="31">
        <v>128338</v>
      </c>
      <c r="D120" s="27">
        <f t="shared" si="5"/>
        <v>128338</v>
      </c>
      <c r="E120" s="25" t="s">
        <v>6906</v>
      </c>
      <c r="F120" s="28" t="str">
        <f t="shared" si="4"/>
        <v>insert into ins_premium_det (premium_rcv_code,assorted_code, rec_amount,premium_rcv_detail_code,remaining_amt, payrec, mode_code,coinsurance_code,class_cd,it_remarks) values</v>
      </c>
      <c r="G120" s="29" t="str">
        <f t="shared" si="6"/>
        <v>('29Nov240034','070000168166','128338',(select max(to_number(i.premium_rcv_detail_code))+1
from ins_premium_det i),'128338','128338','02', '11000003','00','Request by Mr. Reheel Malik 02-Dec-2024');</v>
      </c>
      <c r="H120" s="30" t="str">
        <f t="shared" si="7"/>
        <v>insert into ins_premium_det (premium_rcv_code,assorted_code, rec_amount,premium_rcv_detail_code,remaining_amt, payrec, mode_code,coinsurance_code,class_cd,it_remarks) values('29Nov240034','070000168166','128338',(select max(to_number(i.premium_rcv_detail_code))+1
from ins_premium_det i),'128338','128338','02', '11000003','00','Request by Mr. Reheel Malik 02-Dec-2024');</v>
      </c>
    </row>
    <row r="121" spans="1:8" ht="105" x14ac:dyDescent="0.25">
      <c r="A121" s="19" t="s">
        <v>6009</v>
      </c>
      <c r="B121" s="26" t="str">
        <f>VLOOKUP(A121,policy!B:C,2,0)</f>
        <v>070000168167</v>
      </c>
      <c r="C121" s="32">
        <v>119000</v>
      </c>
      <c r="D121" s="27">
        <f t="shared" si="5"/>
        <v>119000</v>
      </c>
      <c r="E121" s="25" t="s">
        <v>6906</v>
      </c>
      <c r="F121" s="28" t="str">
        <f t="shared" si="4"/>
        <v>insert into ins_premium_det (premium_rcv_code,assorted_code, rec_amount,premium_rcv_detail_code,remaining_amt, payrec, mode_code,coinsurance_code,class_cd,it_remarks) values</v>
      </c>
      <c r="G121" s="29" t="str">
        <f t="shared" si="6"/>
        <v>('29Nov240034','070000168167','119000',(select max(to_number(i.premium_rcv_detail_code))+1
from ins_premium_det i),'119000','119000','02', '11000003','00','Request by Mr. Reheel Malik 02-Dec-2024');</v>
      </c>
      <c r="H121" s="30" t="str">
        <f t="shared" si="7"/>
        <v>insert into ins_premium_det (premium_rcv_code,assorted_code, rec_amount,premium_rcv_detail_code,remaining_amt, payrec, mode_code,coinsurance_code,class_cd,it_remarks) values('29Nov240034','070000168167','119000',(select max(to_number(i.premium_rcv_detail_code))+1
from ins_premium_det i),'119000','119000','02', '11000003','00','Request by Mr. Reheel Malik 02-Dec-2024');</v>
      </c>
    </row>
    <row r="122" spans="1:8" ht="105" x14ac:dyDescent="0.25">
      <c r="A122" s="18" t="s">
        <v>6010</v>
      </c>
      <c r="B122" s="26" t="str">
        <f>VLOOKUP(A122,policy!B:C,2,0)</f>
        <v>070000168050</v>
      </c>
      <c r="C122" s="31">
        <v>48000</v>
      </c>
      <c r="D122" s="27">
        <f t="shared" si="5"/>
        <v>48000</v>
      </c>
      <c r="E122" s="25" t="s">
        <v>6906</v>
      </c>
      <c r="F122" s="28" t="str">
        <f t="shared" si="4"/>
        <v>insert into ins_premium_det (premium_rcv_code,assorted_code, rec_amount,premium_rcv_detail_code,remaining_amt, payrec, mode_code,coinsurance_code,class_cd,it_remarks) values</v>
      </c>
      <c r="G122" s="29" t="str">
        <f t="shared" si="6"/>
        <v>('29Nov240034','070000168050','48000',(select max(to_number(i.premium_rcv_detail_code))+1
from ins_premium_det i),'48000','48000','02', '11000003','00','Request by Mr. Reheel Malik 02-Dec-2024');</v>
      </c>
      <c r="H122" s="30" t="str">
        <f t="shared" si="7"/>
        <v>insert into ins_premium_det (premium_rcv_code,assorted_code, rec_amount,premium_rcv_detail_code,remaining_amt, payrec, mode_code,coinsurance_code,class_cd,it_remarks) values('29Nov240034','070000168050','48000',(select max(to_number(i.premium_rcv_detail_code))+1
from ins_premium_det i),'48000','48000','02', '11000003','00','Request by Mr. Reheel Malik 02-Dec-2024');</v>
      </c>
    </row>
    <row r="123" spans="1:8" ht="105" x14ac:dyDescent="0.25">
      <c r="A123" s="19" t="s">
        <v>6011</v>
      </c>
      <c r="B123" s="26" t="str">
        <f>VLOOKUP(A123,policy!B:C,2,0)</f>
        <v>070000168051</v>
      </c>
      <c r="C123" s="32">
        <v>36923</v>
      </c>
      <c r="D123" s="27">
        <f t="shared" si="5"/>
        <v>36923</v>
      </c>
      <c r="E123" s="25" t="s">
        <v>6906</v>
      </c>
      <c r="F123" s="28" t="str">
        <f t="shared" si="4"/>
        <v>insert into ins_premium_det (premium_rcv_code,assorted_code, rec_amount,premium_rcv_detail_code,remaining_amt, payrec, mode_code,coinsurance_code,class_cd,it_remarks) values</v>
      </c>
      <c r="G123" s="29" t="str">
        <f t="shared" si="6"/>
        <v>('29Nov240034','070000168051','36923',(select max(to_number(i.premium_rcv_detail_code))+1
from ins_premium_det i),'36923','36923','02', '11000003','00','Request by Mr. Reheel Malik 02-Dec-2024');</v>
      </c>
      <c r="H123" s="30" t="str">
        <f t="shared" si="7"/>
        <v>insert into ins_premium_det (premium_rcv_code,assorted_code, rec_amount,premium_rcv_detail_code,remaining_amt, payrec, mode_code,coinsurance_code,class_cd,it_remarks) values('29Nov240034','070000168051','36923',(select max(to_number(i.premium_rcv_detail_code))+1
from ins_premium_det i),'36923','36923','02', '11000003','00','Request by Mr. Reheel Malik 02-Dec-2024');</v>
      </c>
    </row>
    <row r="124" spans="1:8" ht="105" x14ac:dyDescent="0.25">
      <c r="A124" s="18" t="s">
        <v>6012</v>
      </c>
      <c r="B124" s="26" t="str">
        <f>VLOOKUP(A124,policy!B:C,2,0)</f>
        <v>070000168052</v>
      </c>
      <c r="C124" s="31">
        <v>33000</v>
      </c>
      <c r="D124" s="27">
        <f t="shared" si="5"/>
        <v>33000</v>
      </c>
      <c r="E124" s="25" t="s">
        <v>6906</v>
      </c>
      <c r="F124" s="28" t="str">
        <f t="shared" si="4"/>
        <v>insert into ins_premium_det (premium_rcv_code,assorted_code, rec_amount,premium_rcv_detail_code,remaining_amt, payrec, mode_code,coinsurance_code,class_cd,it_remarks) values</v>
      </c>
      <c r="G124" s="29" t="str">
        <f t="shared" si="6"/>
        <v>('29Nov240034','070000168052','33000',(select max(to_number(i.premium_rcv_detail_code))+1
from ins_premium_det i),'33000','33000','02', '11000003','00','Request by Mr. Reheel Malik 02-Dec-2024');</v>
      </c>
      <c r="H124" s="30" t="str">
        <f t="shared" si="7"/>
        <v>insert into ins_premium_det (premium_rcv_code,assorted_code, rec_amount,premium_rcv_detail_code,remaining_amt, payrec, mode_code,coinsurance_code,class_cd,it_remarks) values('29Nov240034','070000168052','33000',(select max(to_number(i.premium_rcv_detail_code))+1
from ins_premium_det i),'33000','33000','02', '11000003','00','Request by Mr. Reheel Malik 02-Dec-2024');</v>
      </c>
    </row>
    <row r="125" spans="1:8" ht="105" x14ac:dyDescent="0.25">
      <c r="A125" s="19" t="s">
        <v>6013</v>
      </c>
      <c r="B125" s="26" t="str">
        <f>VLOOKUP(A125,policy!B:C,2,0)</f>
        <v>070000168053</v>
      </c>
      <c r="C125" s="32">
        <v>25950</v>
      </c>
      <c r="D125" s="27">
        <f t="shared" si="5"/>
        <v>25950</v>
      </c>
      <c r="E125" s="25" t="s">
        <v>6906</v>
      </c>
      <c r="F125" s="28" t="str">
        <f t="shared" si="4"/>
        <v>insert into ins_premium_det (premium_rcv_code,assorted_code, rec_amount,premium_rcv_detail_code,remaining_amt, payrec, mode_code,coinsurance_code,class_cd,it_remarks) values</v>
      </c>
      <c r="G125" s="29" t="str">
        <f t="shared" si="6"/>
        <v>('29Nov240034','070000168053','25950',(select max(to_number(i.premium_rcv_detail_code))+1
from ins_premium_det i),'25950','25950','02', '11000003','00','Request by Mr. Reheel Malik 02-Dec-2024');</v>
      </c>
      <c r="H125" s="30" t="str">
        <f t="shared" si="7"/>
        <v>insert into ins_premium_det (premium_rcv_code,assorted_code, rec_amount,premium_rcv_detail_code,remaining_amt, payrec, mode_code,coinsurance_code,class_cd,it_remarks) values('29Nov240034','070000168053','25950',(select max(to_number(i.premium_rcv_detail_code))+1
from ins_premium_det i),'25950','25950','02', '11000003','00','Request by Mr. Reheel Malik 02-Dec-2024');</v>
      </c>
    </row>
    <row r="126" spans="1:8" ht="105" x14ac:dyDescent="0.25">
      <c r="A126" s="18" t="s">
        <v>6014</v>
      </c>
      <c r="B126" s="26" t="str">
        <f>VLOOKUP(A126,policy!B:C,2,0)</f>
        <v>070000168054</v>
      </c>
      <c r="C126" s="31">
        <v>21495</v>
      </c>
      <c r="D126" s="27">
        <f t="shared" si="5"/>
        <v>21495</v>
      </c>
      <c r="E126" s="25" t="s">
        <v>6906</v>
      </c>
      <c r="F126" s="28" t="str">
        <f t="shared" si="4"/>
        <v>insert into ins_premium_det (premium_rcv_code,assorted_code, rec_amount,premium_rcv_detail_code,remaining_amt, payrec, mode_code,coinsurance_code,class_cd,it_remarks) values</v>
      </c>
      <c r="G126" s="29" t="str">
        <f t="shared" si="6"/>
        <v>('29Nov240034','070000168054','21495',(select max(to_number(i.premium_rcv_detail_code))+1
from ins_premium_det i),'21495','21495','02', '11000003','00','Request by Mr. Reheel Malik 02-Dec-2024');</v>
      </c>
      <c r="H126" s="30" t="str">
        <f t="shared" si="7"/>
        <v>insert into ins_premium_det (premium_rcv_code,assorted_code, rec_amount,premium_rcv_detail_code,remaining_amt, payrec, mode_code,coinsurance_code,class_cd,it_remarks) values('29Nov240034','070000168054','21495',(select max(to_number(i.premium_rcv_detail_code))+1
from ins_premium_det i),'21495','21495','02', '11000003','00','Request by Mr. Reheel Malik 02-Dec-2024');</v>
      </c>
    </row>
    <row r="127" spans="1:8" ht="105" x14ac:dyDescent="0.25">
      <c r="A127" s="19" t="s">
        <v>6015</v>
      </c>
      <c r="B127" s="26" t="str">
        <f>VLOOKUP(A127,policy!B:C,2,0)</f>
        <v>070000168055</v>
      </c>
      <c r="C127" s="32">
        <v>21495</v>
      </c>
      <c r="D127" s="27">
        <f t="shared" si="5"/>
        <v>21495</v>
      </c>
      <c r="E127" s="25" t="s">
        <v>6906</v>
      </c>
      <c r="F127" s="28" t="str">
        <f t="shared" si="4"/>
        <v>insert into ins_premium_det (premium_rcv_code,assorted_code, rec_amount,premium_rcv_detail_code,remaining_amt, payrec, mode_code,coinsurance_code,class_cd,it_remarks) values</v>
      </c>
      <c r="G127" s="29" t="str">
        <f t="shared" si="6"/>
        <v>('29Nov240034','070000168055','21495',(select max(to_number(i.premium_rcv_detail_code))+1
from ins_premium_det i),'21495','21495','02', '11000003','00','Request by Mr. Reheel Malik 02-Dec-2024');</v>
      </c>
      <c r="H127" s="30" t="str">
        <f t="shared" si="7"/>
        <v>insert into ins_premium_det (premium_rcv_code,assorted_code, rec_amount,premium_rcv_detail_code,remaining_amt, payrec, mode_code,coinsurance_code,class_cd,it_remarks) values('29Nov240034','070000168055','21495',(select max(to_number(i.premium_rcv_detail_code))+1
from ins_premium_det i),'21495','21495','02', '11000003','00','Request by Mr. Reheel Malik 02-Dec-2024');</v>
      </c>
    </row>
    <row r="128" spans="1:8" ht="105" x14ac:dyDescent="0.25">
      <c r="A128" s="18" t="s">
        <v>6016</v>
      </c>
      <c r="B128" s="26" t="str">
        <f>VLOOKUP(A128,policy!B:C,2,0)</f>
        <v>070000168057</v>
      </c>
      <c r="C128" s="31">
        <v>20970</v>
      </c>
      <c r="D128" s="27">
        <f t="shared" si="5"/>
        <v>20970</v>
      </c>
      <c r="E128" s="25" t="s">
        <v>6906</v>
      </c>
      <c r="F128" s="28" t="str">
        <f t="shared" si="4"/>
        <v>insert into ins_premium_det (premium_rcv_code,assorted_code, rec_amount,premium_rcv_detail_code,remaining_amt, payrec, mode_code,coinsurance_code,class_cd,it_remarks) values</v>
      </c>
      <c r="G128" s="29" t="str">
        <f t="shared" si="6"/>
        <v>('29Nov240034','070000168057','20970',(select max(to_number(i.premium_rcv_detail_code))+1
from ins_premium_det i),'20970','20970','02', '11000003','00','Request by Mr. Reheel Malik 02-Dec-2024');</v>
      </c>
      <c r="H128" s="30" t="str">
        <f t="shared" si="7"/>
        <v>insert into ins_premium_det (premium_rcv_code,assorted_code, rec_amount,premium_rcv_detail_code,remaining_amt, payrec, mode_code,coinsurance_code,class_cd,it_remarks) values('29Nov240034','070000168057','20970',(select max(to_number(i.premium_rcv_detail_code))+1
from ins_premium_det i),'20970','20970','02', '11000003','00','Request by Mr. Reheel Malik 02-Dec-2024');</v>
      </c>
    </row>
    <row r="129" spans="1:8" ht="105" x14ac:dyDescent="0.25">
      <c r="A129" s="19" t="s">
        <v>6017</v>
      </c>
      <c r="B129" s="26" t="str">
        <f>VLOOKUP(A129,policy!B:C,2,0)</f>
        <v>070000168060</v>
      </c>
      <c r="C129" s="32">
        <v>20250</v>
      </c>
      <c r="D129" s="27">
        <f t="shared" si="5"/>
        <v>20250</v>
      </c>
      <c r="E129" s="25" t="s">
        <v>6906</v>
      </c>
      <c r="F129" s="28" t="str">
        <f t="shared" si="4"/>
        <v>insert into ins_premium_det (premium_rcv_code,assorted_code, rec_amount,premium_rcv_detail_code,remaining_amt, payrec, mode_code,coinsurance_code,class_cd,it_remarks) values</v>
      </c>
      <c r="G129" s="29" t="str">
        <f t="shared" si="6"/>
        <v>('29Nov240034','070000168060','20250',(select max(to_number(i.premium_rcv_detail_code))+1
from ins_premium_det i),'20250','20250','02', '11000003','00','Request by Mr. Reheel Malik 02-Dec-2024');</v>
      </c>
      <c r="H129" s="30" t="str">
        <f t="shared" si="7"/>
        <v>insert into ins_premium_det (premium_rcv_code,assorted_code, rec_amount,premium_rcv_detail_code,remaining_amt, payrec, mode_code,coinsurance_code,class_cd,it_remarks) values('29Nov240034','070000168060','20250',(select max(to_number(i.premium_rcv_detail_code))+1
from ins_premium_det i),'20250','20250','02', '11000003','00','Request by Mr. Reheel Malik 02-Dec-2024');</v>
      </c>
    </row>
    <row r="130" spans="1:8" ht="105" x14ac:dyDescent="0.25">
      <c r="A130" s="18" t="s">
        <v>6018</v>
      </c>
      <c r="B130" s="26" t="str">
        <f>VLOOKUP(A130,policy!B:C,2,0)</f>
        <v>070000168061</v>
      </c>
      <c r="C130" s="31">
        <v>61088</v>
      </c>
      <c r="D130" s="27">
        <f t="shared" si="5"/>
        <v>61088</v>
      </c>
      <c r="E130" s="25" t="s">
        <v>6906</v>
      </c>
      <c r="F130" s="28" t="str">
        <f t="shared" ref="F130:F193" si="8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30" s="29" t="str">
        <f t="shared" si="6"/>
        <v>('29Nov240034','070000168061','61088',(select max(to_number(i.premium_rcv_detail_code))+1
from ins_premium_det i),'61088','61088','02', '11000003','00','Request by Mr. Reheel Malik 02-Dec-2024');</v>
      </c>
      <c r="H130" s="30" t="str">
        <f t="shared" si="7"/>
        <v>insert into ins_premium_det (premium_rcv_code,assorted_code, rec_amount,premium_rcv_detail_code,remaining_amt, payrec, mode_code,coinsurance_code,class_cd,it_remarks) values('29Nov240034','070000168061','61088',(select max(to_number(i.premium_rcv_detail_code))+1
from ins_premium_det i),'61088','61088','02', '11000003','00','Request by Mr. Reheel Malik 02-Dec-2024');</v>
      </c>
    </row>
    <row r="131" spans="1:8" ht="105" x14ac:dyDescent="0.25">
      <c r="A131" s="19" t="s">
        <v>6019</v>
      </c>
      <c r="B131" s="26" t="str">
        <f>VLOOKUP(A131,policy!B:C,2,0)</f>
        <v>070000168063</v>
      </c>
      <c r="C131" s="32">
        <v>49489</v>
      </c>
      <c r="D131" s="27">
        <f t="shared" ref="D131:D194" si="9">ROUND(C131,0)</f>
        <v>49489</v>
      </c>
      <c r="E131" s="25" t="s">
        <v>6906</v>
      </c>
      <c r="F131" s="28" t="str">
        <f t="shared" si="8"/>
        <v>insert into ins_premium_det (premium_rcv_code,assorted_code, rec_amount,premium_rcv_detail_code,remaining_amt, payrec, mode_code,coinsurance_code,class_cd,it_remarks) values</v>
      </c>
      <c r="G131" s="29" t="str">
        <f t="shared" ref="G131:G194" si="10">"('"&amp;E131&amp;"','"&amp;B131&amp;"','"&amp;D131&amp;"',(select max(to_number(i.premium_rcv_detail_code))+1
from ins_premium_det i),'"&amp;D131&amp;"','"&amp;D131&amp;"','02', '11000003','00','Request by Mr. Reheel Malik 02-Dec-2024');"</f>
        <v>('29Nov240034','070000168063','49489',(select max(to_number(i.premium_rcv_detail_code))+1
from ins_premium_det i),'49489','49489','02', '11000003','00','Request by Mr. Reheel Malik 02-Dec-2024');</v>
      </c>
      <c r="H131" s="30" t="str">
        <f t="shared" ref="H131:H194" si="11">F131&amp;G131</f>
        <v>insert into ins_premium_det (premium_rcv_code,assorted_code, rec_amount,premium_rcv_detail_code,remaining_amt, payrec, mode_code,coinsurance_code,class_cd,it_remarks) values('29Nov240034','070000168063','49489',(select max(to_number(i.premium_rcv_detail_code))+1
from ins_premium_det i),'49489','49489','02', '11000003','00','Request by Mr. Reheel Malik 02-Dec-2024');</v>
      </c>
    </row>
    <row r="132" spans="1:8" ht="105" x14ac:dyDescent="0.25">
      <c r="A132" s="18" t="s">
        <v>6020</v>
      </c>
      <c r="B132" s="26" t="str">
        <f>VLOOKUP(A132,policy!B:C,2,0)</f>
        <v>070000168064</v>
      </c>
      <c r="C132" s="31">
        <v>44820</v>
      </c>
      <c r="D132" s="27">
        <f t="shared" si="9"/>
        <v>44820</v>
      </c>
      <c r="E132" s="25" t="s">
        <v>6906</v>
      </c>
      <c r="F132" s="28" t="str">
        <f t="shared" si="8"/>
        <v>insert into ins_premium_det (premium_rcv_code,assorted_code, rec_amount,premium_rcv_detail_code,remaining_amt, payrec, mode_code,coinsurance_code,class_cd,it_remarks) values</v>
      </c>
      <c r="G132" s="29" t="str">
        <f t="shared" si="10"/>
        <v>('29Nov240034','070000168064','44820',(select max(to_number(i.premium_rcv_detail_code))+1
from ins_premium_det i),'44820','44820','02', '11000003','00','Request by Mr. Reheel Malik 02-Dec-2024');</v>
      </c>
      <c r="H132" s="30" t="str">
        <f t="shared" si="11"/>
        <v>insert into ins_premium_det (premium_rcv_code,assorted_code, rec_amount,premium_rcv_detail_code,remaining_amt, payrec, mode_code,coinsurance_code,class_cd,it_remarks) values('29Nov240034','070000168064','44820',(select max(to_number(i.premium_rcv_detail_code))+1
from ins_premium_det i),'44820','44820','02', '11000003','00','Request by Mr. Reheel Malik 02-Dec-2024');</v>
      </c>
    </row>
    <row r="133" spans="1:8" ht="105" x14ac:dyDescent="0.25">
      <c r="A133" s="19" t="s">
        <v>6021</v>
      </c>
      <c r="B133" s="26" t="str">
        <f>VLOOKUP(A133,policy!B:C,2,0)</f>
        <v>070000168176</v>
      </c>
      <c r="C133" s="32">
        <v>40480</v>
      </c>
      <c r="D133" s="27">
        <f t="shared" si="9"/>
        <v>40480</v>
      </c>
      <c r="E133" s="25" t="s">
        <v>6906</v>
      </c>
      <c r="F133" s="28" t="str">
        <f t="shared" si="8"/>
        <v>insert into ins_premium_det (premium_rcv_code,assorted_code, rec_amount,premium_rcv_detail_code,remaining_amt, payrec, mode_code,coinsurance_code,class_cd,it_remarks) values</v>
      </c>
      <c r="G133" s="29" t="str">
        <f t="shared" si="10"/>
        <v>('29Nov240034','070000168176','40480',(select max(to_number(i.premium_rcv_detail_code))+1
from ins_premium_det i),'40480','40480','02', '11000003','00','Request by Mr. Reheel Malik 02-Dec-2024');</v>
      </c>
      <c r="H133" s="30" t="str">
        <f t="shared" si="11"/>
        <v>insert into ins_premium_det (premium_rcv_code,assorted_code, rec_amount,premium_rcv_detail_code,remaining_amt, payrec, mode_code,coinsurance_code,class_cd,it_remarks) values('29Nov240034','070000168176','40480',(select max(to_number(i.premium_rcv_detail_code))+1
from ins_premium_det i),'40480','40480','02', '11000003','00','Request by Mr. Reheel Malik 02-Dec-2024');</v>
      </c>
    </row>
    <row r="134" spans="1:8" ht="105" x14ac:dyDescent="0.25">
      <c r="A134" s="18" t="s">
        <v>6022</v>
      </c>
      <c r="B134" s="26" t="str">
        <f>VLOOKUP(A134,policy!B:C,2,0)</f>
        <v>070000168177</v>
      </c>
      <c r="C134" s="31">
        <v>17808</v>
      </c>
      <c r="D134" s="27">
        <f t="shared" si="9"/>
        <v>17808</v>
      </c>
      <c r="E134" s="25" t="s">
        <v>6906</v>
      </c>
      <c r="F134" s="28" t="str">
        <f t="shared" si="8"/>
        <v>insert into ins_premium_det (premium_rcv_code,assorted_code, rec_amount,premium_rcv_detail_code,remaining_amt, payrec, mode_code,coinsurance_code,class_cd,it_remarks) values</v>
      </c>
      <c r="G134" s="29" t="str">
        <f t="shared" si="10"/>
        <v>('29Nov240034','070000168177','17808',(select max(to_number(i.premium_rcv_detail_code))+1
from ins_premium_det i),'17808','17808','02', '11000003','00','Request by Mr. Reheel Malik 02-Dec-2024');</v>
      </c>
      <c r="H134" s="30" t="str">
        <f t="shared" si="11"/>
        <v>insert into ins_premium_det (premium_rcv_code,assorted_code, rec_amount,premium_rcv_detail_code,remaining_amt, payrec, mode_code,coinsurance_code,class_cd,it_remarks) values('29Nov240034','070000168177','17808',(select max(to_number(i.premium_rcv_detail_code))+1
from ins_premium_det i),'17808','17808','02', '11000003','00','Request by Mr. Reheel Malik 02-Dec-2024');</v>
      </c>
    </row>
    <row r="135" spans="1:8" ht="105" x14ac:dyDescent="0.25">
      <c r="A135" s="19" t="s">
        <v>6023</v>
      </c>
      <c r="B135" s="26" t="str">
        <f>VLOOKUP(A135,policy!B:C,2,0)</f>
        <v>070000168178</v>
      </c>
      <c r="C135" s="32">
        <v>29280</v>
      </c>
      <c r="D135" s="27">
        <f t="shared" si="9"/>
        <v>29280</v>
      </c>
      <c r="E135" s="25" t="s">
        <v>6906</v>
      </c>
      <c r="F135" s="28" t="str">
        <f t="shared" si="8"/>
        <v>insert into ins_premium_det (premium_rcv_code,assorted_code, rec_amount,premium_rcv_detail_code,remaining_amt, payrec, mode_code,coinsurance_code,class_cd,it_remarks) values</v>
      </c>
      <c r="G135" s="29" t="str">
        <f t="shared" si="10"/>
        <v>('29Nov240034','070000168178','29280',(select max(to_number(i.premium_rcv_detail_code))+1
from ins_premium_det i),'29280','29280','02', '11000003','00','Request by Mr. Reheel Malik 02-Dec-2024');</v>
      </c>
      <c r="H135" s="30" t="str">
        <f t="shared" si="11"/>
        <v>insert into ins_premium_det (premium_rcv_code,assorted_code, rec_amount,premium_rcv_detail_code,remaining_amt, payrec, mode_code,coinsurance_code,class_cd,it_remarks) values('29Nov240034','070000168178','29280',(select max(to_number(i.premium_rcv_detail_code))+1
from ins_premium_det i),'29280','29280','02', '11000003','00','Request by Mr. Reheel Malik 02-Dec-2024');</v>
      </c>
    </row>
    <row r="136" spans="1:8" ht="105" x14ac:dyDescent="0.25">
      <c r="A136" s="18" t="s">
        <v>6024</v>
      </c>
      <c r="B136" s="26" t="str">
        <f>VLOOKUP(A136,policy!B:C,2,0)</f>
        <v>070000168066</v>
      </c>
      <c r="C136" s="31">
        <v>60739</v>
      </c>
      <c r="D136" s="27">
        <f t="shared" si="9"/>
        <v>60739</v>
      </c>
      <c r="E136" s="25" t="s">
        <v>6906</v>
      </c>
      <c r="F136" s="28" t="str">
        <f t="shared" si="8"/>
        <v>insert into ins_premium_det (premium_rcv_code,assorted_code, rec_amount,premium_rcv_detail_code,remaining_amt, payrec, mode_code,coinsurance_code,class_cd,it_remarks) values</v>
      </c>
      <c r="G136" s="29" t="str">
        <f t="shared" si="10"/>
        <v>('29Nov240034','070000168066','60739',(select max(to_number(i.premium_rcv_detail_code))+1
from ins_premium_det i),'60739','60739','02', '11000003','00','Request by Mr. Reheel Malik 02-Dec-2024');</v>
      </c>
      <c r="H136" s="30" t="str">
        <f t="shared" si="11"/>
        <v>insert into ins_premium_det (premium_rcv_code,assorted_code, rec_amount,premium_rcv_detail_code,remaining_amt, payrec, mode_code,coinsurance_code,class_cd,it_remarks) values('29Nov240034','070000168066','60739',(select max(to_number(i.premium_rcv_detail_code))+1
from ins_premium_det i),'60739','60739','02', '11000003','00','Request by Mr. Reheel Malik 02-Dec-2024');</v>
      </c>
    </row>
    <row r="137" spans="1:8" ht="105" x14ac:dyDescent="0.25">
      <c r="A137" s="19" t="s">
        <v>6025</v>
      </c>
      <c r="B137" s="26" t="str">
        <f>VLOOKUP(A137,policy!B:C,2,0)</f>
        <v>070000168068</v>
      </c>
      <c r="C137" s="32">
        <v>10500</v>
      </c>
      <c r="D137" s="27">
        <f t="shared" si="9"/>
        <v>10500</v>
      </c>
      <c r="E137" s="25" t="s">
        <v>6906</v>
      </c>
      <c r="F137" s="28" t="str">
        <f t="shared" si="8"/>
        <v>insert into ins_premium_det (premium_rcv_code,assorted_code, rec_amount,premium_rcv_detail_code,remaining_amt, payrec, mode_code,coinsurance_code,class_cd,it_remarks) values</v>
      </c>
      <c r="G137" s="29" t="str">
        <f t="shared" si="10"/>
        <v>('29Nov240034','070000168068','10500',(select max(to_number(i.premium_rcv_detail_code))+1
from ins_premium_det i),'10500','10500','02', '11000003','00','Request by Mr. Reheel Malik 02-Dec-2024');</v>
      </c>
      <c r="H137" s="30" t="str">
        <f t="shared" si="11"/>
        <v>insert into ins_premium_det (premium_rcv_code,assorted_code, rec_amount,premium_rcv_detail_code,remaining_amt, payrec, mode_code,coinsurance_code,class_cd,it_remarks) values('29Nov240034','070000168068','10500',(select max(to_number(i.premium_rcv_detail_code))+1
from ins_premium_det i),'10500','10500','02', '11000003','00','Request by Mr. Reheel Malik 02-Dec-2024');</v>
      </c>
    </row>
    <row r="138" spans="1:8" ht="105" x14ac:dyDescent="0.25">
      <c r="A138" s="18" t="s">
        <v>6026</v>
      </c>
      <c r="B138" s="26" t="str">
        <f>VLOOKUP(A138,policy!B:C,2,0)</f>
        <v>070000168181</v>
      </c>
      <c r="C138" s="31">
        <v>39184</v>
      </c>
      <c r="D138" s="27">
        <f t="shared" si="9"/>
        <v>39184</v>
      </c>
      <c r="E138" s="25" t="s">
        <v>6906</v>
      </c>
      <c r="F138" s="28" t="str">
        <f t="shared" si="8"/>
        <v>insert into ins_premium_det (premium_rcv_code,assorted_code, rec_amount,premium_rcv_detail_code,remaining_amt, payrec, mode_code,coinsurance_code,class_cd,it_remarks) values</v>
      </c>
      <c r="G138" s="29" t="str">
        <f t="shared" si="10"/>
        <v>('29Nov240034','070000168181','39184',(select max(to_number(i.premium_rcv_detail_code))+1
from ins_premium_det i),'39184','39184','02', '11000003','00','Request by Mr. Reheel Malik 02-Dec-2024');</v>
      </c>
      <c r="H138" s="30" t="str">
        <f t="shared" si="11"/>
        <v>insert into ins_premium_det (premium_rcv_code,assorted_code, rec_amount,premium_rcv_detail_code,remaining_amt, payrec, mode_code,coinsurance_code,class_cd,it_remarks) values('29Nov240034','070000168181','39184',(select max(to_number(i.premium_rcv_detail_code))+1
from ins_premium_det i),'39184','39184','02', '11000003','00','Request by Mr. Reheel Malik 02-Dec-2024');</v>
      </c>
    </row>
    <row r="139" spans="1:8" ht="105" x14ac:dyDescent="0.25">
      <c r="A139" s="19" t="s">
        <v>6027</v>
      </c>
      <c r="B139" s="26" t="str">
        <f>VLOOKUP(A139,policy!B:C,2,0)</f>
        <v>070000168076</v>
      </c>
      <c r="C139" s="32">
        <v>50250</v>
      </c>
      <c r="D139" s="27">
        <f t="shared" si="9"/>
        <v>50250</v>
      </c>
      <c r="E139" s="25" t="s">
        <v>6906</v>
      </c>
      <c r="F139" s="28" t="str">
        <f t="shared" si="8"/>
        <v>insert into ins_premium_det (premium_rcv_code,assorted_code, rec_amount,premium_rcv_detail_code,remaining_amt, payrec, mode_code,coinsurance_code,class_cd,it_remarks) values</v>
      </c>
      <c r="G139" s="29" t="str">
        <f t="shared" si="10"/>
        <v>('29Nov240034','070000168076','50250',(select max(to_number(i.premium_rcv_detail_code))+1
from ins_premium_det i),'50250','50250','02', '11000003','00','Request by Mr. Reheel Malik 02-Dec-2024');</v>
      </c>
      <c r="H139" s="30" t="str">
        <f t="shared" si="11"/>
        <v>insert into ins_premium_det (premium_rcv_code,assorted_code, rec_amount,premium_rcv_detail_code,remaining_amt, payrec, mode_code,coinsurance_code,class_cd,it_remarks) values('29Nov240034','070000168076','50250',(select max(to_number(i.premium_rcv_detail_code))+1
from ins_premium_det i),'50250','50250','02', '11000003','00','Request by Mr. Reheel Malik 02-Dec-2024');</v>
      </c>
    </row>
    <row r="140" spans="1:8" ht="105" x14ac:dyDescent="0.25">
      <c r="A140" s="18" t="s">
        <v>6028</v>
      </c>
      <c r="B140" s="26" t="str">
        <f>VLOOKUP(A140,policy!B:C,2,0)</f>
        <v>070000168077</v>
      </c>
      <c r="C140" s="31">
        <v>44475</v>
      </c>
      <c r="D140" s="27">
        <f t="shared" si="9"/>
        <v>44475</v>
      </c>
      <c r="E140" s="25" t="s">
        <v>6906</v>
      </c>
      <c r="F140" s="28" t="str">
        <f t="shared" si="8"/>
        <v>insert into ins_premium_det (premium_rcv_code,assorted_code, rec_amount,premium_rcv_detail_code,remaining_amt, payrec, mode_code,coinsurance_code,class_cd,it_remarks) values</v>
      </c>
      <c r="G140" s="29" t="str">
        <f t="shared" si="10"/>
        <v>('29Nov240034','070000168077','44475',(select max(to_number(i.premium_rcv_detail_code))+1
from ins_premium_det i),'44475','44475','02', '11000003','00','Request by Mr. Reheel Malik 02-Dec-2024');</v>
      </c>
      <c r="H140" s="30" t="str">
        <f t="shared" si="11"/>
        <v>insert into ins_premium_det (premium_rcv_code,assorted_code, rec_amount,premium_rcv_detail_code,remaining_amt, payrec, mode_code,coinsurance_code,class_cd,it_remarks) values('29Nov240034','070000168077','44475',(select max(to_number(i.premium_rcv_detail_code))+1
from ins_premium_det i),'44475','44475','02', '11000003','00','Request by Mr. Reheel Malik 02-Dec-2024');</v>
      </c>
    </row>
    <row r="141" spans="1:8" ht="105" x14ac:dyDescent="0.25">
      <c r="A141" s="19" t="s">
        <v>6029</v>
      </c>
      <c r="B141" s="26" t="str">
        <f>VLOOKUP(A141,policy!B:C,2,0)</f>
        <v>070000168185</v>
      </c>
      <c r="C141" s="32">
        <v>65820</v>
      </c>
      <c r="D141" s="27">
        <f t="shared" si="9"/>
        <v>65820</v>
      </c>
      <c r="E141" s="25" t="s">
        <v>6906</v>
      </c>
      <c r="F141" s="28" t="str">
        <f t="shared" si="8"/>
        <v>insert into ins_premium_det (premium_rcv_code,assorted_code, rec_amount,premium_rcv_detail_code,remaining_amt, payrec, mode_code,coinsurance_code,class_cd,it_remarks) values</v>
      </c>
      <c r="G141" s="29" t="str">
        <f t="shared" si="10"/>
        <v>('29Nov240034','070000168185','65820',(select max(to_number(i.premium_rcv_detail_code))+1
from ins_premium_det i),'65820','65820','02', '11000003','00','Request by Mr. Reheel Malik 02-Dec-2024');</v>
      </c>
      <c r="H141" s="30" t="str">
        <f t="shared" si="11"/>
        <v>insert into ins_premium_det (premium_rcv_code,assorted_code, rec_amount,premium_rcv_detail_code,remaining_amt, payrec, mode_code,coinsurance_code,class_cd,it_remarks) values('29Nov240034','070000168185','65820',(select max(to_number(i.premium_rcv_detail_code))+1
from ins_premium_det i),'65820','65820','02', '11000003','00','Request by Mr. Reheel Malik 02-Dec-2024');</v>
      </c>
    </row>
    <row r="142" spans="1:8" ht="105" x14ac:dyDescent="0.25">
      <c r="A142" s="18" t="s">
        <v>6030</v>
      </c>
      <c r="B142" s="26" t="str">
        <f>VLOOKUP(A142,policy!B:C,2,0)</f>
        <v>070000168186</v>
      </c>
      <c r="C142" s="31">
        <v>128646</v>
      </c>
      <c r="D142" s="27">
        <f t="shared" si="9"/>
        <v>128646</v>
      </c>
      <c r="E142" s="25" t="s">
        <v>6906</v>
      </c>
      <c r="F142" s="28" t="str">
        <f t="shared" si="8"/>
        <v>insert into ins_premium_det (premium_rcv_code,assorted_code, rec_amount,premium_rcv_detail_code,remaining_amt, payrec, mode_code,coinsurance_code,class_cd,it_remarks) values</v>
      </c>
      <c r="G142" s="29" t="str">
        <f t="shared" si="10"/>
        <v>('29Nov240034','070000168186','128646',(select max(to_number(i.premium_rcv_detail_code))+1
from ins_premium_det i),'128646','128646','02', '11000003','00','Request by Mr. Reheel Malik 02-Dec-2024');</v>
      </c>
      <c r="H142" s="30" t="str">
        <f t="shared" si="11"/>
        <v>insert into ins_premium_det (premium_rcv_code,assorted_code, rec_amount,premium_rcv_detail_code,remaining_amt, payrec, mode_code,coinsurance_code,class_cd,it_remarks) values('29Nov240034','070000168186','128646',(select max(to_number(i.premium_rcv_detail_code))+1
from ins_premium_det i),'128646','128646','02', '11000003','00','Request by Mr. Reheel Malik 02-Dec-2024');</v>
      </c>
    </row>
    <row r="143" spans="1:8" ht="105" x14ac:dyDescent="0.25">
      <c r="A143" s="19" t="s">
        <v>6031</v>
      </c>
      <c r="B143" s="26" t="str">
        <f>VLOOKUP(A143,policy!B:C,2,0)</f>
        <v>070000168341</v>
      </c>
      <c r="C143" s="32">
        <v>20160</v>
      </c>
      <c r="D143" s="27">
        <f t="shared" si="9"/>
        <v>20160</v>
      </c>
      <c r="E143" s="25" t="s">
        <v>6906</v>
      </c>
      <c r="F143" s="28" t="str">
        <f t="shared" si="8"/>
        <v>insert into ins_premium_det (premium_rcv_code,assorted_code, rec_amount,premium_rcv_detail_code,remaining_amt, payrec, mode_code,coinsurance_code,class_cd,it_remarks) values</v>
      </c>
      <c r="G143" s="29" t="str">
        <f t="shared" si="10"/>
        <v>('29Nov240034','070000168341','20160',(select max(to_number(i.premium_rcv_detail_code))+1
from ins_premium_det i),'20160','20160','02', '11000003','00','Request by Mr. Reheel Malik 02-Dec-2024');</v>
      </c>
      <c r="H143" s="30" t="str">
        <f t="shared" si="11"/>
        <v>insert into ins_premium_det (premium_rcv_code,assorted_code, rec_amount,premium_rcv_detail_code,remaining_amt, payrec, mode_code,coinsurance_code,class_cd,it_remarks) values('29Nov240034','070000168341','20160',(select max(to_number(i.premium_rcv_detail_code))+1
from ins_premium_det i),'20160','20160','02', '11000003','00','Request by Mr. Reheel Malik 02-Dec-2024');</v>
      </c>
    </row>
    <row r="144" spans="1:8" ht="105" x14ac:dyDescent="0.25">
      <c r="A144" s="18" t="s">
        <v>6032</v>
      </c>
      <c r="B144" s="26" t="str">
        <f>VLOOKUP(A144,policy!B:C,2,0)</f>
        <v>070000168080</v>
      </c>
      <c r="C144" s="31">
        <v>103129</v>
      </c>
      <c r="D144" s="27">
        <f t="shared" si="9"/>
        <v>103129</v>
      </c>
      <c r="E144" s="25" t="s">
        <v>6906</v>
      </c>
      <c r="F144" s="28" t="str">
        <f t="shared" si="8"/>
        <v>insert into ins_premium_det (premium_rcv_code,assorted_code, rec_amount,premium_rcv_detail_code,remaining_amt, payrec, mode_code,coinsurance_code,class_cd,it_remarks) values</v>
      </c>
      <c r="G144" s="29" t="str">
        <f t="shared" si="10"/>
        <v>('29Nov240034','070000168080','103129',(select max(to_number(i.premium_rcv_detail_code))+1
from ins_premium_det i),'103129','103129','02', '11000003','00','Request by Mr. Reheel Malik 02-Dec-2024');</v>
      </c>
      <c r="H144" s="30" t="str">
        <f t="shared" si="11"/>
        <v>insert into ins_premium_det (premium_rcv_code,assorted_code, rec_amount,premium_rcv_detail_code,remaining_amt, payrec, mode_code,coinsurance_code,class_cd,it_remarks) values('29Nov240034','070000168080','103129',(select max(to_number(i.premium_rcv_detail_code))+1
from ins_premium_det i),'103129','103129','02', '11000003','00','Request by Mr. Reheel Malik 02-Dec-2024');</v>
      </c>
    </row>
    <row r="145" spans="1:8" ht="105" x14ac:dyDescent="0.25">
      <c r="A145" s="19" t="s">
        <v>6033</v>
      </c>
      <c r="B145" s="26" t="str">
        <f>VLOOKUP(A145,policy!B:C,2,0)</f>
        <v>070000168081</v>
      </c>
      <c r="C145" s="32">
        <v>38610</v>
      </c>
      <c r="D145" s="27">
        <f t="shared" si="9"/>
        <v>38610</v>
      </c>
      <c r="E145" s="25" t="s">
        <v>6906</v>
      </c>
      <c r="F145" s="28" t="str">
        <f t="shared" si="8"/>
        <v>insert into ins_premium_det (premium_rcv_code,assorted_code, rec_amount,premium_rcv_detail_code,remaining_amt, payrec, mode_code,coinsurance_code,class_cd,it_remarks) values</v>
      </c>
      <c r="G145" s="29" t="str">
        <f t="shared" si="10"/>
        <v>('29Nov240034','070000168081','38610',(select max(to_number(i.premium_rcv_detail_code))+1
from ins_premium_det i),'38610','38610','02', '11000003','00','Request by Mr. Reheel Malik 02-Dec-2024');</v>
      </c>
      <c r="H145" s="30" t="str">
        <f t="shared" si="11"/>
        <v>insert into ins_premium_det (premium_rcv_code,assorted_code, rec_amount,premium_rcv_detail_code,remaining_amt, payrec, mode_code,coinsurance_code,class_cd,it_remarks) values('29Nov240034','070000168081','38610',(select max(to_number(i.premium_rcv_detail_code))+1
from ins_premium_det i),'38610','38610','02', '11000003','00','Request by Mr. Reheel Malik 02-Dec-2024');</v>
      </c>
    </row>
    <row r="146" spans="1:8" ht="105" x14ac:dyDescent="0.25">
      <c r="A146" s="18" t="s">
        <v>6034</v>
      </c>
      <c r="B146" s="26" t="str">
        <f>VLOOKUP(A146,policy!B:C,2,0)</f>
        <v>070000168082</v>
      </c>
      <c r="C146" s="31">
        <v>37500</v>
      </c>
      <c r="D146" s="27">
        <f t="shared" si="9"/>
        <v>37500</v>
      </c>
      <c r="E146" s="25" t="s">
        <v>6906</v>
      </c>
      <c r="F146" s="28" t="str">
        <f t="shared" si="8"/>
        <v>insert into ins_premium_det (premium_rcv_code,assorted_code, rec_amount,premium_rcv_detail_code,remaining_amt, payrec, mode_code,coinsurance_code,class_cd,it_remarks) values</v>
      </c>
      <c r="G146" s="29" t="str">
        <f t="shared" si="10"/>
        <v>('29Nov240034','070000168082','37500',(select max(to_number(i.premium_rcv_detail_code))+1
from ins_premium_det i),'37500','37500','02', '11000003','00','Request by Mr. Reheel Malik 02-Dec-2024');</v>
      </c>
      <c r="H146" s="30" t="str">
        <f t="shared" si="11"/>
        <v>insert into ins_premium_det (premium_rcv_code,assorted_code, rec_amount,premium_rcv_detail_code,remaining_amt, payrec, mode_code,coinsurance_code,class_cd,it_remarks) values('29Nov240034','070000168082','37500',(select max(to_number(i.premium_rcv_detail_code))+1
from ins_premium_det i),'37500','37500','02', '11000003','00','Request by Mr. Reheel Malik 02-Dec-2024');</v>
      </c>
    </row>
    <row r="147" spans="1:8" ht="105" x14ac:dyDescent="0.25">
      <c r="A147" s="19" t="s">
        <v>6035</v>
      </c>
      <c r="B147" s="26" t="str">
        <f>VLOOKUP(A147,policy!B:C,2,0)</f>
        <v>070000168083</v>
      </c>
      <c r="C147" s="32">
        <v>34920</v>
      </c>
      <c r="D147" s="27">
        <f t="shared" si="9"/>
        <v>34920</v>
      </c>
      <c r="E147" s="25" t="s">
        <v>6906</v>
      </c>
      <c r="F147" s="28" t="str">
        <f t="shared" si="8"/>
        <v>insert into ins_premium_det (premium_rcv_code,assorted_code, rec_amount,premium_rcv_detail_code,remaining_amt, payrec, mode_code,coinsurance_code,class_cd,it_remarks) values</v>
      </c>
      <c r="G147" s="29" t="str">
        <f t="shared" si="10"/>
        <v>('29Nov240034','070000168083','34920',(select max(to_number(i.premium_rcv_detail_code))+1
from ins_premium_det i),'34920','34920','02', '11000003','00','Request by Mr. Reheel Malik 02-Dec-2024');</v>
      </c>
      <c r="H147" s="30" t="str">
        <f t="shared" si="11"/>
        <v>insert into ins_premium_det (premium_rcv_code,assorted_code, rec_amount,premium_rcv_detail_code,remaining_amt, payrec, mode_code,coinsurance_code,class_cd,it_remarks) values('29Nov240034','070000168083','34920',(select max(to_number(i.premium_rcv_detail_code))+1
from ins_premium_det i),'34920','34920','02', '11000003','00','Request by Mr. Reheel Malik 02-Dec-2024');</v>
      </c>
    </row>
    <row r="148" spans="1:8" ht="105" x14ac:dyDescent="0.25">
      <c r="A148" s="18" t="s">
        <v>6036</v>
      </c>
      <c r="B148" s="26" t="str">
        <f>VLOOKUP(A148,policy!B:C,2,0)</f>
        <v>070000168091</v>
      </c>
      <c r="C148" s="31">
        <v>24495</v>
      </c>
      <c r="D148" s="27">
        <f t="shared" si="9"/>
        <v>24495</v>
      </c>
      <c r="E148" s="25" t="s">
        <v>6906</v>
      </c>
      <c r="F148" s="28" t="str">
        <f t="shared" si="8"/>
        <v>insert into ins_premium_det (premium_rcv_code,assorted_code, rec_amount,premium_rcv_detail_code,remaining_amt, payrec, mode_code,coinsurance_code,class_cd,it_remarks) values</v>
      </c>
      <c r="G148" s="29" t="str">
        <f t="shared" si="10"/>
        <v>('29Nov240034','070000168091','24495',(select max(to_number(i.premium_rcv_detail_code))+1
from ins_premium_det i),'24495','24495','02', '11000003','00','Request by Mr. Reheel Malik 02-Dec-2024');</v>
      </c>
      <c r="H148" s="30" t="str">
        <f t="shared" si="11"/>
        <v>insert into ins_premium_det (premium_rcv_code,assorted_code, rec_amount,premium_rcv_detail_code,remaining_amt, payrec, mode_code,coinsurance_code,class_cd,it_remarks) values('29Nov240034','070000168091','24495',(select max(to_number(i.premium_rcv_detail_code))+1
from ins_premium_det i),'24495','24495','02', '11000003','00','Request by Mr. Reheel Malik 02-Dec-2024');</v>
      </c>
    </row>
    <row r="149" spans="1:8" ht="105" x14ac:dyDescent="0.25">
      <c r="A149" s="19" t="s">
        <v>6037</v>
      </c>
      <c r="B149" s="26" t="str">
        <f>VLOOKUP(A149,policy!B:C,2,0)</f>
        <v>070000168092</v>
      </c>
      <c r="C149" s="32">
        <v>17175</v>
      </c>
      <c r="D149" s="27">
        <f t="shared" si="9"/>
        <v>17175</v>
      </c>
      <c r="E149" s="25" t="s">
        <v>6906</v>
      </c>
      <c r="F149" s="28" t="str">
        <f t="shared" si="8"/>
        <v>insert into ins_premium_det (premium_rcv_code,assorted_code, rec_amount,premium_rcv_detail_code,remaining_amt, payrec, mode_code,coinsurance_code,class_cd,it_remarks) values</v>
      </c>
      <c r="G149" s="29" t="str">
        <f t="shared" si="10"/>
        <v>('29Nov240034','070000168092','17175',(select max(to_number(i.premium_rcv_detail_code))+1
from ins_premium_det i),'17175','17175','02', '11000003','00','Request by Mr. Reheel Malik 02-Dec-2024');</v>
      </c>
      <c r="H149" s="30" t="str">
        <f t="shared" si="11"/>
        <v>insert into ins_premium_det (premium_rcv_code,assorted_code, rec_amount,premium_rcv_detail_code,remaining_amt, payrec, mode_code,coinsurance_code,class_cd,it_remarks) values('29Nov240034','070000168092','17175',(select max(to_number(i.premium_rcv_detail_code))+1
from ins_premium_det i),'17175','17175','02', '11000003','00','Request by Mr. Reheel Malik 02-Dec-2024');</v>
      </c>
    </row>
    <row r="150" spans="1:8" ht="105" x14ac:dyDescent="0.25">
      <c r="A150" s="18" t="s">
        <v>6038</v>
      </c>
      <c r="B150" s="26" t="str">
        <f>VLOOKUP(A150,policy!B:C,2,0)</f>
        <v>070000168094</v>
      </c>
      <c r="C150" s="31">
        <v>27001</v>
      </c>
      <c r="D150" s="27">
        <f t="shared" si="9"/>
        <v>27001</v>
      </c>
      <c r="E150" s="25" t="s">
        <v>6906</v>
      </c>
      <c r="F150" s="28" t="str">
        <f t="shared" si="8"/>
        <v>insert into ins_premium_det (premium_rcv_code,assorted_code, rec_amount,premium_rcv_detail_code,remaining_amt, payrec, mode_code,coinsurance_code,class_cd,it_remarks) values</v>
      </c>
      <c r="G150" s="29" t="str">
        <f t="shared" si="10"/>
        <v>('29Nov240034','070000168094','27001',(select max(to_number(i.premium_rcv_detail_code))+1
from ins_premium_det i),'27001','27001','02', '11000003','00','Request by Mr. Reheel Malik 02-Dec-2024');</v>
      </c>
      <c r="H150" s="30" t="str">
        <f t="shared" si="11"/>
        <v>insert into ins_premium_det (premium_rcv_code,assorted_code, rec_amount,premium_rcv_detail_code,remaining_amt, payrec, mode_code,coinsurance_code,class_cd,it_remarks) values('29Nov240034','070000168094','27001',(select max(to_number(i.premium_rcv_detail_code))+1
from ins_premium_det i),'27001','27001','02', '11000003','00','Request by Mr. Reheel Malik 02-Dec-2024');</v>
      </c>
    </row>
    <row r="151" spans="1:8" ht="105" x14ac:dyDescent="0.25">
      <c r="A151" s="19" t="s">
        <v>6039</v>
      </c>
      <c r="B151" s="26" t="str">
        <f>VLOOKUP(A151,policy!B:C,2,0)</f>
        <v>070000168097</v>
      </c>
      <c r="C151" s="32">
        <v>61088</v>
      </c>
      <c r="D151" s="27">
        <f t="shared" si="9"/>
        <v>61088</v>
      </c>
      <c r="E151" s="25" t="s">
        <v>6906</v>
      </c>
      <c r="F151" s="28" t="str">
        <f t="shared" si="8"/>
        <v>insert into ins_premium_det (premium_rcv_code,assorted_code, rec_amount,premium_rcv_detail_code,remaining_amt, payrec, mode_code,coinsurance_code,class_cd,it_remarks) values</v>
      </c>
      <c r="G151" s="29" t="str">
        <f t="shared" si="10"/>
        <v>('29Nov240034','070000168097','61088',(select max(to_number(i.premium_rcv_detail_code))+1
from ins_premium_det i),'61088','61088','02', '11000003','00','Request by Mr. Reheel Malik 02-Dec-2024');</v>
      </c>
      <c r="H151" s="30" t="str">
        <f t="shared" si="11"/>
        <v>insert into ins_premium_det (premium_rcv_code,assorted_code, rec_amount,premium_rcv_detail_code,remaining_amt, payrec, mode_code,coinsurance_code,class_cd,it_remarks) values('29Nov240034','070000168097','61088',(select max(to_number(i.premium_rcv_detail_code))+1
from ins_premium_det i),'61088','61088','02', '11000003','00','Request by Mr. Reheel Malik 02-Dec-2024');</v>
      </c>
    </row>
    <row r="152" spans="1:8" ht="105" x14ac:dyDescent="0.25">
      <c r="A152" s="18" t="s">
        <v>6040</v>
      </c>
      <c r="B152" s="26" t="str">
        <f>VLOOKUP(A152,policy!B:C,2,0)</f>
        <v>070000168099</v>
      </c>
      <c r="C152" s="31">
        <v>29756</v>
      </c>
      <c r="D152" s="27">
        <f t="shared" si="9"/>
        <v>29756</v>
      </c>
      <c r="E152" s="25" t="s">
        <v>6906</v>
      </c>
      <c r="F152" s="28" t="str">
        <f t="shared" si="8"/>
        <v>insert into ins_premium_det (premium_rcv_code,assorted_code, rec_amount,premium_rcv_detail_code,remaining_amt, payrec, mode_code,coinsurance_code,class_cd,it_remarks) values</v>
      </c>
      <c r="G152" s="29" t="str">
        <f t="shared" si="10"/>
        <v>('29Nov240034','070000168099','29756',(select max(to_number(i.premium_rcv_detail_code))+1
from ins_premium_det i),'29756','29756','02', '11000003','00','Request by Mr. Reheel Malik 02-Dec-2024');</v>
      </c>
      <c r="H152" s="30" t="str">
        <f t="shared" si="11"/>
        <v>insert into ins_premium_det (premium_rcv_code,assorted_code, rec_amount,premium_rcv_detail_code,remaining_amt, payrec, mode_code,coinsurance_code,class_cd,it_remarks) values('29Nov240034','070000168099','29756',(select max(to_number(i.premium_rcv_detail_code))+1
from ins_premium_det i),'29756','29756','02', '11000003','00','Request by Mr. Reheel Malik 02-Dec-2024');</v>
      </c>
    </row>
    <row r="153" spans="1:8" ht="105" x14ac:dyDescent="0.25">
      <c r="A153" s="19" t="s">
        <v>6041</v>
      </c>
      <c r="B153" s="26" t="str">
        <f>VLOOKUP(A153,policy!B:C,2,0)</f>
        <v>070000168102</v>
      </c>
      <c r="C153" s="32">
        <v>39855</v>
      </c>
      <c r="D153" s="27">
        <f t="shared" si="9"/>
        <v>39855</v>
      </c>
      <c r="E153" s="25" t="s">
        <v>6906</v>
      </c>
      <c r="F153" s="28" t="str">
        <f t="shared" si="8"/>
        <v>insert into ins_premium_det (premium_rcv_code,assorted_code, rec_amount,premium_rcv_detail_code,remaining_amt, payrec, mode_code,coinsurance_code,class_cd,it_remarks) values</v>
      </c>
      <c r="G153" s="29" t="str">
        <f t="shared" si="10"/>
        <v>('29Nov240034','070000168102','39855',(select max(to_number(i.premium_rcv_detail_code))+1
from ins_premium_det i),'39855','39855','02', '11000003','00','Request by Mr. Reheel Malik 02-Dec-2024');</v>
      </c>
      <c r="H153" s="30" t="str">
        <f t="shared" si="11"/>
        <v>insert into ins_premium_det (premium_rcv_code,assorted_code, rec_amount,premium_rcv_detail_code,remaining_amt, payrec, mode_code,coinsurance_code,class_cd,it_remarks) values('29Nov240034','070000168102','39855',(select max(to_number(i.premium_rcv_detail_code))+1
from ins_premium_det i),'39855','39855','02', '11000003','00','Request by Mr. Reheel Malik 02-Dec-2024');</v>
      </c>
    </row>
    <row r="154" spans="1:8" ht="105" x14ac:dyDescent="0.25">
      <c r="A154" s="18" t="s">
        <v>6042</v>
      </c>
      <c r="B154" s="26" t="str">
        <f>VLOOKUP(A154,policy!B:C,2,0)</f>
        <v>070000168103</v>
      </c>
      <c r="C154" s="31">
        <v>31125</v>
      </c>
      <c r="D154" s="27">
        <f t="shared" si="9"/>
        <v>31125</v>
      </c>
      <c r="E154" s="25" t="s">
        <v>6906</v>
      </c>
      <c r="F154" s="28" t="str">
        <f t="shared" si="8"/>
        <v>insert into ins_premium_det (premium_rcv_code,assorted_code, rec_amount,premium_rcv_detail_code,remaining_amt, payrec, mode_code,coinsurance_code,class_cd,it_remarks) values</v>
      </c>
      <c r="G154" s="29" t="str">
        <f t="shared" si="10"/>
        <v>('29Nov240034','070000168103','31125',(select max(to_number(i.premium_rcv_detail_code))+1
from ins_premium_det i),'31125','31125','02', '11000003','00','Request by Mr. Reheel Malik 02-Dec-2024');</v>
      </c>
      <c r="H154" s="30" t="str">
        <f t="shared" si="11"/>
        <v>insert into ins_premium_det (premium_rcv_code,assorted_code, rec_amount,premium_rcv_detail_code,remaining_amt, payrec, mode_code,coinsurance_code,class_cd,it_remarks) values('29Nov240034','070000168103','31125',(select max(to_number(i.premium_rcv_detail_code))+1
from ins_premium_det i),'31125','31125','02', '11000003','00','Request by Mr. Reheel Malik 02-Dec-2024');</v>
      </c>
    </row>
    <row r="155" spans="1:8" ht="105" x14ac:dyDescent="0.25">
      <c r="A155" s="19" t="s">
        <v>6043</v>
      </c>
      <c r="B155" s="26" t="str">
        <f>VLOOKUP(A155,policy!B:C,2,0)</f>
        <v>070000168104</v>
      </c>
      <c r="C155" s="32">
        <v>25950</v>
      </c>
      <c r="D155" s="27">
        <f t="shared" si="9"/>
        <v>25950</v>
      </c>
      <c r="E155" s="25" t="s">
        <v>6906</v>
      </c>
      <c r="F155" s="28" t="str">
        <f t="shared" si="8"/>
        <v>insert into ins_premium_det (premium_rcv_code,assorted_code, rec_amount,premium_rcv_detail_code,remaining_amt, payrec, mode_code,coinsurance_code,class_cd,it_remarks) values</v>
      </c>
      <c r="G155" s="29" t="str">
        <f t="shared" si="10"/>
        <v>('29Nov240034','070000168104','25950',(select max(to_number(i.premium_rcv_detail_code))+1
from ins_premium_det i),'25950','25950','02', '11000003','00','Request by Mr. Reheel Malik 02-Dec-2024');</v>
      </c>
      <c r="H155" s="30" t="str">
        <f t="shared" si="11"/>
        <v>insert into ins_premium_det (premium_rcv_code,assorted_code, rec_amount,premium_rcv_detail_code,remaining_amt, payrec, mode_code,coinsurance_code,class_cd,it_remarks) values('29Nov240034','070000168104','25950',(select max(to_number(i.premium_rcv_detail_code))+1
from ins_premium_det i),'25950','25950','02', '11000003','00','Request by Mr. Reheel Malik 02-Dec-2024');</v>
      </c>
    </row>
    <row r="156" spans="1:8" ht="105" x14ac:dyDescent="0.25">
      <c r="A156" s="18" t="s">
        <v>6044</v>
      </c>
      <c r="B156" s="26" t="str">
        <f>VLOOKUP(A156,policy!B:C,2,0)</f>
        <v>070000168106</v>
      </c>
      <c r="C156" s="31">
        <v>41972</v>
      </c>
      <c r="D156" s="27">
        <f t="shared" si="9"/>
        <v>41972</v>
      </c>
      <c r="E156" s="25" t="s">
        <v>6906</v>
      </c>
      <c r="F156" s="28" t="str">
        <f t="shared" si="8"/>
        <v>insert into ins_premium_det (premium_rcv_code,assorted_code, rec_amount,premium_rcv_detail_code,remaining_amt, payrec, mode_code,coinsurance_code,class_cd,it_remarks) values</v>
      </c>
      <c r="G156" s="29" t="str">
        <f t="shared" si="10"/>
        <v>('29Nov240034','070000168106','41972',(select max(to_number(i.premium_rcv_detail_code))+1
from ins_premium_det i),'41972','41972','02', '11000003','00','Request by Mr. Reheel Malik 02-Dec-2024');</v>
      </c>
      <c r="H156" s="30" t="str">
        <f t="shared" si="11"/>
        <v>insert into ins_premium_det (premium_rcv_code,assorted_code, rec_amount,premium_rcv_detail_code,remaining_amt, payrec, mode_code,coinsurance_code,class_cd,it_remarks) values('29Nov240034','070000168106','41972',(select max(to_number(i.premium_rcv_detail_code))+1
from ins_premium_det i),'41972','41972','02', '11000003','00','Request by Mr. Reheel Malik 02-Dec-2024');</v>
      </c>
    </row>
    <row r="157" spans="1:8" ht="105" x14ac:dyDescent="0.25">
      <c r="A157" s="19" t="s">
        <v>6045</v>
      </c>
      <c r="B157" s="26" t="str">
        <f>VLOOKUP(A157,policy!B:C,2,0)</f>
        <v>070000168107</v>
      </c>
      <c r="C157" s="32">
        <v>57364</v>
      </c>
      <c r="D157" s="27">
        <f t="shared" si="9"/>
        <v>57364</v>
      </c>
      <c r="E157" s="25" t="s">
        <v>6906</v>
      </c>
      <c r="F157" s="28" t="str">
        <f t="shared" si="8"/>
        <v>insert into ins_premium_det (premium_rcv_code,assorted_code, rec_amount,premium_rcv_detail_code,remaining_amt, payrec, mode_code,coinsurance_code,class_cd,it_remarks) values</v>
      </c>
      <c r="G157" s="29" t="str">
        <f t="shared" si="10"/>
        <v>('29Nov240034','070000168107','57364',(select max(to_number(i.premium_rcv_detail_code))+1
from ins_premium_det i),'57364','57364','02', '11000003','00','Request by Mr. Reheel Malik 02-Dec-2024');</v>
      </c>
      <c r="H157" s="30" t="str">
        <f t="shared" si="11"/>
        <v>insert into ins_premium_det (premium_rcv_code,assorted_code, rec_amount,premium_rcv_detail_code,remaining_amt, payrec, mode_code,coinsurance_code,class_cd,it_remarks) values('29Nov240034','070000168107','57364',(select max(to_number(i.premium_rcv_detail_code))+1
from ins_premium_det i),'57364','57364','02', '11000003','00','Request by Mr. Reheel Malik 02-Dec-2024');</v>
      </c>
    </row>
    <row r="158" spans="1:8" ht="105" x14ac:dyDescent="0.25">
      <c r="A158" s="18" t="s">
        <v>6046</v>
      </c>
      <c r="B158" s="26" t="str">
        <f>VLOOKUP(A158,policy!B:C,2,0)</f>
        <v>070000168108</v>
      </c>
      <c r="C158" s="31">
        <v>55496</v>
      </c>
      <c r="D158" s="27">
        <f t="shared" si="9"/>
        <v>55496</v>
      </c>
      <c r="E158" s="25" t="s">
        <v>6906</v>
      </c>
      <c r="F158" s="28" t="str">
        <f t="shared" si="8"/>
        <v>insert into ins_premium_det (premium_rcv_code,assorted_code, rec_amount,premium_rcv_detail_code,remaining_amt, payrec, mode_code,coinsurance_code,class_cd,it_remarks) values</v>
      </c>
      <c r="G158" s="29" t="str">
        <f t="shared" si="10"/>
        <v>('29Nov240034','070000168108','55496',(select max(to_number(i.premium_rcv_detail_code))+1
from ins_premium_det i),'55496','55496','02', '11000003','00','Request by Mr. Reheel Malik 02-Dec-2024');</v>
      </c>
      <c r="H158" s="30" t="str">
        <f t="shared" si="11"/>
        <v>insert into ins_premium_det (premium_rcv_code,assorted_code, rec_amount,premium_rcv_detail_code,remaining_amt, payrec, mode_code,coinsurance_code,class_cd,it_remarks) values('29Nov240034','070000168108','55496',(select max(to_number(i.premium_rcv_detail_code))+1
from ins_premium_det i),'55496','55496','02', '11000003','00','Request by Mr. Reheel Malik 02-Dec-2024');</v>
      </c>
    </row>
    <row r="159" spans="1:8" ht="105" x14ac:dyDescent="0.25">
      <c r="A159" s="19" t="s">
        <v>6047</v>
      </c>
      <c r="B159" s="26" t="str">
        <f>VLOOKUP(A159,policy!B:C,2,0)</f>
        <v>070000168200</v>
      </c>
      <c r="C159" s="32">
        <v>24864</v>
      </c>
      <c r="D159" s="27">
        <f t="shared" si="9"/>
        <v>24864</v>
      </c>
      <c r="E159" s="25" t="s">
        <v>6906</v>
      </c>
      <c r="F159" s="28" t="str">
        <f t="shared" si="8"/>
        <v>insert into ins_premium_det (premium_rcv_code,assorted_code, rec_amount,premium_rcv_detail_code,remaining_amt, payrec, mode_code,coinsurance_code,class_cd,it_remarks) values</v>
      </c>
      <c r="G159" s="29" t="str">
        <f t="shared" si="10"/>
        <v>('29Nov240034','070000168200','24864',(select max(to_number(i.premium_rcv_detail_code))+1
from ins_premium_det i),'24864','24864','02', '11000003','00','Request by Mr. Reheel Malik 02-Dec-2024');</v>
      </c>
      <c r="H159" s="30" t="str">
        <f t="shared" si="11"/>
        <v>insert into ins_premium_det (premium_rcv_code,assorted_code, rec_amount,premium_rcv_detail_code,remaining_amt, payrec, mode_code,coinsurance_code,class_cd,it_remarks) values('29Nov240034','070000168200','24864',(select max(to_number(i.premium_rcv_detail_code))+1
from ins_premium_det i),'24864','24864','02', '11000003','00','Request by Mr. Reheel Malik 02-Dec-2024');</v>
      </c>
    </row>
    <row r="160" spans="1:8" ht="105" x14ac:dyDescent="0.25">
      <c r="A160" s="18" t="s">
        <v>6048</v>
      </c>
      <c r="B160" s="26" t="str">
        <f>VLOOKUP(A160,policy!B:C,2,0)</f>
        <v>070000168202</v>
      </c>
      <c r="C160" s="31">
        <v>26480</v>
      </c>
      <c r="D160" s="27">
        <f t="shared" si="9"/>
        <v>26480</v>
      </c>
      <c r="E160" s="25" t="s">
        <v>6906</v>
      </c>
      <c r="F160" s="28" t="str">
        <f t="shared" si="8"/>
        <v>insert into ins_premium_det (premium_rcv_code,assorted_code, rec_amount,premium_rcv_detail_code,remaining_amt, payrec, mode_code,coinsurance_code,class_cd,it_remarks) values</v>
      </c>
      <c r="G160" s="29" t="str">
        <f t="shared" si="10"/>
        <v>('29Nov240034','070000168202','26480',(select max(to_number(i.premium_rcv_detail_code))+1
from ins_premium_det i),'26480','26480','02', '11000003','00','Request by Mr. Reheel Malik 02-Dec-2024');</v>
      </c>
      <c r="H160" s="30" t="str">
        <f t="shared" si="11"/>
        <v>insert into ins_premium_det (premium_rcv_code,assorted_code, rec_amount,premium_rcv_detail_code,remaining_amt, payrec, mode_code,coinsurance_code,class_cd,it_remarks) values('29Nov240034','070000168202','26480',(select max(to_number(i.premium_rcv_detail_code))+1
from ins_premium_det i),'26480','26480','02', '11000003','00','Request by Mr. Reheel Malik 02-Dec-2024');</v>
      </c>
    </row>
    <row r="161" spans="1:8" ht="105" x14ac:dyDescent="0.25">
      <c r="A161" s="19" t="s">
        <v>6049</v>
      </c>
      <c r="B161" s="26" t="str">
        <f>VLOOKUP(A161,policy!B:C,2,0)</f>
        <v>070000168109</v>
      </c>
      <c r="C161" s="32">
        <v>36750</v>
      </c>
      <c r="D161" s="27">
        <f t="shared" si="9"/>
        <v>36750</v>
      </c>
      <c r="E161" s="25" t="s">
        <v>6906</v>
      </c>
      <c r="F161" s="28" t="str">
        <f t="shared" si="8"/>
        <v>insert into ins_premium_det (premium_rcv_code,assorted_code, rec_amount,premium_rcv_detail_code,remaining_amt, payrec, mode_code,coinsurance_code,class_cd,it_remarks) values</v>
      </c>
      <c r="G161" s="29" t="str">
        <f t="shared" si="10"/>
        <v>('29Nov240034','070000168109','36750',(select max(to_number(i.premium_rcv_detail_code))+1
from ins_premium_det i),'36750','36750','02', '11000003','00','Request by Mr. Reheel Malik 02-Dec-2024');</v>
      </c>
      <c r="H161" s="30" t="str">
        <f t="shared" si="11"/>
        <v>insert into ins_premium_det (premium_rcv_code,assorted_code, rec_amount,premium_rcv_detail_code,remaining_amt, payrec, mode_code,coinsurance_code,class_cd,it_remarks) values('29Nov240034','070000168109','36750',(select max(to_number(i.premium_rcv_detail_code))+1
from ins_premium_det i),'36750','36750','02', '11000003','00','Request by Mr. Reheel Malik 02-Dec-2024');</v>
      </c>
    </row>
    <row r="162" spans="1:8" ht="105" x14ac:dyDescent="0.25">
      <c r="A162" s="18" t="s">
        <v>6050</v>
      </c>
      <c r="B162" s="26" t="str">
        <f>VLOOKUP(A162,policy!B:C,2,0)</f>
        <v>070000168204</v>
      </c>
      <c r="C162" s="31">
        <v>26480</v>
      </c>
      <c r="D162" s="27">
        <f t="shared" si="9"/>
        <v>26480</v>
      </c>
      <c r="E162" s="25" t="s">
        <v>6906</v>
      </c>
      <c r="F162" s="28" t="str">
        <f t="shared" si="8"/>
        <v>insert into ins_premium_det (premium_rcv_code,assorted_code, rec_amount,premium_rcv_detail_code,remaining_amt, payrec, mode_code,coinsurance_code,class_cd,it_remarks) values</v>
      </c>
      <c r="G162" s="29" t="str">
        <f t="shared" si="10"/>
        <v>('29Nov240034','070000168204','26480',(select max(to_number(i.premium_rcv_detail_code))+1
from ins_premium_det i),'26480','26480','02', '11000003','00','Request by Mr. Reheel Malik 02-Dec-2024');</v>
      </c>
      <c r="H162" s="30" t="str">
        <f t="shared" si="11"/>
        <v>insert into ins_premium_det (premium_rcv_code,assorted_code, rec_amount,premium_rcv_detail_code,remaining_amt, payrec, mode_code,coinsurance_code,class_cd,it_remarks) values('29Nov240034','070000168204','26480',(select max(to_number(i.premium_rcv_detail_code))+1
from ins_premium_det i),'26480','26480','02', '11000003','00','Request by Mr. Reheel Malik 02-Dec-2024');</v>
      </c>
    </row>
    <row r="163" spans="1:8" ht="105" x14ac:dyDescent="0.25">
      <c r="A163" s="19" t="s">
        <v>6051</v>
      </c>
      <c r="B163" s="26" t="str">
        <f>VLOOKUP(A163,policy!B:C,2,0)</f>
        <v>070000168111</v>
      </c>
      <c r="C163" s="32">
        <v>59723</v>
      </c>
      <c r="D163" s="27">
        <f t="shared" si="9"/>
        <v>59723</v>
      </c>
      <c r="E163" s="25" t="s">
        <v>6906</v>
      </c>
      <c r="F163" s="28" t="str">
        <f t="shared" si="8"/>
        <v>insert into ins_premium_det (premium_rcv_code,assorted_code, rec_amount,premium_rcv_detail_code,remaining_amt, payrec, mode_code,coinsurance_code,class_cd,it_remarks) values</v>
      </c>
      <c r="G163" s="29" t="str">
        <f t="shared" si="10"/>
        <v>('29Nov240034','070000168111','59723',(select max(to_number(i.premium_rcv_detail_code))+1
from ins_premium_det i),'59723','59723','02', '11000003','00','Request by Mr. Reheel Malik 02-Dec-2024');</v>
      </c>
      <c r="H163" s="30" t="str">
        <f t="shared" si="11"/>
        <v>insert into ins_premium_det (premium_rcv_code,assorted_code, rec_amount,premium_rcv_detail_code,remaining_amt, payrec, mode_code,coinsurance_code,class_cd,it_remarks) values('29Nov240034','070000168111','59723',(select max(to_number(i.premium_rcv_detail_code))+1
from ins_premium_det i),'59723','59723','02', '11000003','00','Request by Mr. Reheel Malik 02-Dec-2024');</v>
      </c>
    </row>
    <row r="164" spans="1:8" ht="105" x14ac:dyDescent="0.25">
      <c r="A164" s="18" t="s">
        <v>6052</v>
      </c>
      <c r="B164" s="26" t="str">
        <f>VLOOKUP(A164,policy!B:C,2,0)</f>
        <v>070000168112</v>
      </c>
      <c r="C164" s="31">
        <v>51900</v>
      </c>
      <c r="D164" s="27">
        <f t="shared" si="9"/>
        <v>51900</v>
      </c>
      <c r="E164" s="25" t="s">
        <v>6906</v>
      </c>
      <c r="F164" s="28" t="str">
        <f t="shared" si="8"/>
        <v>insert into ins_premium_det (premium_rcv_code,assorted_code, rec_amount,premium_rcv_detail_code,remaining_amt, payrec, mode_code,coinsurance_code,class_cd,it_remarks) values</v>
      </c>
      <c r="G164" s="29" t="str">
        <f t="shared" si="10"/>
        <v>('29Nov240034','070000168112','51900',(select max(to_number(i.premium_rcv_detail_code))+1
from ins_premium_det i),'51900','51900','02', '11000003','00','Request by Mr. Reheel Malik 02-Dec-2024');</v>
      </c>
      <c r="H164" s="30" t="str">
        <f t="shared" si="11"/>
        <v>insert into ins_premium_det (premium_rcv_code,assorted_code, rec_amount,premium_rcv_detail_code,remaining_amt, payrec, mode_code,coinsurance_code,class_cd,it_remarks) values('29Nov240034','070000168112','51900',(select max(to_number(i.premium_rcv_detail_code))+1
from ins_premium_det i),'51900','51900','02', '11000003','00','Request by Mr. Reheel Malik 02-Dec-2024');</v>
      </c>
    </row>
    <row r="165" spans="1:8" ht="105" x14ac:dyDescent="0.25">
      <c r="A165" s="19" t="s">
        <v>6053</v>
      </c>
      <c r="B165" s="26" t="str">
        <f>VLOOKUP(A165,policy!B:C,2,0)</f>
        <v>070000168116</v>
      </c>
      <c r="C165" s="32">
        <v>38610</v>
      </c>
      <c r="D165" s="27">
        <f t="shared" si="9"/>
        <v>38610</v>
      </c>
      <c r="E165" s="25" t="s">
        <v>6906</v>
      </c>
      <c r="F165" s="28" t="str">
        <f t="shared" si="8"/>
        <v>insert into ins_premium_det (premium_rcv_code,assorted_code, rec_amount,premium_rcv_detail_code,remaining_amt, payrec, mode_code,coinsurance_code,class_cd,it_remarks) values</v>
      </c>
      <c r="G165" s="29" t="str">
        <f t="shared" si="10"/>
        <v>('29Nov240034','070000168116','38610',(select max(to_number(i.premium_rcv_detail_code))+1
from ins_premium_det i),'38610','38610','02', '11000003','00','Request by Mr. Reheel Malik 02-Dec-2024');</v>
      </c>
      <c r="H165" s="30" t="str">
        <f t="shared" si="11"/>
        <v>insert into ins_premium_det (premium_rcv_code,assorted_code, rec_amount,premium_rcv_detail_code,remaining_amt, payrec, mode_code,coinsurance_code,class_cd,it_remarks) values('29Nov240034','070000168116','38610',(select max(to_number(i.premium_rcv_detail_code))+1
from ins_premium_det i),'38610','38610','02', '11000003','00','Request by Mr. Reheel Malik 02-Dec-2024');</v>
      </c>
    </row>
    <row r="166" spans="1:8" ht="105" x14ac:dyDescent="0.25">
      <c r="A166" s="18" t="s">
        <v>6054</v>
      </c>
      <c r="B166" s="26" t="str">
        <f>VLOOKUP(A166,policy!B:C,2,0)</f>
        <v>070000168122</v>
      </c>
      <c r="C166" s="31">
        <v>38610</v>
      </c>
      <c r="D166" s="27">
        <f t="shared" si="9"/>
        <v>38610</v>
      </c>
      <c r="E166" s="25" t="s">
        <v>6906</v>
      </c>
      <c r="F166" s="28" t="str">
        <f t="shared" si="8"/>
        <v>insert into ins_premium_det (premium_rcv_code,assorted_code, rec_amount,premium_rcv_detail_code,remaining_amt, payrec, mode_code,coinsurance_code,class_cd,it_remarks) values</v>
      </c>
      <c r="G166" s="29" t="str">
        <f t="shared" si="10"/>
        <v>('29Nov240034','070000168122','38610',(select max(to_number(i.premium_rcv_detail_code))+1
from ins_premium_det i),'38610','38610','02', '11000003','00','Request by Mr. Reheel Malik 02-Dec-2024');</v>
      </c>
      <c r="H166" s="30" t="str">
        <f t="shared" si="11"/>
        <v>insert into ins_premium_det (premium_rcv_code,assorted_code, rec_amount,premium_rcv_detail_code,remaining_amt, payrec, mode_code,coinsurance_code,class_cd,it_remarks) values('29Nov240034','070000168122','38610',(select max(to_number(i.premium_rcv_detail_code))+1
from ins_premium_det i),'38610','38610','02', '11000003','00','Request by Mr. Reheel Malik 02-Dec-2024');</v>
      </c>
    </row>
    <row r="167" spans="1:8" ht="105" x14ac:dyDescent="0.25">
      <c r="A167" s="19" t="s">
        <v>6055</v>
      </c>
      <c r="B167" s="26" t="str">
        <f>VLOOKUP(A167,policy!B:C,2,0)</f>
        <v>070000168210</v>
      </c>
      <c r="C167" s="32">
        <v>52080</v>
      </c>
      <c r="D167" s="27">
        <f t="shared" si="9"/>
        <v>52080</v>
      </c>
      <c r="E167" s="25" t="s">
        <v>6906</v>
      </c>
      <c r="F167" s="28" t="str">
        <f t="shared" si="8"/>
        <v>insert into ins_premium_det (premium_rcv_code,assorted_code, rec_amount,premium_rcv_detail_code,remaining_amt, payrec, mode_code,coinsurance_code,class_cd,it_remarks) values</v>
      </c>
      <c r="G167" s="29" t="str">
        <f t="shared" si="10"/>
        <v>('29Nov240034','070000168210','52080',(select max(to_number(i.premium_rcv_detail_code))+1
from ins_premium_det i),'52080','52080','02', '11000003','00','Request by Mr. Reheel Malik 02-Dec-2024');</v>
      </c>
      <c r="H167" s="30" t="str">
        <f t="shared" si="11"/>
        <v>insert into ins_premium_det (premium_rcv_code,assorted_code, rec_amount,premium_rcv_detail_code,remaining_amt, payrec, mode_code,coinsurance_code,class_cd,it_remarks) values('29Nov240034','070000168210','52080',(select max(to_number(i.premium_rcv_detail_code))+1
from ins_premium_det i),'52080','52080','02', '11000003','00','Request by Mr. Reheel Malik 02-Dec-2024');</v>
      </c>
    </row>
    <row r="168" spans="1:8" ht="105" x14ac:dyDescent="0.25">
      <c r="A168" s="18" t="s">
        <v>6056</v>
      </c>
      <c r="B168" s="26" t="str">
        <f>VLOOKUP(A168,policy!B:C,2,0)</f>
        <v>070000168211</v>
      </c>
      <c r="C168" s="31">
        <v>46928</v>
      </c>
      <c r="D168" s="27">
        <f t="shared" si="9"/>
        <v>46928</v>
      </c>
      <c r="E168" s="25" t="s">
        <v>6906</v>
      </c>
      <c r="F168" s="28" t="str">
        <f t="shared" si="8"/>
        <v>insert into ins_premium_det (premium_rcv_code,assorted_code, rec_amount,premium_rcv_detail_code,remaining_amt, payrec, mode_code,coinsurance_code,class_cd,it_remarks) values</v>
      </c>
      <c r="G168" s="29" t="str">
        <f t="shared" si="10"/>
        <v>('29Nov240034','070000168211','46928',(select max(to_number(i.premium_rcv_detail_code))+1
from ins_premium_det i),'46928','46928','02', '11000003','00','Request by Mr. Reheel Malik 02-Dec-2024');</v>
      </c>
      <c r="H168" s="30" t="str">
        <f t="shared" si="11"/>
        <v>insert into ins_premium_det (premium_rcv_code,assorted_code, rec_amount,premium_rcv_detail_code,remaining_amt, payrec, mode_code,coinsurance_code,class_cd,it_remarks) values('29Nov240034','070000168211','46928',(select max(to_number(i.premium_rcv_detail_code))+1
from ins_premium_det i),'46928','46928','02', '11000003','00','Request by Mr. Reheel Malik 02-Dec-2024');</v>
      </c>
    </row>
    <row r="169" spans="1:8" ht="105" x14ac:dyDescent="0.25">
      <c r="A169" s="19" t="s">
        <v>6057</v>
      </c>
      <c r="B169" s="26" t="str">
        <f>VLOOKUP(A169,policy!B:C,2,0)</f>
        <v>070000168212</v>
      </c>
      <c r="C169" s="32">
        <v>52080</v>
      </c>
      <c r="D169" s="27">
        <f t="shared" si="9"/>
        <v>52080</v>
      </c>
      <c r="E169" s="25" t="s">
        <v>6906</v>
      </c>
      <c r="F169" s="28" t="str">
        <f t="shared" si="8"/>
        <v>insert into ins_premium_det (premium_rcv_code,assorted_code, rec_amount,premium_rcv_detail_code,remaining_amt, payrec, mode_code,coinsurance_code,class_cd,it_remarks) values</v>
      </c>
      <c r="G169" s="29" t="str">
        <f t="shared" si="10"/>
        <v>('29Nov240034','070000168212','52080',(select max(to_number(i.premium_rcv_detail_code))+1
from ins_premium_det i),'52080','52080','02', '11000003','00','Request by Mr. Reheel Malik 02-Dec-2024');</v>
      </c>
      <c r="H169" s="30" t="str">
        <f t="shared" si="11"/>
        <v>insert into ins_premium_det (premium_rcv_code,assorted_code, rec_amount,premium_rcv_detail_code,remaining_amt, payrec, mode_code,coinsurance_code,class_cd,it_remarks) values('29Nov240034','070000168212','52080',(select max(to_number(i.premium_rcv_detail_code))+1
from ins_premium_det i),'52080','52080','02', '11000003','00','Request by Mr. Reheel Malik 02-Dec-2024');</v>
      </c>
    </row>
    <row r="170" spans="1:8" ht="105" x14ac:dyDescent="0.25">
      <c r="A170" s="18" t="s">
        <v>6058</v>
      </c>
      <c r="B170" s="26" t="str">
        <f>VLOOKUP(A170,policy!B:C,2,0)</f>
        <v>070000168213</v>
      </c>
      <c r="C170" s="31">
        <v>52528</v>
      </c>
      <c r="D170" s="27">
        <f t="shared" si="9"/>
        <v>52528</v>
      </c>
      <c r="E170" s="25" t="s">
        <v>6906</v>
      </c>
      <c r="F170" s="28" t="str">
        <f t="shared" si="8"/>
        <v>insert into ins_premium_det (premium_rcv_code,assorted_code, rec_amount,premium_rcv_detail_code,remaining_amt, payrec, mode_code,coinsurance_code,class_cd,it_remarks) values</v>
      </c>
      <c r="G170" s="29" t="str">
        <f t="shared" si="10"/>
        <v>('29Nov240034','070000168213','52528',(select max(to_number(i.premium_rcv_detail_code))+1
from ins_premium_det i),'52528','52528','02', '11000003','00','Request by Mr. Reheel Malik 02-Dec-2024');</v>
      </c>
      <c r="H170" s="30" t="str">
        <f t="shared" si="11"/>
        <v>insert into ins_premium_det (premium_rcv_code,assorted_code, rec_amount,premium_rcv_detail_code,remaining_amt, payrec, mode_code,coinsurance_code,class_cd,it_remarks) values('29Nov240034','070000168213','52528',(select max(to_number(i.premium_rcv_detail_code))+1
from ins_premium_det i),'52528','52528','02', '11000003','00','Request by Mr. Reheel Malik 02-Dec-2024');</v>
      </c>
    </row>
    <row r="171" spans="1:8" ht="105" x14ac:dyDescent="0.25">
      <c r="A171" s="19" t="s">
        <v>6059</v>
      </c>
      <c r="B171" s="26" t="str">
        <f>VLOOKUP(A171,policy!B:C,2,0)</f>
        <v>070000168131</v>
      </c>
      <c r="C171" s="32">
        <v>38250</v>
      </c>
      <c r="D171" s="27">
        <f t="shared" si="9"/>
        <v>38250</v>
      </c>
      <c r="E171" s="25" t="s">
        <v>6906</v>
      </c>
      <c r="F171" s="28" t="str">
        <f t="shared" si="8"/>
        <v>insert into ins_premium_det (premium_rcv_code,assorted_code, rec_amount,premium_rcv_detail_code,remaining_amt, payrec, mode_code,coinsurance_code,class_cd,it_remarks) values</v>
      </c>
      <c r="G171" s="29" t="str">
        <f t="shared" si="10"/>
        <v>('29Nov240034','070000168131','38250',(select max(to_number(i.premium_rcv_detail_code))+1
from ins_premium_det i),'38250','38250','02', '11000003','00','Request by Mr. Reheel Malik 02-Dec-2024');</v>
      </c>
      <c r="H171" s="30" t="str">
        <f t="shared" si="11"/>
        <v>insert into ins_premium_det (premium_rcv_code,assorted_code, rec_amount,premium_rcv_detail_code,remaining_amt, payrec, mode_code,coinsurance_code,class_cd,it_remarks) values('29Nov240034','070000168131','38250',(select max(to_number(i.premium_rcv_detail_code))+1
from ins_premium_det i),'38250','38250','02', '11000003','00','Request by Mr. Reheel Malik 02-Dec-2024');</v>
      </c>
    </row>
    <row r="172" spans="1:8" ht="105" x14ac:dyDescent="0.25">
      <c r="A172" s="18" t="s">
        <v>6060</v>
      </c>
      <c r="B172" s="26" t="str">
        <f>VLOOKUP(A172,policy!B:C,2,0)</f>
        <v>070000168216</v>
      </c>
      <c r="C172" s="31">
        <v>24047</v>
      </c>
      <c r="D172" s="27">
        <f t="shared" si="9"/>
        <v>24047</v>
      </c>
      <c r="E172" s="25" t="s">
        <v>6906</v>
      </c>
      <c r="F172" s="28" t="str">
        <f t="shared" si="8"/>
        <v>insert into ins_premium_det (premium_rcv_code,assorted_code, rec_amount,premium_rcv_detail_code,remaining_amt, payrec, mode_code,coinsurance_code,class_cd,it_remarks) values</v>
      </c>
      <c r="G172" s="29" t="str">
        <f t="shared" si="10"/>
        <v>('29Nov240034','070000168216','24047',(select max(to_number(i.premium_rcv_detail_code))+1
from ins_premium_det i),'24047','24047','02', '11000003','00','Request by Mr. Reheel Malik 02-Dec-2024');</v>
      </c>
      <c r="H172" s="30" t="str">
        <f t="shared" si="11"/>
        <v>insert into ins_premium_det (premium_rcv_code,assorted_code, rec_amount,premium_rcv_detail_code,remaining_amt, payrec, mode_code,coinsurance_code,class_cd,it_remarks) values('29Nov240034','070000168216','24047',(select max(to_number(i.premium_rcv_detail_code))+1
from ins_premium_det i),'24047','24047','02', '11000003','00','Request by Mr. Reheel Malik 02-Dec-2024');</v>
      </c>
    </row>
    <row r="173" spans="1:8" ht="105" x14ac:dyDescent="0.25">
      <c r="A173" s="19" t="s">
        <v>6061</v>
      </c>
      <c r="B173" s="26" t="str">
        <f>VLOOKUP(A173,policy!B:C,2,0)</f>
        <v>070000168132</v>
      </c>
      <c r="C173" s="32">
        <v>41370</v>
      </c>
      <c r="D173" s="27">
        <f t="shared" si="9"/>
        <v>41370</v>
      </c>
      <c r="E173" s="25" t="s">
        <v>6906</v>
      </c>
      <c r="F173" s="28" t="str">
        <f t="shared" si="8"/>
        <v>insert into ins_premium_det (premium_rcv_code,assorted_code, rec_amount,premium_rcv_detail_code,remaining_amt, payrec, mode_code,coinsurance_code,class_cd,it_remarks) values</v>
      </c>
      <c r="G173" s="29" t="str">
        <f t="shared" si="10"/>
        <v>('29Nov240034','070000168132','41370',(select max(to_number(i.premium_rcv_detail_code))+1
from ins_premium_det i),'41370','41370','02', '11000003','00','Request by Mr. Reheel Malik 02-Dec-2024');</v>
      </c>
      <c r="H173" s="30" t="str">
        <f t="shared" si="11"/>
        <v>insert into ins_premium_det (premium_rcv_code,assorted_code, rec_amount,premium_rcv_detail_code,remaining_amt, payrec, mode_code,coinsurance_code,class_cd,it_remarks) values('29Nov240034','070000168132','41370',(select max(to_number(i.premium_rcv_detail_code))+1
from ins_premium_det i),'41370','41370','02', '11000003','00','Request by Mr. Reheel Malik 02-Dec-2024');</v>
      </c>
    </row>
    <row r="174" spans="1:8" ht="105" x14ac:dyDescent="0.25">
      <c r="A174" s="18" t="s">
        <v>6062</v>
      </c>
      <c r="B174" s="26" t="str">
        <f>VLOOKUP(A174,policy!B:C,2,0)</f>
        <v>070000168134</v>
      </c>
      <c r="C174" s="31">
        <v>25425</v>
      </c>
      <c r="D174" s="27">
        <f t="shared" si="9"/>
        <v>25425</v>
      </c>
      <c r="E174" s="25" t="s">
        <v>6906</v>
      </c>
      <c r="F174" s="28" t="str">
        <f t="shared" si="8"/>
        <v>insert into ins_premium_det (premium_rcv_code,assorted_code, rec_amount,premium_rcv_detail_code,remaining_amt, payrec, mode_code,coinsurance_code,class_cd,it_remarks) values</v>
      </c>
      <c r="G174" s="29" t="str">
        <f t="shared" si="10"/>
        <v>('29Nov240034','070000168134','25425',(select max(to_number(i.premium_rcv_detail_code))+1
from ins_premium_det i),'25425','25425','02', '11000003','00','Request by Mr. Reheel Malik 02-Dec-2024');</v>
      </c>
      <c r="H174" s="30" t="str">
        <f t="shared" si="11"/>
        <v>insert into ins_premium_det (premium_rcv_code,assorted_code, rec_amount,premium_rcv_detail_code,remaining_amt, payrec, mode_code,coinsurance_code,class_cd,it_remarks) values('29Nov240034','070000168134','25425',(select max(to_number(i.premium_rcv_detail_code))+1
from ins_premium_det i),'25425','25425','02', '11000003','00','Request by Mr. Reheel Malik 02-Dec-2024');</v>
      </c>
    </row>
    <row r="175" spans="1:8" ht="105" x14ac:dyDescent="0.25">
      <c r="A175" s="19" t="s">
        <v>6063</v>
      </c>
      <c r="B175" s="26" t="str">
        <f>VLOOKUP(A175,policy!B:C,2,0)</f>
        <v>070000168219</v>
      </c>
      <c r="C175" s="32">
        <v>56525</v>
      </c>
      <c r="D175" s="27">
        <f t="shared" si="9"/>
        <v>56525</v>
      </c>
      <c r="E175" s="25" t="s">
        <v>6906</v>
      </c>
      <c r="F175" s="28" t="str">
        <f t="shared" si="8"/>
        <v>insert into ins_premium_det (premium_rcv_code,assorted_code, rec_amount,premium_rcv_detail_code,remaining_amt, payrec, mode_code,coinsurance_code,class_cd,it_remarks) values</v>
      </c>
      <c r="G175" s="29" t="str">
        <f t="shared" si="10"/>
        <v>('29Nov240034','070000168219','56525',(select max(to_number(i.premium_rcv_detail_code))+1
from ins_premium_det i),'56525','56525','02', '11000003','00','Request by Mr. Reheel Malik 02-Dec-2024');</v>
      </c>
      <c r="H175" s="30" t="str">
        <f t="shared" si="11"/>
        <v>insert into ins_premium_det (premium_rcv_code,assorted_code, rec_amount,premium_rcv_detail_code,remaining_amt, payrec, mode_code,coinsurance_code,class_cd,it_remarks) values('29Nov240034','070000168219','56525',(select max(to_number(i.premium_rcv_detail_code))+1
from ins_premium_det i),'56525','56525','02', '11000003','00','Request by Mr. Reheel Malik 02-Dec-2024');</v>
      </c>
    </row>
    <row r="176" spans="1:8" ht="105" x14ac:dyDescent="0.25">
      <c r="A176" s="18" t="s">
        <v>6064</v>
      </c>
      <c r="B176" s="26" t="str">
        <f>VLOOKUP(A176,policy!B:C,2,0)</f>
        <v>070000168220</v>
      </c>
      <c r="C176" s="31">
        <v>53476</v>
      </c>
      <c r="D176" s="27">
        <f t="shared" si="9"/>
        <v>53476</v>
      </c>
      <c r="E176" s="25" t="s">
        <v>6906</v>
      </c>
      <c r="F176" s="28" t="str">
        <f t="shared" si="8"/>
        <v>insert into ins_premium_det (premium_rcv_code,assorted_code, rec_amount,premium_rcv_detail_code,remaining_amt, payrec, mode_code,coinsurance_code,class_cd,it_remarks) values</v>
      </c>
      <c r="G176" s="29" t="str">
        <f t="shared" si="10"/>
        <v>('29Nov240034','070000168220','53476',(select max(to_number(i.premium_rcv_detail_code))+1
from ins_premium_det i),'53476','53476','02', '11000003','00','Request by Mr. Reheel Malik 02-Dec-2024');</v>
      </c>
      <c r="H176" s="30" t="str">
        <f t="shared" si="11"/>
        <v>insert into ins_premium_det (premium_rcv_code,assorted_code, rec_amount,premium_rcv_detail_code,remaining_amt, payrec, mode_code,coinsurance_code,class_cd,it_remarks) values('29Nov240034','070000168220','53476',(select max(to_number(i.premium_rcv_detail_code))+1
from ins_premium_det i),'53476','53476','02', '11000003','00','Request by Mr. Reheel Malik 02-Dec-2024');</v>
      </c>
    </row>
    <row r="177" spans="1:8" ht="105" x14ac:dyDescent="0.25">
      <c r="A177" s="19" t="s">
        <v>6065</v>
      </c>
      <c r="B177" s="26" t="str">
        <f>VLOOKUP(A177,policy!B:C,2,0)</f>
        <v>070000168136</v>
      </c>
      <c r="C177" s="32">
        <v>23052</v>
      </c>
      <c r="D177" s="27">
        <f t="shared" si="9"/>
        <v>23052</v>
      </c>
      <c r="E177" s="25" t="s">
        <v>6906</v>
      </c>
      <c r="F177" s="28" t="str">
        <f t="shared" si="8"/>
        <v>insert into ins_premium_det (premium_rcv_code,assorted_code, rec_amount,premium_rcv_detail_code,remaining_amt, payrec, mode_code,coinsurance_code,class_cd,it_remarks) values</v>
      </c>
      <c r="G177" s="29" t="str">
        <f t="shared" si="10"/>
        <v>('29Nov240034','070000168136','23052',(select max(to_number(i.premium_rcv_detail_code))+1
from ins_premium_det i),'23052','23052','02', '11000003','00','Request by Mr. Reheel Malik 02-Dec-2024');</v>
      </c>
      <c r="H177" s="30" t="str">
        <f t="shared" si="11"/>
        <v>insert into ins_premium_det (premium_rcv_code,assorted_code, rec_amount,premium_rcv_detail_code,remaining_amt, payrec, mode_code,coinsurance_code,class_cd,it_remarks) values('29Nov240034','070000168136','23052',(select max(to_number(i.premium_rcv_detail_code))+1
from ins_premium_det i),'23052','23052','02', '11000003','00','Request by Mr. Reheel Malik 02-Dec-2024');</v>
      </c>
    </row>
    <row r="178" spans="1:8" ht="105" x14ac:dyDescent="0.25">
      <c r="A178" s="18" t="s">
        <v>6066</v>
      </c>
      <c r="B178" s="26" t="str">
        <f>VLOOKUP(A178,policy!B:C,2,0)</f>
        <v>070000168222</v>
      </c>
      <c r="C178" s="31">
        <v>60244</v>
      </c>
      <c r="D178" s="27">
        <f t="shared" si="9"/>
        <v>60244</v>
      </c>
      <c r="E178" s="25" t="s">
        <v>6906</v>
      </c>
      <c r="F178" s="28" t="str">
        <f t="shared" si="8"/>
        <v>insert into ins_premium_det (premium_rcv_code,assorted_code, rec_amount,premium_rcv_detail_code,remaining_amt, payrec, mode_code,coinsurance_code,class_cd,it_remarks) values</v>
      </c>
      <c r="G178" s="29" t="str">
        <f t="shared" si="10"/>
        <v>('29Nov240034','070000168222','60244',(select max(to_number(i.premium_rcv_detail_code))+1
from ins_premium_det i),'60244','60244','02', '11000003','00','Request by Mr. Reheel Malik 02-Dec-2024');</v>
      </c>
      <c r="H178" s="30" t="str">
        <f t="shared" si="11"/>
        <v>insert into ins_premium_det (premium_rcv_code,assorted_code, rec_amount,premium_rcv_detail_code,remaining_amt, payrec, mode_code,coinsurance_code,class_cd,it_remarks) values('29Nov240034','070000168222','60244',(select max(to_number(i.premium_rcv_detail_code))+1
from ins_premium_det i),'60244','60244','02', '11000003','00','Request by Mr. Reheel Malik 02-Dec-2024');</v>
      </c>
    </row>
    <row r="179" spans="1:8" ht="105" x14ac:dyDescent="0.25">
      <c r="A179" s="19" t="s">
        <v>6067</v>
      </c>
      <c r="B179" s="26" t="str">
        <f>VLOOKUP(A179,policy!B:C,2,0)</f>
        <v>070000168225</v>
      </c>
      <c r="C179" s="32">
        <v>38140</v>
      </c>
      <c r="D179" s="27">
        <f t="shared" si="9"/>
        <v>38140</v>
      </c>
      <c r="E179" s="25" t="s">
        <v>6906</v>
      </c>
      <c r="F179" s="28" t="str">
        <f t="shared" si="8"/>
        <v>insert into ins_premium_det (premium_rcv_code,assorted_code, rec_amount,premium_rcv_detail_code,remaining_amt, payrec, mode_code,coinsurance_code,class_cd,it_remarks) values</v>
      </c>
      <c r="G179" s="29" t="str">
        <f t="shared" si="10"/>
        <v>('29Nov240034','070000168225','38140',(select max(to_number(i.premium_rcv_detail_code))+1
from ins_premium_det i),'38140','38140','02', '11000003','00','Request by Mr. Reheel Malik 02-Dec-2024');</v>
      </c>
      <c r="H179" s="30" t="str">
        <f t="shared" si="11"/>
        <v>insert into ins_premium_det (premium_rcv_code,assorted_code, rec_amount,premium_rcv_detail_code,remaining_amt, payrec, mode_code,coinsurance_code,class_cd,it_remarks) values('29Nov240034','070000168225','38140',(select max(to_number(i.premium_rcv_detail_code))+1
from ins_premium_det i),'38140','38140','02', '11000003','00','Request by Mr. Reheel Malik 02-Dec-2024');</v>
      </c>
    </row>
    <row r="180" spans="1:8" ht="105" x14ac:dyDescent="0.25">
      <c r="A180" s="18" t="s">
        <v>6068</v>
      </c>
      <c r="B180" s="26" t="str">
        <f>VLOOKUP(A180,policy!B:C,2,0)</f>
        <v>070000168226</v>
      </c>
      <c r="C180" s="31">
        <v>31238</v>
      </c>
      <c r="D180" s="27">
        <f t="shared" si="9"/>
        <v>31238</v>
      </c>
      <c r="E180" s="25" t="s">
        <v>6906</v>
      </c>
      <c r="F180" s="28" t="str">
        <f t="shared" si="8"/>
        <v>insert into ins_premium_det (premium_rcv_code,assorted_code, rec_amount,premium_rcv_detail_code,remaining_amt, payrec, mode_code,coinsurance_code,class_cd,it_remarks) values</v>
      </c>
      <c r="G180" s="29" t="str">
        <f t="shared" si="10"/>
        <v>('29Nov240034','070000168226','31238',(select max(to_number(i.premium_rcv_detail_code))+1
from ins_premium_det i),'31238','31238','02', '11000003','00','Request by Mr. Reheel Malik 02-Dec-2024');</v>
      </c>
      <c r="H180" s="30" t="str">
        <f t="shared" si="11"/>
        <v>insert into ins_premium_det (premium_rcv_code,assorted_code, rec_amount,premium_rcv_detail_code,remaining_amt, payrec, mode_code,coinsurance_code,class_cd,it_remarks) values('29Nov240034','070000168226','31238',(select max(to_number(i.premium_rcv_detail_code))+1
from ins_premium_det i),'31238','31238','02', '11000003','00','Request by Mr. Reheel Malik 02-Dec-2024');</v>
      </c>
    </row>
    <row r="181" spans="1:8" ht="105" x14ac:dyDescent="0.25">
      <c r="A181" s="19" t="s">
        <v>6069</v>
      </c>
      <c r="B181" s="26" t="str">
        <f>VLOOKUP(A181,policy!B:C,2,0)</f>
        <v>070000168139</v>
      </c>
      <c r="C181" s="32">
        <v>44250</v>
      </c>
      <c r="D181" s="27">
        <f t="shared" si="9"/>
        <v>44250</v>
      </c>
      <c r="E181" s="25" t="s">
        <v>6906</v>
      </c>
      <c r="F181" s="28" t="str">
        <f t="shared" si="8"/>
        <v>insert into ins_premium_det (premium_rcv_code,assorted_code, rec_amount,premium_rcv_detail_code,remaining_amt, payrec, mode_code,coinsurance_code,class_cd,it_remarks) values</v>
      </c>
      <c r="G181" s="29" t="str">
        <f t="shared" si="10"/>
        <v>('29Nov240034','070000168139','44250',(select max(to_number(i.premium_rcv_detail_code))+1
from ins_premium_det i),'44250','44250','02', '11000003','00','Request by Mr. Reheel Malik 02-Dec-2024');</v>
      </c>
      <c r="H181" s="30" t="str">
        <f t="shared" si="11"/>
        <v>insert into ins_premium_det (premium_rcv_code,assorted_code, rec_amount,premium_rcv_detail_code,remaining_amt, payrec, mode_code,coinsurance_code,class_cd,it_remarks) values('29Nov240034','070000168139','44250',(select max(to_number(i.premium_rcv_detail_code))+1
from ins_premium_det i),'44250','44250','02', '11000003','00','Request by Mr. Reheel Malik 02-Dec-2024');</v>
      </c>
    </row>
    <row r="182" spans="1:8" ht="105" x14ac:dyDescent="0.25">
      <c r="A182" s="18" t="s">
        <v>6070</v>
      </c>
      <c r="B182" s="26" t="str">
        <f>VLOOKUP(A182,policy!B:C,2,0)</f>
        <v>070000168142</v>
      </c>
      <c r="C182" s="31">
        <v>29700</v>
      </c>
      <c r="D182" s="27">
        <f t="shared" si="9"/>
        <v>29700</v>
      </c>
      <c r="E182" s="25" t="s">
        <v>6906</v>
      </c>
      <c r="F182" s="28" t="str">
        <f t="shared" si="8"/>
        <v>insert into ins_premium_det (premium_rcv_code,assorted_code, rec_amount,premium_rcv_detail_code,remaining_amt, payrec, mode_code,coinsurance_code,class_cd,it_remarks) values</v>
      </c>
      <c r="G182" s="29" t="str">
        <f t="shared" si="10"/>
        <v>('29Nov240034','070000168142','29700',(select max(to_number(i.premium_rcv_detail_code))+1
from ins_premium_det i),'29700','29700','02', '11000003','00','Request by Mr. Reheel Malik 02-Dec-2024');</v>
      </c>
      <c r="H182" s="30" t="str">
        <f t="shared" si="11"/>
        <v>insert into ins_premium_det (premium_rcv_code,assorted_code, rec_amount,premium_rcv_detail_code,remaining_amt, payrec, mode_code,coinsurance_code,class_cd,it_remarks) values('29Nov240034','070000168142','29700',(select max(to_number(i.premium_rcv_detail_code))+1
from ins_premium_det i),'29700','29700','02', '11000003','00','Request by Mr. Reheel Malik 02-Dec-2024');</v>
      </c>
    </row>
    <row r="183" spans="1:8" ht="105" x14ac:dyDescent="0.25">
      <c r="A183" s="19" t="s">
        <v>6071</v>
      </c>
      <c r="B183" s="26" t="str">
        <f>VLOOKUP(A183,policy!B:C,2,0)</f>
        <v>070000168143</v>
      </c>
      <c r="C183" s="32">
        <v>48994</v>
      </c>
      <c r="D183" s="27">
        <f t="shared" si="9"/>
        <v>48994</v>
      </c>
      <c r="E183" s="25" t="s">
        <v>6906</v>
      </c>
      <c r="F183" s="28" t="str">
        <f t="shared" si="8"/>
        <v>insert into ins_premium_det (premium_rcv_code,assorted_code, rec_amount,premium_rcv_detail_code,remaining_amt, payrec, mode_code,coinsurance_code,class_cd,it_remarks) values</v>
      </c>
      <c r="G183" s="29" t="str">
        <f t="shared" si="10"/>
        <v>('29Nov240034','070000168143','48994',(select max(to_number(i.premium_rcv_detail_code))+1
from ins_premium_det i),'48994','48994','02', '11000003','00','Request by Mr. Reheel Malik 02-Dec-2024');</v>
      </c>
      <c r="H183" s="30" t="str">
        <f t="shared" si="11"/>
        <v>insert into ins_premium_det (premium_rcv_code,assorted_code, rec_amount,premium_rcv_detail_code,remaining_amt, payrec, mode_code,coinsurance_code,class_cd,it_remarks) values('29Nov240034','070000168143','48994',(select max(to_number(i.premium_rcv_detail_code))+1
from ins_premium_det i),'48994','48994','02', '11000003','00','Request by Mr. Reheel Malik 02-Dec-2024');</v>
      </c>
    </row>
    <row r="184" spans="1:8" ht="105" x14ac:dyDescent="0.25">
      <c r="A184" s="18" t="s">
        <v>6072</v>
      </c>
      <c r="B184" s="26" t="str">
        <f>VLOOKUP(A184,policy!B:C,2,0)</f>
        <v>070000168144</v>
      </c>
      <c r="C184" s="31">
        <v>87483</v>
      </c>
      <c r="D184" s="27">
        <f t="shared" si="9"/>
        <v>87483</v>
      </c>
      <c r="E184" s="25" t="s">
        <v>6906</v>
      </c>
      <c r="F184" s="28" t="str">
        <f t="shared" si="8"/>
        <v>insert into ins_premium_det (premium_rcv_code,assorted_code, rec_amount,premium_rcv_detail_code,remaining_amt, payrec, mode_code,coinsurance_code,class_cd,it_remarks) values</v>
      </c>
      <c r="G184" s="29" t="str">
        <f t="shared" si="10"/>
        <v>('29Nov240034','070000168144','87483',(select max(to_number(i.premium_rcv_detail_code))+1
from ins_premium_det i),'87483','87483','02', '11000003','00','Request by Mr. Reheel Malik 02-Dec-2024');</v>
      </c>
      <c r="H184" s="30" t="str">
        <f t="shared" si="11"/>
        <v>insert into ins_premium_det (premium_rcv_code,assorted_code, rec_amount,premium_rcv_detail_code,remaining_amt, payrec, mode_code,coinsurance_code,class_cd,it_remarks) values('29Nov240034','070000168144','87483',(select max(to_number(i.premium_rcv_detail_code))+1
from ins_premium_det i),'87483','87483','02', '11000003','00','Request by Mr. Reheel Malik 02-Dec-2024');</v>
      </c>
    </row>
    <row r="185" spans="1:8" ht="105" x14ac:dyDescent="0.25">
      <c r="A185" s="19" t="s">
        <v>6073</v>
      </c>
      <c r="B185" s="26" t="str">
        <f>VLOOKUP(A185,policy!B:C,2,0)</f>
        <v>070000168147</v>
      </c>
      <c r="C185" s="32">
        <v>59723</v>
      </c>
      <c r="D185" s="27">
        <f t="shared" si="9"/>
        <v>59723</v>
      </c>
      <c r="E185" s="25" t="s">
        <v>6906</v>
      </c>
      <c r="F185" s="28" t="str">
        <f t="shared" si="8"/>
        <v>insert into ins_premium_det (premium_rcv_code,assorted_code, rec_amount,premium_rcv_detail_code,remaining_amt, payrec, mode_code,coinsurance_code,class_cd,it_remarks) values</v>
      </c>
      <c r="G185" s="29" t="str">
        <f t="shared" si="10"/>
        <v>('29Nov240034','070000168147','59723',(select max(to_number(i.premium_rcv_detail_code))+1
from ins_premium_det i),'59723','59723','02', '11000003','00','Request by Mr. Reheel Malik 02-Dec-2024');</v>
      </c>
      <c r="H185" s="30" t="str">
        <f t="shared" si="11"/>
        <v>insert into ins_premium_det (premium_rcv_code,assorted_code, rec_amount,premium_rcv_detail_code,remaining_amt, payrec, mode_code,coinsurance_code,class_cd,it_remarks) values('29Nov240034','070000168147','59723',(select max(to_number(i.premium_rcv_detail_code))+1
from ins_premium_det i),'59723','59723','02', '11000003','00','Request by Mr. Reheel Malik 02-Dec-2024');</v>
      </c>
    </row>
    <row r="186" spans="1:8" ht="105" x14ac:dyDescent="0.25">
      <c r="A186" s="18" t="s">
        <v>6074</v>
      </c>
      <c r="B186" s="26" t="str">
        <f>VLOOKUP(A186,policy!B:C,2,0)</f>
        <v>070000168148</v>
      </c>
      <c r="C186" s="31">
        <v>61905</v>
      </c>
      <c r="D186" s="27">
        <f t="shared" si="9"/>
        <v>61905</v>
      </c>
      <c r="E186" s="25" t="s">
        <v>6906</v>
      </c>
      <c r="F186" s="28" t="str">
        <f t="shared" si="8"/>
        <v>insert into ins_premium_det (premium_rcv_code,assorted_code, rec_amount,premium_rcv_detail_code,remaining_amt, payrec, mode_code,coinsurance_code,class_cd,it_remarks) values</v>
      </c>
      <c r="G186" s="29" t="str">
        <f t="shared" si="10"/>
        <v>('29Nov240034','070000168148','61905',(select max(to_number(i.premium_rcv_detail_code))+1
from ins_premium_det i),'61905','61905','02', '11000003','00','Request by Mr. Reheel Malik 02-Dec-2024');</v>
      </c>
      <c r="H186" s="30" t="str">
        <f t="shared" si="11"/>
        <v>insert into ins_premium_det (premium_rcv_code,assorted_code, rec_amount,premium_rcv_detail_code,remaining_amt, payrec, mode_code,coinsurance_code,class_cd,it_remarks) values('29Nov240034','070000168148','61905',(select max(to_number(i.premium_rcv_detail_code))+1
from ins_premium_det i),'61905','61905','02', '11000003','00','Request by Mr. Reheel Malik 02-Dec-2024');</v>
      </c>
    </row>
    <row r="187" spans="1:8" ht="105" x14ac:dyDescent="0.25">
      <c r="A187" s="19" t="s">
        <v>6075</v>
      </c>
      <c r="B187" s="26" t="str">
        <f>VLOOKUP(A187,policy!B:C,2,0)</f>
        <v>070000168151</v>
      </c>
      <c r="C187" s="32">
        <v>40170</v>
      </c>
      <c r="D187" s="27">
        <f t="shared" si="9"/>
        <v>40170</v>
      </c>
      <c r="E187" s="25" t="s">
        <v>6906</v>
      </c>
      <c r="F187" s="28" t="str">
        <f t="shared" si="8"/>
        <v>insert into ins_premium_det (premium_rcv_code,assorted_code, rec_amount,premium_rcv_detail_code,remaining_amt, payrec, mode_code,coinsurance_code,class_cd,it_remarks) values</v>
      </c>
      <c r="G187" s="29" t="str">
        <f t="shared" si="10"/>
        <v>('29Nov240034','070000168151','40170',(select max(to_number(i.premium_rcv_detail_code))+1
from ins_premium_det i),'40170','40170','02', '11000003','00','Request by Mr. Reheel Malik 02-Dec-2024');</v>
      </c>
      <c r="H187" s="30" t="str">
        <f t="shared" si="11"/>
        <v>insert into ins_premium_det (premium_rcv_code,assorted_code, rec_amount,premium_rcv_detail_code,remaining_amt, payrec, mode_code,coinsurance_code,class_cd,it_remarks) values('29Nov240034','070000168151','40170',(select max(to_number(i.premium_rcv_detail_code))+1
from ins_premium_det i),'40170','40170','02', '11000003','00','Request by Mr. Reheel Malik 02-Dec-2024');</v>
      </c>
    </row>
    <row r="188" spans="1:8" ht="105" x14ac:dyDescent="0.25">
      <c r="A188" s="18" t="s">
        <v>6076</v>
      </c>
      <c r="B188" s="26" t="str">
        <f>VLOOKUP(A188,policy!B:C,2,0)</f>
        <v>070000168236</v>
      </c>
      <c r="C188" s="31">
        <v>129413</v>
      </c>
      <c r="D188" s="27">
        <f t="shared" si="9"/>
        <v>129413</v>
      </c>
      <c r="E188" s="25" t="s">
        <v>6906</v>
      </c>
      <c r="F188" s="28" t="str">
        <f t="shared" si="8"/>
        <v>insert into ins_premium_det (premium_rcv_code,assorted_code, rec_amount,premium_rcv_detail_code,remaining_amt, payrec, mode_code,coinsurance_code,class_cd,it_remarks) values</v>
      </c>
      <c r="G188" s="29" t="str">
        <f t="shared" si="10"/>
        <v>('29Nov240034','070000168236','129413',(select max(to_number(i.premium_rcv_detail_code))+1
from ins_premium_det i),'129413','129413','02', '11000003','00','Request by Mr. Reheel Malik 02-Dec-2024');</v>
      </c>
      <c r="H188" s="30" t="str">
        <f t="shared" si="11"/>
        <v>insert into ins_premium_det (premium_rcv_code,assorted_code, rec_amount,premium_rcv_detail_code,remaining_amt, payrec, mode_code,coinsurance_code,class_cd,it_remarks) values('29Nov240034','070000168236','129413',(select max(to_number(i.premium_rcv_detail_code))+1
from ins_premium_det i),'129413','129413','02', '11000003','00','Request by Mr. Reheel Malik 02-Dec-2024');</v>
      </c>
    </row>
    <row r="189" spans="1:8" ht="105" x14ac:dyDescent="0.25">
      <c r="A189" s="19" t="s">
        <v>6077</v>
      </c>
      <c r="B189" s="26" t="str">
        <f>VLOOKUP(A189,policy!B:C,2,0)</f>
        <v>070000168237</v>
      </c>
      <c r="C189" s="32">
        <v>47303</v>
      </c>
      <c r="D189" s="27">
        <f t="shared" si="9"/>
        <v>47303</v>
      </c>
      <c r="E189" s="25" t="s">
        <v>6906</v>
      </c>
      <c r="F189" s="28" t="str">
        <f t="shared" si="8"/>
        <v>insert into ins_premium_det (premium_rcv_code,assorted_code, rec_amount,premium_rcv_detail_code,remaining_amt, payrec, mode_code,coinsurance_code,class_cd,it_remarks) values</v>
      </c>
      <c r="G189" s="29" t="str">
        <f t="shared" si="10"/>
        <v>('29Nov240034','070000168237','47303',(select max(to_number(i.premium_rcv_detail_code))+1
from ins_premium_det i),'47303','47303','02', '11000003','00','Request by Mr. Reheel Malik 02-Dec-2024');</v>
      </c>
      <c r="H189" s="30" t="str">
        <f t="shared" si="11"/>
        <v>insert into ins_premium_det (premium_rcv_code,assorted_code, rec_amount,premium_rcv_detail_code,remaining_amt, payrec, mode_code,coinsurance_code,class_cd,it_remarks) values('29Nov240034','070000168237','47303',(select max(to_number(i.premium_rcv_detail_code))+1
from ins_premium_det i),'47303','47303','02', '11000003','00','Request by Mr. Reheel Malik 02-Dec-2024');</v>
      </c>
    </row>
    <row r="190" spans="1:8" ht="105" x14ac:dyDescent="0.25">
      <c r="A190" s="18" t="s">
        <v>6078</v>
      </c>
      <c r="B190" s="26" t="str">
        <f>VLOOKUP(A190,policy!B:C,2,0)</f>
        <v>070000168153</v>
      </c>
      <c r="C190" s="31">
        <v>20970</v>
      </c>
      <c r="D190" s="27">
        <f t="shared" si="9"/>
        <v>20970</v>
      </c>
      <c r="E190" s="25" t="s">
        <v>6906</v>
      </c>
      <c r="F190" s="28" t="str">
        <f t="shared" si="8"/>
        <v>insert into ins_premium_det (premium_rcv_code,assorted_code, rec_amount,premium_rcv_detail_code,remaining_amt, payrec, mode_code,coinsurance_code,class_cd,it_remarks) values</v>
      </c>
      <c r="G190" s="29" t="str">
        <f t="shared" si="10"/>
        <v>('29Nov240034','070000168153','20970',(select max(to_number(i.premium_rcv_detail_code))+1
from ins_premium_det i),'20970','20970','02', '11000003','00','Request by Mr. Reheel Malik 02-Dec-2024');</v>
      </c>
      <c r="H190" s="30" t="str">
        <f t="shared" si="11"/>
        <v>insert into ins_premium_det (premium_rcv_code,assorted_code, rec_amount,premium_rcv_detail_code,remaining_amt, payrec, mode_code,coinsurance_code,class_cd,it_remarks) values('29Nov240034','070000168153','20970',(select max(to_number(i.premium_rcv_detail_code))+1
from ins_premium_det i),'20970','20970','02', '11000003','00','Request by Mr. Reheel Malik 02-Dec-2024');</v>
      </c>
    </row>
    <row r="191" spans="1:8" ht="105" x14ac:dyDescent="0.25">
      <c r="A191" s="19" t="s">
        <v>6079</v>
      </c>
      <c r="B191" s="26" t="str">
        <f>VLOOKUP(A191,policy!B:C,2,0)</f>
        <v>070000168154</v>
      </c>
      <c r="C191" s="32">
        <v>27000</v>
      </c>
      <c r="D191" s="27">
        <f t="shared" si="9"/>
        <v>27000</v>
      </c>
      <c r="E191" s="25" t="s">
        <v>6906</v>
      </c>
      <c r="F191" s="28" t="str">
        <f t="shared" si="8"/>
        <v>insert into ins_premium_det (premium_rcv_code,assorted_code, rec_amount,premium_rcv_detail_code,remaining_amt, payrec, mode_code,coinsurance_code,class_cd,it_remarks) values</v>
      </c>
      <c r="G191" s="29" t="str">
        <f t="shared" si="10"/>
        <v>('29Nov240034','070000168154','27000',(select max(to_number(i.premium_rcv_detail_code))+1
from ins_premium_det i),'27000','27000','02', '11000003','00','Request by Mr. Reheel Malik 02-Dec-2024');</v>
      </c>
      <c r="H191" s="30" t="str">
        <f t="shared" si="11"/>
        <v>insert into ins_premium_det (premium_rcv_code,assorted_code, rec_amount,premium_rcv_detail_code,remaining_amt, payrec, mode_code,coinsurance_code,class_cd,it_remarks) values('29Nov240034','070000168154','27000',(select max(to_number(i.premium_rcv_detail_code))+1
from ins_premium_det i),'27000','27000','02', '11000003','00','Request by Mr. Reheel Malik 02-Dec-2024');</v>
      </c>
    </row>
    <row r="192" spans="1:8" ht="105" x14ac:dyDescent="0.25">
      <c r="A192" s="18" t="s">
        <v>6080</v>
      </c>
      <c r="B192" s="26" t="str">
        <f>VLOOKUP(A192,policy!B:C,2,0)</f>
        <v>070000168155</v>
      </c>
      <c r="C192" s="31">
        <v>39000</v>
      </c>
      <c r="D192" s="27">
        <f t="shared" si="9"/>
        <v>39000</v>
      </c>
      <c r="E192" s="25" t="s">
        <v>6906</v>
      </c>
      <c r="F192" s="28" t="str">
        <f t="shared" si="8"/>
        <v>insert into ins_premium_det (premium_rcv_code,assorted_code, rec_amount,premium_rcv_detail_code,remaining_amt, payrec, mode_code,coinsurance_code,class_cd,it_remarks) values</v>
      </c>
      <c r="G192" s="29" t="str">
        <f t="shared" si="10"/>
        <v>('29Nov240034','070000168155','39000',(select max(to_number(i.premium_rcv_detail_code))+1
from ins_premium_det i),'39000','39000','02', '11000003','00','Request by Mr. Reheel Malik 02-Dec-2024');</v>
      </c>
      <c r="H192" s="30" t="str">
        <f t="shared" si="11"/>
        <v>insert into ins_premium_det (premium_rcv_code,assorted_code, rec_amount,premium_rcv_detail_code,remaining_amt, payrec, mode_code,coinsurance_code,class_cd,it_remarks) values('29Nov240034','070000168155','39000',(select max(to_number(i.premium_rcv_detail_code))+1
from ins_premium_det i),'39000','39000','02', '11000003','00','Request by Mr. Reheel Malik 02-Dec-2024');</v>
      </c>
    </row>
    <row r="193" spans="1:8" ht="105" x14ac:dyDescent="0.25">
      <c r="A193" s="19" t="s">
        <v>6081</v>
      </c>
      <c r="B193" s="26" t="str">
        <f>VLOOKUP(A193,policy!B:C,2,0)</f>
        <v>070000168156</v>
      </c>
      <c r="C193" s="32">
        <v>23455</v>
      </c>
      <c r="D193" s="27">
        <f t="shared" si="9"/>
        <v>23455</v>
      </c>
      <c r="E193" s="25" t="s">
        <v>6906</v>
      </c>
      <c r="F193" s="28" t="str">
        <f t="shared" si="8"/>
        <v>insert into ins_premium_det (premium_rcv_code,assorted_code, rec_amount,premium_rcv_detail_code,remaining_amt, payrec, mode_code,coinsurance_code,class_cd,it_remarks) values</v>
      </c>
      <c r="G193" s="29" t="str">
        <f t="shared" si="10"/>
        <v>('29Nov240034','070000168156','23455',(select max(to_number(i.premium_rcv_detail_code))+1
from ins_premium_det i),'23455','23455','02', '11000003','00','Request by Mr. Reheel Malik 02-Dec-2024');</v>
      </c>
      <c r="H193" s="30" t="str">
        <f t="shared" si="11"/>
        <v>insert into ins_premium_det (premium_rcv_code,assorted_code, rec_amount,premium_rcv_detail_code,remaining_amt, payrec, mode_code,coinsurance_code,class_cd,it_remarks) values('29Nov240034','070000168156','23455',(select max(to_number(i.premium_rcv_detail_code))+1
from ins_premium_det i),'23455','23455','02', '11000003','00','Request by Mr. Reheel Malik 02-Dec-2024');</v>
      </c>
    </row>
    <row r="194" spans="1:8" ht="105" x14ac:dyDescent="0.25">
      <c r="A194" s="18" t="s">
        <v>6082</v>
      </c>
      <c r="B194" s="26" t="str">
        <f>VLOOKUP(A194,policy!B:C,2,0)</f>
        <v>070000168158</v>
      </c>
      <c r="C194" s="31">
        <v>38610</v>
      </c>
      <c r="D194" s="27">
        <f t="shared" si="9"/>
        <v>38610</v>
      </c>
      <c r="E194" s="25" t="s">
        <v>6906</v>
      </c>
      <c r="F194" s="28" t="str">
        <f t="shared" ref="F194:F257" si="12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94" s="29" t="str">
        <f t="shared" si="10"/>
        <v>('29Nov240034','070000168158','38610',(select max(to_number(i.premium_rcv_detail_code))+1
from ins_premium_det i),'38610','38610','02', '11000003','00','Request by Mr. Reheel Malik 02-Dec-2024');</v>
      </c>
      <c r="H194" s="30" t="str">
        <f t="shared" si="11"/>
        <v>insert into ins_premium_det (premium_rcv_code,assorted_code, rec_amount,premium_rcv_detail_code,remaining_amt, payrec, mode_code,coinsurance_code,class_cd,it_remarks) values('29Nov240034','070000168158','38610',(select max(to_number(i.premium_rcv_detail_code))+1
from ins_premium_det i),'38610','38610','02', '11000003','00','Request by Mr. Reheel Malik 02-Dec-2024');</v>
      </c>
    </row>
    <row r="195" spans="1:8" ht="105" x14ac:dyDescent="0.25">
      <c r="A195" s="19" t="s">
        <v>6083</v>
      </c>
      <c r="B195" s="26" t="str">
        <f>VLOOKUP(A195,policy!B:C,2,0)</f>
        <v>070000168245</v>
      </c>
      <c r="C195" s="32">
        <v>63219</v>
      </c>
      <c r="D195" s="27">
        <f t="shared" ref="D195:D258" si="13">ROUND(C195,0)</f>
        <v>63219</v>
      </c>
      <c r="E195" s="25" t="s">
        <v>6906</v>
      </c>
      <c r="F195" s="28" t="str">
        <f t="shared" si="12"/>
        <v>insert into ins_premium_det (premium_rcv_code,assorted_code, rec_amount,premium_rcv_detail_code,remaining_amt, payrec, mode_code,coinsurance_code,class_cd,it_remarks) values</v>
      </c>
      <c r="G195" s="29" t="str">
        <f t="shared" ref="G195:G258" si="14">"('"&amp;E195&amp;"','"&amp;B195&amp;"','"&amp;D195&amp;"',(select max(to_number(i.premium_rcv_detail_code))+1
from ins_premium_det i),'"&amp;D195&amp;"','"&amp;D195&amp;"','02', '11000003','00','Request by Mr. Reheel Malik 02-Dec-2024');"</f>
        <v>('29Nov240034','070000168245','63219',(select max(to_number(i.premium_rcv_detail_code))+1
from ins_premium_det i),'63219','63219','02', '11000003','00','Request by Mr. Reheel Malik 02-Dec-2024');</v>
      </c>
      <c r="H195" s="30" t="str">
        <f t="shared" ref="H195:H258" si="15">F195&amp;G195</f>
        <v>insert into ins_premium_det (premium_rcv_code,assorted_code, rec_amount,premium_rcv_detail_code,remaining_amt, payrec, mode_code,coinsurance_code,class_cd,it_remarks) values('29Nov240034','070000168245','63219',(select max(to_number(i.premium_rcv_detail_code))+1
from ins_premium_det i),'63219','63219','02', '11000003','00','Request by Mr. Reheel Malik 02-Dec-2024');</v>
      </c>
    </row>
    <row r="196" spans="1:8" ht="105" x14ac:dyDescent="0.25">
      <c r="A196" s="18" t="s">
        <v>6084</v>
      </c>
      <c r="B196" s="26" t="str">
        <f>VLOOKUP(A196,policy!B:C,2,0)</f>
        <v>070000168248</v>
      </c>
      <c r="C196" s="31">
        <v>34425</v>
      </c>
      <c r="D196" s="27">
        <f t="shared" si="13"/>
        <v>34425</v>
      </c>
      <c r="E196" s="25" t="s">
        <v>6906</v>
      </c>
      <c r="F196" s="28" t="str">
        <f t="shared" si="12"/>
        <v>insert into ins_premium_det (premium_rcv_code,assorted_code, rec_amount,premium_rcv_detail_code,remaining_amt, payrec, mode_code,coinsurance_code,class_cd,it_remarks) values</v>
      </c>
      <c r="G196" s="29" t="str">
        <f t="shared" si="14"/>
        <v>('29Nov240034','070000168248','34425',(select max(to_number(i.premium_rcv_detail_code))+1
from ins_premium_det i),'34425','34425','02', '11000003','00','Request by Mr. Reheel Malik 02-Dec-2024');</v>
      </c>
      <c r="H196" s="30" t="str">
        <f t="shared" si="15"/>
        <v>insert into ins_premium_det (premium_rcv_code,assorted_code, rec_amount,premium_rcv_detail_code,remaining_amt, payrec, mode_code,coinsurance_code,class_cd,it_remarks) values('29Nov240034','070000168248','34425',(select max(to_number(i.premium_rcv_detail_code))+1
from ins_premium_det i),'34425','34425','02', '11000003','00','Request by Mr. Reheel Malik 02-Dec-2024');</v>
      </c>
    </row>
    <row r="197" spans="1:8" ht="105" x14ac:dyDescent="0.25">
      <c r="A197" s="19" t="s">
        <v>6085</v>
      </c>
      <c r="B197" s="26" t="str">
        <f>VLOOKUP(A197,policy!B:C,2,0)</f>
        <v>070000168168</v>
      </c>
      <c r="C197" s="32">
        <v>60739</v>
      </c>
      <c r="D197" s="27">
        <f t="shared" si="13"/>
        <v>60739</v>
      </c>
      <c r="E197" s="25" t="s">
        <v>6906</v>
      </c>
      <c r="F197" s="28" t="str">
        <f t="shared" si="12"/>
        <v>insert into ins_premium_det (premium_rcv_code,assorted_code, rec_amount,premium_rcv_detail_code,remaining_amt, payrec, mode_code,coinsurance_code,class_cd,it_remarks) values</v>
      </c>
      <c r="G197" s="29" t="str">
        <f t="shared" si="14"/>
        <v>('29Nov240034','070000168168','60739',(select max(to_number(i.premium_rcv_detail_code))+1
from ins_premium_det i),'60739','60739','02', '11000003','00','Request by Mr. Reheel Malik 02-Dec-2024');</v>
      </c>
      <c r="H197" s="30" t="str">
        <f t="shared" si="15"/>
        <v>insert into ins_premium_det (premium_rcv_code,assorted_code, rec_amount,premium_rcv_detail_code,remaining_amt, payrec, mode_code,coinsurance_code,class_cd,it_remarks) values('29Nov240034','070000168168','60739',(select max(to_number(i.premium_rcv_detail_code))+1
from ins_premium_det i),'60739','60739','02', '11000003','00','Request by Mr. Reheel Malik 02-Dec-2024');</v>
      </c>
    </row>
    <row r="198" spans="1:8" ht="105" x14ac:dyDescent="0.25">
      <c r="A198" s="18" t="s">
        <v>6086</v>
      </c>
      <c r="B198" s="26" t="str">
        <f>VLOOKUP(A198,policy!B:C,2,0)</f>
        <v>070000168169</v>
      </c>
      <c r="C198" s="31">
        <v>45894</v>
      </c>
      <c r="D198" s="27">
        <f t="shared" si="13"/>
        <v>45894</v>
      </c>
      <c r="E198" s="25" t="s">
        <v>6906</v>
      </c>
      <c r="F198" s="28" t="str">
        <f t="shared" si="12"/>
        <v>insert into ins_premium_det (premium_rcv_code,assorted_code, rec_amount,premium_rcv_detail_code,remaining_amt, payrec, mode_code,coinsurance_code,class_cd,it_remarks) values</v>
      </c>
      <c r="G198" s="29" t="str">
        <f t="shared" si="14"/>
        <v>('29Nov240034','070000168169','45894',(select max(to_number(i.premium_rcv_detail_code))+1
from ins_premium_det i),'45894','45894','02', '11000003','00','Request by Mr. Reheel Malik 02-Dec-2024');</v>
      </c>
      <c r="H198" s="30" t="str">
        <f t="shared" si="15"/>
        <v>insert into ins_premium_det (premium_rcv_code,assorted_code, rec_amount,premium_rcv_detail_code,remaining_amt, payrec, mode_code,coinsurance_code,class_cd,it_remarks) values('29Nov240034','070000168169','45894',(select max(to_number(i.premium_rcv_detail_code))+1
from ins_premium_det i),'45894','45894','02', '11000003','00','Request by Mr. Reheel Malik 02-Dec-2024');</v>
      </c>
    </row>
    <row r="199" spans="1:8" ht="105" x14ac:dyDescent="0.25">
      <c r="A199" s="19" t="s">
        <v>6087</v>
      </c>
      <c r="B199" s="26" t="str">
        <f>VLOOKUP(A199,policy!B:C,2,0)</f>
        <v>070000168170</v>
      </c>
      <c r="C199" s="32">
        <v>46688</v>
      </c>
      <c r="D199" s="27">
        <f t="shared" si="13"/>
        <v>46688</v>
      </c>
      <c r="E199" s="25" t="s">
        <v>6906</v>
      </c>
      <c r="F199" s="28" t="str">
        <f t="shared" si="12"/>
        <v>insert into ins_premium_det (premium_rcv_code,assorted_code, rec_amount,premium_rcv_detail_code,remaining_amt, payrec, mode_code,coinsurance_code,class_cd,it_remarks) values</v>
      </c>
      <c r="G199" s="29" t="str">
        <f t="shared" si="14"/>
        <v>('29Nov240034','070000168170','46688',(select max(to_number(i.premium_rcv_detail_code))+1
from ins_premium_det i),'46688','46688','02', '11000003','00','Request by Mr. Reheel Malik 02-Dec-2024');</v>
      </c>
      <c r="H199" s="30" t="str">
        <f t="shared" si="15"/>
        <v>insert into ins_premium_det (premium_rcv_code,assorted_code, rec_amount,premium_rcv_detail_code,remaining_amt, payrec, mode_code,coinsurance_code,class_cd,it_remarks) values('29Nov240034','070000168170','46688',(select max(to_number(i.premium_rcv_detail_code))+1
from ins_premium_det i),'46688','46688','02', '11000003','00','Request by Mr. Reheel Malik 02-Dec-2024');</v>
      </c>
    </row>
    <row r="200" spans="1:8" ht="105" x14ac:dyDescent="0.25">
      <c r="A200" s="18" t="s">
        <v>6088</v>
      </c>
      <c r="B200" s="26" t="str">
        <f>VLOOKUP(A200,policy!B:C,2,0)</f>
        <v>070000168254</v>
      </c>
      <c r="C200" s="31">
        <v>21360</v>
      </c>
      <c r="D200" s="27">
        <f t="shared" si="13"/>
        <v>21360</v>
      </c>
      <c r="E200" s="25" t="s">
        <v>6906</v>
      </c>
      <c r="F200" s="28" t="str">
        <f t="shared" si="12"/>
        <v>insert into ins_premium_det (premium_rcv_code,assorted_code, rec_amount,premium_rcv_detail_code,remaining_amt, payrec, mode_code,coinsurance_code,class_cd,it_remarks) values</v>
      </c>
      <c r="G200" s="29" t="str">
        <f t="shared" si="14"/>
        <v>('29Nov240034','070000168254','21360',(select max(to_number(i.premium_rcv_detail_code))+1
from ins_premium_det i),'21360','21360','02', '11000003','00','Request by Mr. Reheel Malik 02-Dec-2024');</v>
      </c>
      <c r="H200" s="30" t="str">
        <f t="shared" si="15"/>
        <v>insert into ins_premium_det (premium_rcv_code,assorted_code, rec_amount,premium_rcv_detail_code,remaining_amt, payrec, mode_code,coinsurance_code,class_cd,it_remarks) values('29Nov240034','070000168254','21360',(select max(to_number(i.premium_rcv_detail_code))+1
from ins_premium_det i),'21360','21360','02', '11000003','00','Request by Mr. Reheel Malik 02-Dec-2024');</v>
      </c>
    </row>
    <row r="201" spans="1:8" ht="105" x14ac:dyDescent="0.25">
      <c r="A201" s="19" t="s">
        <v>6089</v>
      </c>
      <c r="B201" s="26" t="str">
        <f>VLOOKUP(A201,policy!B:C,2,0)</f>
        <v>070000168255</v>
      </c>
      <c r="C201" s="32">
        <v>24864</v>
      </c>
      <c r="D201" s="27">
        <f t="shared" si="13"/>
        <v>24864</v>
      </c>
      <c r="E201" s="25" t="s">
        <v>6906</v>
      </c>
      <c r="F201" s="28" t="str">
        <f t="shared" si="12"/>
        <v>insert into ins_premium_det (premium_rcv_code,assorted_code, rec_amount,premium_rcv_detail_code,remaining_amt, payrec, mode_code,coinsurance_code,class_cd,it_remarks) values</v>
      </c>
      <c r="G201" s="29" t="str">
        <f t="shared" si="14"/>
        <v>('29Nov240034','070000168255','24864',(select max(to_number(i.premium_rcv_detail_code))+1
from ins_premium_det i),'24864','24864','02', '11000003','00','Request by Mr. Reheel Malik 02-Dec-2024');</v>
      </c>
      <c r="H201" s="30" t="str">
        <f t="shared" si="15"/>
        <v>insert into ins_premium_det (premium_rcv_code,assorted_code, rec_amount,premium_rcv_detail_code,remaining_amt, payrec, mode_code,coinsurance_code,class_cd,it_remarks) values('29Nov240034','070000168255','24864',(select max(to_number(i.premium_rcv_detail_code))+1
from ins_premium_det i),'24864','24864','02', '11000003','00','Request by Mr. Reheel Malik 02-Dec-2024');</v>
      </c>
    </row>
    <row r="202" spans="1:8" ht="105" x14ac:dyDescent="0.25">
      <c r="A202" s="18" t="s">
        <v>6090</v>
      </c>
      <c r="B202" s="26" t="str">
        <f>VLOOKUP(A202,policy!B:C,2,0)</f>
        <v>070000168256</v>
      </c>
      <c r="C202" s="31">
        <v>28000</v>
      </c>
      <c r="D202" s="27">
        <f t="shared" si="13"/>
        <v>28000</v>
      </c>
      <c r="E202" s="25" t="s">
        <v>6906</v>
      </c>
      <c r="F202" s="28" t="str">
        <f t="shared" si="12"/>
        <v>insert into ins_premium_det (premium_rcv_code,assorted_code, rec_amount,premium_rcv_detail_code,remaining_amt, payrec, mode_code,coinsurance_code,class_cd,it_remarks) values</v>
      </c>
      <c r="G202" s="29" t="str">
        <f t="shared" si="14"/>
        <v>('29Nov240034','070000168256','28000',(select max(to_number(i.premium_rcv_detail_code))+1
from ins_premium_det i),'28000','28000','02', '11000003','00','Request by Mr. Reheel Malik 02-Dec-2024');</v>
      </c>
      <c r="H202" s="30" t="str">
        <f t="shared" si="15"/>
        <v>insert into ins_premium_det (premium_rcv_code,assorted_code, rec_amount,premium_rcv_detail_code,remaining_amt, payrec, mode_code,coinsurance_code,class_cd,it_remarks) values('29Nov240034','070000168256','28000',(select max(to_number(i.premium_rcv_detail_code))+1
from ins_premium_det i),'28000','28000','02', '11000003','00','Request by Mr. Reheel Malik 02-Dec-2024');</v>
      </c>
    </row>
    <row r="203" spans="1:8" ht="105" x14ac:dyDescent="0.25">
      <c r="A203" s="19" t="s">
        <v>6091</v>
      </c>
      <c r="B203" s="26" t="str">
        <f>VLOOKUP(A203,policy!B:C,2,0)</f>
        <v>070000168257</v>
      </c>
      <c r="C203" s="32">
        <v>24336</v>
      </c>
      <c r="D203" s="27">
        <f t="shared" si="13"/>
        <v>24336</v>
      </c>
      <c r="E203" s="25" t="s">
        <v>6906</v>
      </c>
      <c r="F203" s="28" t="str">
        <f t="shared" si="12"/>
        <v>insert into ins_premium_det (premium_rcv_code,assorted_code, rec_amount,premium_rcv_detail_code,remaining_amt, payrec, mode_code,coinsurance_code,class_cd,it_remarks) values</v>
      </c>
      <c r="G203" s="29" t="str">
        <f t="shared" si="14"/>
        <v>('29Nov240034','070000168257','24336',(select max(to_number(i.premium_rcv_detail_code))+1
from ins_premium_det i),'24336','24336','02', '11000003','00','Request by Mr. Reheel Malik 02-Dec-2024');</v>
      </c>
      <c r="H203" s="30" t="str">
        <f t="shared" si="15"/>
        <v>insert into ins_premium_det (premium_rcv_code,assorted_code, rec_amount,premium_rcv_detail_code,remaining_amt, payrec, mode_code,coinsurance_code,class_cd,it_remarks) values('29Nov240034','070000168257','24336',(select max(to_number(i.premium_rcv_detail_code))+1
from ins_premium_det i),'24336','24336','02', '11000003','00','Request by Mr. Reheel Malik 02-Dec-2024');</v>
      </c>
    </row>
    <row r="204" spans="1:8" ht="105" x14ac:dyDescent="0.25">
      <c r="A204" s="18" t="s">
        <v>6092</v>
      </c>
      <c r="B204" s="26" t="str">
        <f>VLOOKUP(A204,policy!B:C,2,0)</f>
        <v>070000168258</v>
      </c>
      <c r="C204" s="31">
        <v>31120</v>
      </c>
      <c r="D204" s="27">
        <f t="shared" si="13"/>
        <v>31120</v>
      </c>
      <c r="E204" s="25" t="s">
        <v>6906</v>
      </c>
      <c r="F204" s="28" t="str">
        <f t="shared" si="12"/>
        <v>insert into ins_premium_det (premium_rcv_code,assorted_code, rec_amount,premium_rcv_detail_code,remaining_amt, payrec, mode_code,coinsurance_code,class_cd,it_remarks) values</v>
      </c>
      <c r="G204" s="29" t="str">
        <f t="shared" si="14"/>
        <v>('29Nov240034','070000168258','31120',(select max(to_number(i.premium_rcv_detail_code))+1
from ins_premium_det i),'31120','31120','02', '11000003','00','Request by Mr. Reheel Malik 02-Dec-2024');</v>
      </c>
      <c r="H204" s="30" t="str">
        <f t="shared" si="15"/>
        <v>insert into ins_premium_det (premium_rcv_code,assorted_code, rec_amount,premium_rcv_detail_code,remaining_amt, payrec, mode_code,coinsurance_code,class_cd,it_remarks) values('29Nov240034','070000168258','31120',(select max(to_number(i.premium_rcv_detail_code))+1
from ins_premium_det i),'31120','31120','02', '11000003','00','Request by Mr. Reheel Malik 02-Dec-2024');</v>
      </c>
    </row>
    <row r="205" spans="1:8" ht="105" x14ac:dyDescent="0.25">
      <c r="A205" s="19" t="s">
        <v>6093</v>
      </c>
      <c r="B205" s="26" t="str">
        <f>VLOOKUP(A205,policy!B:C,2,0)</f>
        <v>070000168259</v>
      </c>
      <c r="C205" s="32">
        <v>32800</v>
      </c>
      <c r="D205" s="27">
        <f t="shared" si="13"/>
        <v>32800</v>
      </c>
      <c r="E205" s="25" t="s">
        <v>6906</v>
      </c>
      <c r="F205" s="28" t="str">
        <f t="shared" si="12"/>
        <v>insert into ins_premium_det (premium_rcv_code,assorted_code, rec_amount,premium_rcv_detail_code,remaining_amt, payrec, mode_code,coinsurance_code,class_cd,it_remarks) values</v>
      </c>
      <c r="G205" s="29" t="str">
        <f t="shared" si="14"/>
        <v>('29Nov240034','070000168259','32800',(select max(to_number(i.premium_rcv_detail_code))+1
from ins_premium_det i),'32800','32800','02', '11000003','00','Request by Mr. Reheel Malik 02-Dec-2024');</v>
      </c>
      <c r="H205" s="30" t="str">
        <f t="shared" si="15"/>
        <v>insert into ins_premium_det (premium_rcv_code,assorted_code, rec_amount,premium_rcv_detail_code,remaining_amt, payrec, mode_code,coinsurance_code,class_cd,it_remarks) values('29Nov240034','070000168259','32800',(select max(to_number(i.premium_rcv_detail_code))+1
from ins_premium_det i),'32800','32800','02', '11000003','00','Request by Mr. Reheel Malik 02-Dec-2024');</v>
      </c>
    </row>
    <row r="206" spans="1:8" ht="105" x14ac:dyDescent="0.25">
      <c r="A206" s="18" t="s">
        <v>6094</v>
      </c>
      <c r="B206" s="26" t="str">
        <f>VLOOKUP(A206,policy!B:C,2,0)</f>
        <v>070000168260</v>
      </c>
      <c r="C206" s="31">
        <v>46928</v>
      </c>
      <c r="D206" s="27">
        <f t="shared" si="13"/>
        <v>46928</v>
      </c>
      <c r="E206" s="25" t="s">
        <v>6906</v>
      </c>
      <c r="F206" s="28" t="str">
        <f t="shared" si="12"/>
        <v>insert into ins_premium_det (premium_rcv_code,assorted_code, rec_amount,premium_rcv_detail_code,remaining_amt, payrec, mode_code,coinsurance_code,class_cd,it_remarks) values</v>
      </c>
      <c r="G206" s="29" t="str">
        <f t="shared" si="14"/>
        <v>('29Nov240034','070000168260','46928',(select max(to_number(i.premium_rcv_detail_code))+1
from ins_premium_det i),'46928','46928','02', '11000003','00','Request by Mr. Reheel Malik 02-Dec-2024');</v>
      </c>
      <c r="H206" s="30" t="str">
        <f t="shared" si="15"/>
        <v>insert into ins_premium_det (premium_rcv_code,assorted_code, rec_amount,premium_rcv_detail_code,remaining_amt, payrec, mode_code,coinsurance_code,class_cd,it_remarks) values('29Nov240034','070000168260','46928',(select max(to_number(i.premium_rcv_detail_code))+1
from ins_premium_det i),'46928','46928','02', '11000003','00','Request by Mr. Reheel Malik 02-Dec-2024');</v>
      </c>
    </row>
    <row r="207" spans="1:8" ht="105" x14ac:dyDescent="0.25">
      <c r="A207" s="19" t="s">
        <v>6095</v>
      </c>
      <c r="B207" s="26" t="str">
        <f>VLOOKUP(A207,policy!B:C,2,0)</f>
        <v>070000168171</v>
      </c>
      <c r="C207" s="32">
        <v>73485</v>
      </c>
      <c r="D207" s="27">
        <f t="shared" si="13"/>
        <v>73485</v>
      </c>
      <c r="E207" s="25" t="s">
        <v>6906</v>
      </c>
      <c r="F207" s="28" t="str">
        <f t="shared" si="12"/>
        <v>insert into ins_premium_det (premium_rcv_code,assorted_code, rec_amount,premium_rcv_detail_code,remaining_amt, payrec, mode_code,coinsurance_code,class_cd,it_remarks) values</v>
      </c>
      <c r="G207" s="29" t="str">
        <f t="shared" si="14"/>
        <v>('29Nov240034','070000168171','73485',(select max(to_number(i.premium_rcv_detail_code))+1
from ins_premium_det i),'73485','73485','02', '11000003','00','Request by Mr. Reheel Malik 02-Dec-2024');</v>
      </c>
      <c r="H207" s="30" t="str">
        <f t="shared" si="15"/>
        <v>insert into ins_premium_det (premium_rcv_code,assorted_code, rec_amount,premium_rcv_detail_code,remaining_amt, payrec, mode_code,coinsurance_code,class_cd,it_remarks) values('29Nov240034','070000168171','73485',(select max(to_number(i.premium_rcv_detail_code))+1
from ins_premium_det i),'73485','73485','02', '11000003','00','Request by Mr. Reheel Malik 02-Dec-2024');</v>
      </c>
    </row>
    <row r="208" spans="1:8" ht="105" x14ac:dyDescent="0.25">
      <c r="A208" s="18" t="s">
        <v>6096</v>
      </c>
      <c r="B208" s="26" t="str">
        <f>VLOOKUP(A208,policy!B:C,2,0)</f>
        <v>070000168174</v>
      </c>
      <c r="C208" s="31">
        <v>30360</v>
      </c>
      <c r="D208" s="27">
        <f t="shared" si="13"/>
        <v>30360</v>
      </c>
      <c r="E208" s="25" t="s">
        <v>6906</v>
      </c>
      <c r="F208" s="28" t="str">
        <f t="shared" si="12"/>
        <v>insert into ins_premium_det (premium_rcv_code,assorted_code, rec_amount,premium_rcv_detail_code,remaining_amt, payrec, mode_code,coinsurance_code,class_cd,it_remarks) values</v>
      </c>
      <c r="G208" s="29" t="str">
        <f t="shared" si="14"/>
        <v>('29Nov240034','070000168174','30360',(select max(to_number(i.premium_rcv_detail_code))+1
from ins_premium_det i),'30360','30360','02', '11000003','00','Request by Mr. Reheel Malik 02-Dec-2024');</v>
      </c>
      <c r="H208" s="30" t="str">
        <f t="shared" si="15"/>
        <v>insert into ins_premium_det (premium_rcv_code,assorted_code, rec_amount,premium_rcv_detail_code,remaining_amt, payrec, mode_code,coinsurance_code,class_cd,it_remarks) values('29Nov240034','070000168174','30360',(select max(to_number(i.premium_rcv_detail_code))+1
from ins_premium_det i),'30360','30360','02', '11000003','00','Request by Mr. Reheel Malik 02-Dec-2024');</v>
      </c>
    </row>
    <row r="209" spans="1:8" ht="105" x14ac:dyDescent="0.25">
      <c r="A209" s="19" t="s">
        <v>6097</v>
      </c>
      <c r="B209" s="26" t="str">
        <f>VLOOKUP(A209,policy!B:C,2,0)</f>
        <v>070000168265</v>
      </c>
      <c r="C209" s="32">
        <v>55781</v>
      </c>
      <c r="D209" s="27">
        <f t="shared" si="13"/>
        <v>55781</v>
      </c>
      <c r="E209" s="25" t="s">
        <v>6906</v>
      </c>
      <c r="F209" s="28" t="str">
        <f t="shared" si="12"/>
        <v>insert into ins_premium_det (premium_rcv_code,assorted_code, rec_amount,premium_rcv_detail_code,remaining_amt, payrec, mode_code,coinsurance_code,class_cd,it_remarks) values</v>
      </c>
      <c r="G209" s="29" t="str">
        <f t="shared" si="14"/>
        <v>('29Nov240034','070000168265','55781',(select max(to_number(i.premium_rcv_detail_code))+1
from ins_premium_det i),'55781','55781','02', '11000003','00','Request by Mr. Reheel Malik 02-Dec-2024');</v>
      </c>
      <c r="H209" s="30" t="str">
        <f t="shared" si="15"/>
        <v>insert into ins_premium_det (premium_rcv_code,assorted_code, rec_amount,premium_rcv_detail_code,remaining_amt, payrec, mode_code,coinsurance_code,class_cd,it_remarks) values('29Nov240034','070000168265','55781',(select max(to_number(i.premium_rcv_detail_code))+1
from ins_premium_det i),'55781','55781','02', '11000003','00','Request by Mr. Reheel Malik 02-Dec-2024');</v>
      </c>
    </row>
    <row r="210" spans="1:8" ht="105" x14ac:dyDescent="0.25">
      <c r="A210" s="18" t="s">
        <v>6098</v>
      </c>
      <c r="B210" s="26" t="str">
        <f>VLOOKUP(A210,policy!B:C,2,0)</f>
        <v>070000168266</v>
      </c>
      <c r="C210" s="31">
        <v>33167</v>
      </c>
      <c r="D210" s="27">
        <f t="shared" si="13"/>
        <v>33167</v>
      </c>
      <c r="E210" s="25" t="s">
        <v>6906</v>
      </c>
      <c r="F210" s="28" t="str">
        <f t="shared" si="12"/>
        <v>insert into ins_premium_det (premium_rcv_code,assorted_code, rec_amount,premium_rcv_detail_code,remaining_amt, payrec, mode_code,coinsurance_code,class_cd,it_remarks) values</v>
      </c>
      <c r="G210" s="29" t="str">
        <f t="shared" si="14"/>
        <v>('29Nov240034','070000168266','33167',(select max(to_number(i.premium_rcv_detail_code))+1
from ins_premium_det i),'33167','33167','02', '11000003','00','Request by Mr. Reheel Malik 02-Dec-2024');</v>
      </c>
      <c r="H210" s="30" t="str">
        <f t="shared" si="15"/>
        <v>insert into ins_premium_det (premium_rcv_code,assorted_code, rec_amount,premium_rcv_detail_code,remaining_amt, payrec, mode_code,coinsurance_code,class_cd,it_remarks) values('29Nov240034','070000168266','33167',(select max(to_number(i.premium_rcv_detail_code))+1
from ins_premium_det i),'33167','33167','02', '11000003','00','Request by Mr. Reheel Malik 02-Dec-2024');</v>
      </c>
    </row>
    <row r="211" spans="1:8" ht="105" x14ac:dyDescent="0.25">
      <c r="A211" s="19" t="s">
        <v>6099</v>
      </c>
      <c r="B211" s="26" t="str">
        <f>VLOOKUP(A211,policy!B:C,2,0)</f>
        <v>070000168175</v>
      </c>
      <c r="C211" s="32">
        <v>78356</v>
      </c>
      <c r="D211" s="27">
        <f t="shared" si="13"/>
        <v>78356</v>
      </c>
      <c r="E211" s="25" t="s">
        <v>6906</v>
      </c>
      <c r="F211" s="28" t="str">
        <f t="shared" si="12"/>
        <v>insert into ins_premium_det (premium_rcv_code,assorted_code, rec_amount,premium_rcv_detail_code,remaining_amt, payrec, mode_code,coinsurance_code,class_cd,it_remarks) values</v>
      </c>
      <c r="G211" s="29" t="str">
        <f t="shared" si="14"/>
        <v>('29Nov240034','070000168175','78356',(select max(to_number(i.premium_rcv_detail_code))+1
from ins_premium_det i),'78356','78356','02', '11000003','00','Request by Mr. Reheel Malik 02-Dec-2024');</v>
      </c>
      <c r="H211" s="30" t="str">
        <f t="shared" si="15"/>
        <v>insert into ins_premium_det (premium_rcv_code,assorted_code, rec_amount,premium_rcv_detail_code,remaining_amt, payrec, mode_code,coinsurance_code,class_cd,it_remarks) values('29Nov240034','070000168175','78356',(select max(to_number(i.premium_rcv_detail_code))+1
from ins_premium_det i),'78356','78356','02', '11000003','00','Request by Mr. Reheel Malik 02-Dec-2024');</v>
      </c>
    </row>
    <row r="212" spans="1:8" ht="105" x14ac:dyDescent="0.25">
      <c r="A212" s="18" t="s">
        <v>6100</v>
      </c>
      <c r="B212" s="26" t="str">
        <f>VLOOKUP(A212,policy!B:C,2,0)</f>
        <v>070000168268</v>
      </c>
      <c r="C212" s="31">
        <v>49283</v>
      </c>
      <c r="D212" s="27">
        <f t="shared" si="13"/>
        <v>49283</v>
      </c>
      <c r="E212" s="25" t="s">
        <v>6906</v>
      </c>
      <c r="F212" s="28" t="str">
        <f t="shared" si="12"/>
        <v>insert into ins_premium_det (premium_rcv_code,assorted_code, rec_amount,premium_rcv_detail_code,remaining_amt, payrec, mode_code,coinsurance_code,class_cd,it_remarks) values</v>
      </c>
      <c r="G212" s="29" t="str">
        <f t="shared" si="14"/>
        <v>('29Nov240034','070000168268','49283',(select max(to_number(i.premium_rcv_detail_code))+1
from ins_premium_det i),'49283','49283','02', '11000003','00','Request by Mr. Reheel Malik 02-Dec-2024');</v>
      </c>
      <c r="H212" s="30" t="str">
        <f t="shared" si="15"/>
        <v>insert into ins_premium_det (premium_rcv_code,assorted_code, rec_amount,premium_rcv_detail_code,remaining_amt, payrec, mode_code,coinsurance_code,class_cd,it_remarks) values('29Nov240034','070000168268','49283',(select max(to_number(i.premium_rcv_detail_code))+1
from ins_premium_det i),'49283','49283','02', '11000003','00','Request by Mr. Reheel Malik 02-Dec-2024');</v>
      </c>
    </row>
    <row r="213" spans="1:8" ht="105" x14ac:dyDescent="0.25">
      <c r="A213" s="19" t="s">
        <v>6101</v>
      </c>
      <c r="B213" s="26" t="str">
        <f>VLOOKUP(A213,policy!B:C,2,0)</f>
        <v>070000168179</v>
      </c>
      <c r="C213" s="32">
        <v>78750</v>
      </c>
      <c r="D213" s="27">
        <f t="shared" si="13"/>
        <v>78750</v>
      </c>
      <c r="E213" s="25" t="s">
        <v>6906</v>
      </c>
      <c r="F213" s="28" t="str">
        <f t="shared" si="12"/>
        <v>insert into ins_premium_det (premium_rcv_code,assorted_code, rec_amount,premium_rcv_detail_code,remaining_amt, payrec, mode_code,coinsurance_code,class_cd,it_remarks) values</v>
      </c>
      <c r="G213" s="29" t="str">
        <f t="shared" si="14"/>
        <v>('29Nov240034','070000168179','78750',(select max(to_number(i.premium_rcv_detail_code))+1
from ins_premium_det i),'78750','78750','02', '11000003','00','Request by Mr. Reheel Malik 02-Dec-2024');</v>
      </c>
      <c r="H213" s="30" t="str">
        <f t="shared" si="15"/>
        <v>insert into ins_premium_det (premium_rcv_code,assorted_code, rec_amount,premium_rcv_detail_code,remaining_amt, payrec, mode_code,coinsurance_code,class_cd,it_remarks) values('29Nov240034','070000168179','78750',(select max(to_number(i.premium_rcv_detail_code))+1
from ins_premium_det i),'78750','78750','02', '11000003','00','Request by Mr. Reheel Malik 02-Dec-2024');</v>
      </c>
    </row>
    <row r="214" spans="1:8" ht="105" x14ac:dyDescent="0.25">
      <c r="A214" s="18" t="s">
        <v>6102</v>
      </c>
      <c r="B214" s="26" t="str">
        <f>VLOOKUP(A214,policy!B:C,2,0)</f>
        <v>070000168180</v>
      </c>
      <c r="C214" s="31">
        <v>48994</v>
      </c>
      <c r="D214" s="27">
        <f t="shared" si="13"/>
        <v>48994</v>
      </c>
      <c r="E214" s="25" t="s">
        <v>6906</v>
      </c>
      <c r="F214" s="28" t="str">
        <f t="shared" si="12"/>
        <v>insert into ins_premium_det (premium_rcv_code,assorted_code, rec_amount,premium_rcv_detail_code,remaining_amt, payrec, mode_code,coinsurance_code,class_cd,it_remarks) values</v>
      </c>
      <c r="G214" s="29" t="str">
        <f t="shared" si="14"/>
        <v>('29Nov240034','070000168180','48994',(select max(to_number(i.premium_rcv_detail_code))+1
from ins_premium_det i),'48994','48994','02', '11000003','00','Request by Mr. Reheel Malik 02-Dec-2024');</v>
      </c>
      <c r="H214" s="30" t="str">
        <f t="shared" si="15"/>
        <v>insert into ins_premium_det (premium_rcv_code,assorted_code, rec_amount,premium_rcv_detail_code,remaining_amt, payrec, mode_code,coinsurance_code,class_cd,it_remarks) values('29Nov240034','070000168180','48994',(select max(to_number(i.premium_rcv_detail_code))+1
from ins_premium_det i),'48994','48994','02', '11000003','00','Request by Mr. Reheel Malik 02-Dec-2024');</v>
      </c>
    </row>
    <row r="215" spans="1:8" ht="105" x14ac:dyDescent="0.25">
      <c r="A215" s="19" t="s">
        <v>6103</v>
      </c>
      <c r="B215" s="26" t="str">
        <f>VLOOKUP(A215,policy!B:C,2,0)</f>
        <v>070000168182</v>
      </c>
      <c r="C215" s="32">
        <v>51713</v>
      </c>
      <c r="D215" s="27">
        <f t="shared" si="13"/>
        <v>51713</v>
      </c>
      <c r="E215" s="25" t="s">
        <v>6906</v>
      </c>
      <c r="F215" s="28" t="str">
        <f t="shared" si="12"/>
        <v>insert into ins_premium_det (premium_rcv_code,assorted_code, rec_amount,premium_rcv_detail_code,remaining_amt, payrec, mode_code,coinsurance_code,class_cd,it_remarks) values</v>
      </c>
      <c r="G215" s="29" t="str">
        <f t="shared" si="14"/>
        <v>('29Nov240034','070000168182','51713',(select max(to_number(i.premium_rcv_detail_code))+1
from ins_premium_det i),'51713','51713','02', '11000003','00','Request by Mr. Reheel Malik 02-Dec-2024');</v>
      </c>
      <c r="H215" s="30" t="str">
        <f t="shared" si="15"/>
        <v>insert into ins_premium_det (premium_rcv_code,assorted_code, rec_amount,premium_rcv_detail_code,remaining_amt, payrec, mode_code,coinsurance_code,class_cd,it_remarks) values('29Nov240034','070000168182','51713',(select max(to_number(i.premium_rcv_detail_code))+1
from ins_premium_det i),'51713','51713','02', '11000003','00','Request by Mr. Reheel Malik 02-Dec-2024');</v>
      </c>
    </row>
    <row r="216" spans="1:8" ht="105" x14ac:dyDescent="0.25">
      <c r="A216" s="18" t="s">
        <v>6104</v>
      </c>
      <c r="B216" s="26" t="str">
        <f>VLOOKUP(A216,policy!B:C,2,0)</f>
        <v>070000168183</v>
      </c>
      <c r="C216" s="31">
        <v>25425</v>
      </c>
      <c r="D216" s="27">
        <f t="shared" si="13"/>
        <v>25425</v>
      </c>
      <c r="E216" s="25" t="s">
        <v>6906</v>
      </c>
      <c r="F216" s="28" t="str">
        <f t="shared" si="12"/>
        <v>insert into ins_premium_det (premium_rcv_code,assorted_code, rec_amount,premium_rcv_detail_code,remaining_amt, payrec, mode_code,coinsurance_code,class_cd,it_remarks) values</v>
      </c>
      <c r="G216" s="29" t="str">
        <f t="shared" si="14"/>
        <v>('29Nov240034','070000168183','25425',(select max(to_number(i.premium_rcv_detail_code))+1
from ins_premium_det i),'25425','25425','02', '11000003','00','Request by Mr. Reheel Malik 02-Dec-2024');</v>
      </c>
      <c r="H216" s="30" t="str">
        <f t="shared" si="15"/>
        <v>insert into ins_premium_det (premium_rcv_code,assorted_code, rec_amount,premium_rcv_detail_code,remaining_amt, payrec, mode_code,coinsurance_code,class_cd,it_remarks) values('29Nov240034','070000168183','25425',(select max(to_number(i.premium_rcv_detail_code))+1
from ins_premium_det i),'25425','25425','02', '11000003','00','Request by Mr. Reheel Malik 02-Dec-2024');</v>
      </c>
    </row>
    <row r="217" spans="1:8" ht="105" x14ac:dyDescent="0.25">
      <c r="A217" s="19" t="s">
        <v>6105</v>
      </c>
      <c r="B217" s="26" t="str">
        <f>VLOOKUP(A217,policy!B:C,2,0)</f>
        <v>070000168184</v>
      </c>
      <c r="C217" s="32">
        <v>34969</v>
      </c>
      <c r="D217" s="27">
        <f t="shared" si="13"/>
        <v>34969</v>
      </c>
      <c r="E217" s="25" t="s">
        <v>6906</v>
      </c>
      <c r="F217" s="28" t="str">
        <f t="shared" si="12"/>
        <v>insert into ins_premium_det (premium_rcv_code,assorted_code, rec_amount,premium_rcv_detail_code,remaining_amt, payrec, mode_code,coinsurance_code,class_cd,it_remarks) values</v>
      </c>
      <c r="G217" s="29" t="str">
        <f t="shared" si="14"/>
        <v>('29Nov240034','070000168184','34969',(select max(to_number(i.premium_rcv_detail_code))+1
from ins_premium_det i),'34969','34969','02', '11000003','00','Request by Mr. Reheel Malik 02-Dec-2024');</v>
      </c>
      <c r="H217" s="30" t="str">
        <f t="shared" si="15"/>
        <v>insert into ins_premium_det (premium_rcv_code,assorted_code, rec_amount,premium_rcv_detail_code,remaining_amt, payrec, mode_code,coinsurance_code,class_cd,it_remarks) values('29Nov240034','070000168184','34969',(select max(to_number(i.premium_rcv_detail_code))+1
from ins_premium_det i),'34969','34969','02', '11000003','00','Request by Mr. Reheel Malik 02-Dec-2024');</v>
      </c>
    </row>
    <row r="218" spans="1:8" ht="105" x14ac:dyDescent="0.25">
      <c r="A218" s="18" t="s">
        <v>6106</v>
      </c>
      <c r="B218" s="26" t="str">
        <f>VLOOKUP(A218,policy!B:C,2,0)</f>
        <v>070000168187</v>
      </c>
      <c r="C218" s="31">
        <v>25425</v>
      </c>
      <c r="D218" s="27">
        <f t="shared" si="13"/>
        <v>25425</v>
      </c>
      <c r="E218" s="25" t="s">
        <v>6906</v>
      </c>
      <c r="F218" s="28" t="str">
        <f t="shared" si="12"/>
        <v>insert into ins_premium_det (premium_rcv_code,assorted_code, rec_amount,premium_rcv_detail_code,remaining_amt, payrec, mode_code,coinsurance_code,class_cd,it_remarks) values</v>
      </c>
      <c r="G218" s="29" t="str">
        <f t="shared" si="14"/>
        <v>('29Nov240034','070000168187','25425',(select max(to_number(i.premium_rcv_detail_code))+1
from ins_premium_det i),'25425','25425','02', '11000003','00','Request by Mr. Reheel Malik 02-Dec-2024');</v>
      </c>
      <c r="H218" s="30" t="str">
        <f t="shared" si="15"/>
        <v>insert into ins_premium_det (premium_rcv_code,assorted_code, rec_amount,premium_rcv_detail_code,remaining_amt, payrec, mode_code,coinsurance_code,class_cd,it_remarks) values('29Nov240034','070000168187','25425',(select max(to_number(i.premium_rcv_detail_code))+1
from ins_premium_det i),'25425','25425','02', '11000003','00','Request by Mr. Reheel Malik 02-Dec-2024');</v>
      </c>
    </row>
    <row r="219" spans="1:8" ht="105" x14ac:dyDescent="0.25">
      <c r="A219" s="19" t="s">
        <v>6107</v>
      </c>
      <c r="B219" s="26" t="str">
        <f>VLOOKUP(A219,policy!B:C,2,0)</f>
        <v>070000168274</v>
      </c>
      <c r="C219" s="32">
        <v>20800</v>
      </c>
      <c r="D219" s="27">
        <f t="shared" si="13"/>
        <v>20800</v>
      </c>
      <c r="E219" s="25" t="s">
        <v>6906</v>
      </c>
      <c r="F219" s="28" t="str">
        <f t="shared" si="12"/>
        <v>insert into ins_premium_det (premium_rcv_code,assorted_code, rec_amount,premium_rcv_detail_code,remaining_amt, payrec, mode_code,coinsurance_code,class_cd,it_remarks) values</v>
      </c>
      <c r="G219" s="29" t="str">
        <f t="shared" si="14"/>
        <v>('29Nov240034','070000168274','20800',(select max(to_number(i.premium_rcv_detail_code))+1
from ins_premium_det i),'20800','20800','02', '11000003','00','Request by Mr. Reheel Malik 02-Dec-2024');</v>
      </c>
      <c r="H219" s="30" t="str">
        <f t="shared" si="15"/>
        <v>insert into ins_premium_det (premium_rcv_code,assorted_code, rec_amount,premium_rcv_detail_code,remaining_amt, payrec, mode_code,coinsurance_code,class_cd,it_remarks) values('29Nov240034','070000168274','20800',(select max(to_number(i.premium_rcv_detail_code))+1
from ins_premium_det i),'20800','20800','02', '11000003','00','Request by Mr. Reheel Malik 02-Dec-2024');</v>
      </c>
    </row>
    <row r="220" spans="1:8" ht="105" x14ac:dyDescent="0.25">
      <c r="A220" s="18" t="s">
        <v>6108</v>
      </c>
      <c r="B220" s="26" t="str">
        <f>VLOOKUP(A220,policy!B:C,2,0)</f>
        <v>070000168189</v>
      </c>
      <c r="C220" s="31">
        <v>55496</v>
      </c>
      <c r="D220" s="27">
        <f t="shared" si="13"/>
        <v>55496</v>
      </c>
      <c r="E220" s="25" t="s">
        <v>6906</v>
      </c>
      <c r="F220" s="28" t="str">
        <f t="shared" si="12"/>
        <v>insert into ins_premium_det (premium_rcv_code,assorted_code, rec_amount,premium_rcv_detail_code,remaining_amt, payrec, mode_code,coinsurance_code,class_cd,it_remarks) values</v>
      </c>
      <c r="G220" s="29" t="str">
        <f t="shared" si="14"/>
        <v>('29Nov240034','070000168189','55496',(select max(to_number(i.premium_rcv_detail_code))+1
from ins_premium_det i),'55496','55496','02', '11000003','00','Request by Mr. Reheel Malik 02-Dec-2024');</v>
      </c>
      <c r="H220" s="30" t="str">
        <f t="shared" si="15"/>
        <v>insert into ins_premium_det (premium_rcv_code,assorted_code, rec_amount,premium_rcv_detail_code,remaining_amt, payrec, mode_code,coinsurance_code,class_cd,it_remarks) values('29Nov240034','070000168189','55496',(select max(to_number(i.premium_rcv_detail_code))+1
from ins_premium_det i),'55496','55496','02', '11000003','00','Request by Mr. Reheel Malik 02-Dec-2024');</v>
      </c>
    </row>
    <row r="221" spans="1:8" ht="105" x14ac:dyDescent="0.25">
      <c r="A221" s="19" t="s">
        <v>6109</v>
      </c>
      <c r="B221" s="26" t="str">
        <f>VLOOKUP(A221,policy!B:C,2,0)</f>
        <v>070000168275</v>
      </c>
      <c r="C221" s="32">
        <v>29280</v>
      </c>
      <c r="D221" s="27">
        <f t="shared" si="13"/>
        <v>29280</v>
      </c>
      <c r="E221" s="25" t="s">
        <v>6906</v>
      </c>
      <c r="F221" s="28" t="str">
        <f t="shared" si="12"/>
        <v>insert into ins_premium_det (premium_rcv_code,assorted_code, rec_amount,premium_rcv_detail_code,remaining_amt, payrec, mode_code,coinsurance_code,class_cd,it_remarks) values</v>
      </c>
      <c r="G221" s="29" t="str">
        <f t="shared" si="14"/>
        <v>('29Nov240034','070000168275','29280',(select max(to_number(i.premium_rcv_detail_code))+1
from ins_premium_det i),'29280','29280','02', '11000003','00','Request by Mr. Reheel Malik 02-Dec-2024');</v>
      </c>
      <c r="H221" s="30" t="str">
        <f t="shared" si="15"/>
        <v>insert into ins_premium_det (premium_rcv_code,assorted_code, rec_amount,premium_rcv_detail_code,remaining_amt, payrec, mode_code,coinsurance_code,class_cd,it_remarks) values('29Nov240034','070000168275','29280',(select max(to_number(i.premium_rcv_detail_code))+1
from ins_premium_det i),'29280','29280','02', '11000003','00','Request by Mr. Reheel Malik 02-Dec-2024');</v>
      </c>
    </row>
    <row r="222" spans="1:8" ht="105" x14ac:dyDescent="0.25">
      <c r="A222" s="18" t="s">
        <v>6110</v>
      </c>
      <c r="B222" s="26" t="str">
        <f>VLOOKUP(A222,policy!B:C,2,0)</f>
        <v>070000168276</v>
      </c>
      <c r="C222" s="31">
        <v>30400</v>
      </c>
      <c r="D222" s="27">
        <f t="shared" si="13"/>
        <v>30400</v>
      </c>
      <c r="E222" s="25" t="s">
        <v>6906</v>
      </c>
      <c r="F222" s="28" t="str">
        <f t="shared" si="12"/>
        <v>insert into ins_premium_det (premium_rcv_code,assorted_code, rec_amount,premium_rcv_detail_code,remaining_amt, payrec, mode_code,coinsurance_code,class_cd,it_remarks) values</v>
      </c>
      <c r="G222" s="29" t="str">
        <f t="shared" si="14"/>
        <v>('29Nov240034','070000168276','30400',(select max(to_number(i.premium_rcv_detail_code))+1
from ins_premium_det i),'30400','30400','02', '11000003','00','Request by Mr. Reheel Malik 02-Dec-2024');</v>
      </c>
      <c r="H222" s="30" t="str">
        <f t="shared" si="15"/>
        <v>insert into ins_premium_det (premium_rcv_code,assorted_code, rec_amount,premium_rcv_detail_code,remaining_amt, payrec, mode_code,coinsurance_code,class_cd,it_remarks) values('29Nov240034','070000168276','30400',(select max(to_number(i.premium_rcv_detail_code))+1
from ins_premium_det i),'30400','30400','02', '11000003','00','Request by Mr. Reheel Malik 02-Dec-2024');</v>
      </c>
    </row>
    <row r="223" spans="1:8" ht="105" x14ac:dyDescent="0.25">
      <c r="A223" s="19" t="s">
        <v>6111</v>
      </c>
      <c r="B223" s="26" t="str">
        <f>VLOOKUP(A223,policy!B:C,2,0)</f>
        <v>070000168278</v>
      </c>
      <c r="C223" s="32">
        <v>42800</v>
      </c>
      <c r="D223" s="27">
        <f t="shared" si="13"/>
        <v>42800</v>
      </c>
      <c r="E223" s="25" t="s">
        <v>6906</v>
      </c>
      <c r="F223" s="28" t="str">
        <f t="shared" si="12"/>
        <v>insert into ins_premium_det (premium_rcv_code,assorted_code, rec_amount,premium_rcv_detail_code,remaining_amt, payrec, mode_code,coinsurance_code,class_cd,it_remarks) values</v>
      </c>
      <c r="G223" s="29" t="str">
        <f t="shared" si="14"/>
        <v>('29Nov240034','070000168278','42800',(select max(to_number(i.premium_rcv_detail_code))+1
from ins_premium_det i),'42800','42800','02', '11000003','00','Request by Mr. Reheel Malik 02-Dec-2024');</v>
      </c>
      <c r="H223" s="30" t="str">
        <f t="shared" si="15"/>
        <v>insert into ins_premium_det (premium_rcv_code,assorted_code, rec_amount,premium_rcv_detail_code,remaining_amt, payrec, mode_code,coinsurance_code,class_cd,it_remarks) values('29Nov240034','070000168278','42800',(select max(to_number(i.premium_rcv_detail_code))+1
from ins_premium_det i),'42800','42800','02', '11000003','00','Request by Mr. Reheel Malik 02-Dec-2024');</v>
      </c>
    </row>
    <row r="224" spans="1:8" ht="105" x14ac:dyDescent="0.25">
      <c r="A224" s="18" t="s">
        <v>6112</v>
      </c>
      <c r="B224" s="26" t="str">
        <f>VLOOKUP(A224,policy!B:C,2,0)</f>
        <v>070000168279</v>
      </c>
      <c r="C224" s="31">
        <v>31200</v>
      </c>
      <c r="D224" s="27">
        <f t="shared" si="13"/>
        <v>31200</v>
      </c>
      <c r="E224" s="25" t="s">
        <v>6906</v>
      </c>
      <c r="F224" s="28" t="str">
        <f t="shared" si="12"/>
        <v>insert into ins_premium_det (premium_rcv_code,assorted_code, rec_amount,premium_rcv_detail_code,remaining_amt, payrec, mode_code,coinsurance_code,class_cd,it_remarks) values</v>
      </c>
      <c r="G224" s="29" t="str">
        <f t="shared" si="14"/>
        <v>('29Nov240034','070000168279','31200',(select max(to_number(i.premium_rcv_detail_code))+1
from ins_premium_det i),'31200','31200','02', '11000003','00','Request by Mr. Reheel Malik 02-Dec-2024');</v>
      </c>
      <c r="H224" s="30" t="str">
        <f t="shared" si="15"/>
        <v>insert into ins_premium_det (premium_rcv_code,assorted_code, rec_amount,premium_rcv_detail_code,remaining_amt, payrec, mode_code,coinsurance_code,class_cd,it_remarks) values('29Nov240034','070000168279','31200',(select max(to_number(i.premium_rcv_detail_code))+1
from ins_premium_det i),'31200','31200','02', '11000003','00','Request by Mr. Reheel Malik 02-Dec-2024');</v>
      </c>
    </row>
    <row r="225" spans="1:8" ht="105" x14ac:dyDescent="0.25">
      <c r="A225" s="19" t="s">
        <v>6113</v>
      </c>
      <c r="B225" s="26" t="str">
        <f>VLOOKUP(A225,policy!B:C,2,0)</f>
        <v>070000168280</v>
      </c>
      <c r="C225" s="32">
        <v>33440</v>
      </c>
      <c r="D225" s="27">
        <f t="shared" si="13"/>
        <v>33440</v>
      </c>
      <c r="E225" s="25" t="s">
        <v>6906</v>
      </c>
      <c r="F225" s="28" t="str">
        <f t="shared" si="12"/>
        <v>insert into ins_premium_det (premium_rcv_code,assorted_code, rec_amount,premium_rcv_detail_code,remaining_amt, payrec, mode_code,coinsurance_code,class_cd,it_remarks) values</v>
      </c>
      <c r="G225" s="29" t="str">
        <f t="shared" si="14"/>
        <v>('29Nov240034','070000168280','33440',(select max(to_number(i.premium_rcv_detail_code))+1
from ins_premium_det i),'33440','33440','02', '11000003','00','Request by Mr. Reheel Malik 02-Dec-2024');</v>
      </c>
      <c r="H225" s="30" t="str">
        <f t="shared" si="15"/>
        <v>insert into ins_premium_det (premium_rcv_code,assorted_code, rec_amount,premium_rcv_detail_code,remaining_amt, payrec, mode_code,coinsurance_code,class_cd,it_remarks) values('29Nov240034','070000168280','33440',(select max(to_number(i.premium_rcv_detail_code))+1
from ins_premium_det i),'33440','33440','02', '11000003','00','Request by Mr. Reheel Malik 02-Dec-2024');</v>
      </c>
    </row>
    <row r="226" spans="1:8" ht="105" x14ac:dyDescent="0.25">
      <c r="A226" s="18" t="s">
        <v>6114</v>
      </c>
      <c r="B226" s="26" t="str">
        <f>VLOOKUP(A226,policy!B:C,2,0)</f>
        <v>070000168190</v>
      </c>
      <c r="C226" s="31">
        <v>38610</v>
      </c>
      <c r="D226" s="27">
        <f t="shared" si="13"/>
        <v>38610</v>
      </c>
      <c r="E226" s="25" t="s">
        <v>6906</v>
      </c>
      <c r="F226" s="28" t="str">
        <f t="shared" si="12"/>
        <v>insert into ins_premium_det (premium_rcv_code,assorted_code, rec_amount,premium_rcv_detail_code,remaining_amt, payrec, mode_code,coinsurance_code,class_cd,it_remarks) values</v>
      </c>
      <c r="G226" s="29" t="str">
        <f t="shared" si="14"/>
        <v>('29Nov240034','070000168190','38610',(select max(to_number(i.premium_rcv_detail_code))+1
from ins_premium_det i),'38610','38610','02', '11000003','00','Request by Mr. Reheel Malik 02-Dec-2024');</v>
      </c>
      <c r="H226" s="30" t="str">
        <f t="shared" si="15"/>
        <v>insert into ins_premium_det (premium_rcv_code,assorted_code, rec_amount,premium_rcv_detail_code,remaining_amt, payrec, mode_code,coinsurance_code,class_cd,it_remarks) values('29Nov240034','070000168190','38610',(select max(to_number(i.premium_rcv_detail_code))+1
from ins_premium_det i),'38610','38610','02', '11000003','00','Request by Mr. Reheel Malik 02-Dec-2024');</v>
      </c>
    </row>
    <row r="227" spans="1:8" ht="105" x14ac:dyDescent="0.25">
      <c r="A227" s="19" t="s">
        <v>6115</v>
      </c>
      <c r="B227" s="26" t="str">
        <f>VLOOKUP(A227,policy!B:C,2,0)</f>
        <v>070000168282</v>
      </c>
      <c r="C227" s="32">
        <v>43248</v>
      </c>
      <c r="D227" s="27">
        <f t="shared" si="13"/>
        <v>43248</v>
      </c>
      <c r="E227" s="25" t="s">
        <v>6906</v>
      </c>
      <c r="F227" s="28" t="str">
        <f t="shared" si="12"/>
        <v>insert into ins_premium_det (premium_rcv_code,assorted_code, rec_amount,premium_rcv_detail_code,remaining_amt, payrec, mode_code,coinsurance_code,class_cd,it_remarks) values</v>
      </c>
      <c r="G227" s="29" t="str">
        <f t="shared" si="14"/>
        <v>('29Nov240034','070000168282','43248',(select max(to_number(i.premium_rcv_detail_code))+1
from ins_premium_det i),'43248','43248','02', '11000003','00','Request by Mr. Reheel Malik 02-Dec-2024');</v>
      </c>
      <c r="H227" s="30" t="str">
        <f t="shared" si="15"/>
        <v>insert into ins_premium_det (premium_rcv_code,assorted_code, rec_amount,premium_rcv_detail_code,remaining_amt, payrec, mode_code,coinsurance_code,class_cd,it_remarks) values('29Nov240034','070000168282','43248',(select max(to_number(i.premium_rcv_detail_code))+1
from ins_premium_det i),'43248','43248','02', '11000003','00','Request by Mr. Reheel Malik 02-Dec-2024');</v>
      </c>
    </row>
    <row r="228" spans="1:8" ht="105" x14ac:dyDescent="0.25">
      <c r="A228" s="18" t="s">
        <v>6116</v>
      </c>
      <c r="B228" s="26" t="str">
        <f>VLOOKUP(A228,policy!B:C,2,0)</f>
        <v>070000168283</v>
      </c>
      <c r="C228" s="31">
        <v>31068</v>
      </c>
      <c r="D228" s="27">
        <f t="shared" si="13"/>
        <v>31068</v>
      </c>
      <c r="E228" s="25" t="s">
        <v>6906</v>
      </c>
      <c r="F228" s="28" t="str">
        <f t="shared" si="12"/>
        <v>insert into ins_premium_det (premium_rcv_code,assorted_code, rec_amount,premium_rcv_detail_code,remaining_amt, payrec, mode_code,coinsurance_code,class_cd,it_remarks) values</v>
      </c>
      <c r="G228" s="29" t="str">
        <f t="shared" si="14"/>
        <v>('29Nov240034','070000168283','31068',(select max(to_number(i.premium_rcv_detail_code))+1
from ins_premium_det i),'31068','31068','02', '11000003','00','Request by Mr. Reheel Malik 02-Dec-2024');</v>
      </c>
      <c r="H228" s="30" t="str">
        <f t="shared" si="15"/>
        <v>insert into ins_premium_det (premium_rcv_code,assorted_code, rec_amount,premium_rcv_detail_code,remaining_amt, payrec, mode_code,coinsurance_code,class_cd,it_remarks) values('29Nov240034','070000168283','31068',(select max(to_number(i.premium_rcv_detail_code))+1
from ins_premium_det i),'31068','31068','02', '11000003','00','Request by Mr. Reheel Malik 02-Dec-2024');</v>
      </c>
    </row>
    <row r="229" spans="1:8" ht="105" x14ac:dyDescent="0.25">
      <c r="A229" s="19" t="s">
        <v>6117</v>
      </c>
      <c r="B229" s="26" t="str">
        <f>VLOOKUP(A229,policy!B:C,2,0)</f>
        <v>070000168284</v>
      </c>
      <c r="C229" s="32">
        <v>84416</v>
      </c>
      <c r="D229" s="27">
        <f t="shared" si="13"/>
        <v>84416</v>
      </c>
      <c r="E229" s="25" t="s">
        <v>6906</v>
      </c>
      <c r="F229" s="28" t="str">
        <f t="shared" si="12"/>
        <v>insert into ins_premium_det (premium_rcv_code,assorted_code, rec_amount,premium_rcv_detail_code,remaining_amt, payrec, mode_code,coinsurance_code,class_cd,it_remarks) values</v>
      </c>
      <c r="G229" s="29" t="str">
        <f t="shared" si="14"/>
        <v>('29Nov240034','070000168284','84416',(select max(to_number(i.premium_rcv_detail_code))+1
from ins_premium_det i),'84416','84416','02', '11000003','00','Request by Mr. Reheel Malik 02-Dec-2024');</v>
      </c>
      <c r="H229" s="30" t="str">
        <f t="shared" si="15"/>
        <v>insert into ins_premium_det (premium_rcv_code,assorted_code, rec_amount,premium_rcv_detail_code,remaining_amt, payrec, mode_code,coinsurance_code,class_cd,it_remarks) values('29Nov240034','070000168284','84416',(select max(to_number(i.premium_rcv_detail_code))+1
from ins_premium_det i),'84416','84416','02', '11000003','00','Request by Mr. Reheel Malik 02-Dec-2024');</v>
      </c>
    </row>
    <row r="230" spans="1:8" ht="105" x14ac:dyDescent="0.25">
      <c r="A230" s="18" t="s">
        <v>6118</v>
      </c>
      <c r="B230" s="26" t="str">
        <f>VLOOKUP(A230,policy!B:C,2,0)</f>
        <v>070000168192</v>
      </c>
      <c r="C230" s="31">
        <v>22125</v>
      </c>
      <c r="D230" s="27">
        <f t="shared" si="13"/>
        <v>22125</v>
      </c>
      <c r="E230" s="25" t="s">
        <v>6906</v>
      </c>
      <c r="F230" s="28" t="str">
        <f t="shared" si="12"/>
        <v>insert into ins_premium_det (premium_rcv_code,assorted_code, rec_amount,premium_rcv_detail_code,remaining_amt, payrec, mode_code,coinsurance_code,class_cd,it_remarks) values</v>
      </c>
      <c r="G230" s="29" t="str">
        <f t="shared" si="14"/>
        <v>('29Nov240034','070000168192','22125',(select max(to_number(i.premium_rcv_detail_code))+1
from ins_premium_det i),'22125','22125','02', '11000003','00','Request by Mr. Reheel Malik 02-Dec-2024');</v>
      </c>
      <c r="H230" s="30" t="str">
        <f t="shared" si="15"/>
        <v>insert into ins_premium_det (premium_rcv_code,assorted_code, rec_amount,premium_rcv_detail_code,remaining_amt, payrec, mode_code,coinsurance_code,class_cd,it_remarks) values('29Nov240034','070000168192','22125',(select max(to_number(i.premium_rcv_detail_code))+1
from ins_premium_det i),'22125','22125','02', '11000003','00','Request by Mr. Reheel Malik 02-Dec-2024');</v>
      </c>
    </row>
    <row r="231" spans="1:8" ht="105" x14ac:dyDescent="0.25">
      <c r="A231" s="19" t="s">
        <v>6119</v>
      </c>
      <c r="B231" s="26" t="str">
        <f>VLOOKUP(A231,policy!B:C,2,0)</f>
        <v>070000168286</v>
      </c>
      <c r="C231" s="32">
        <v>56525</v>
      </c>
      <c r="D231" s="27">
        <f t="shared" si="13"/>
        <v>56525</v>
      </c>
      <c r="E231" s="25" t="s">
        <v>6906</v>
      </c>
      <c r="F231" s="28" t="str">
        <f t="shared" si="12"/>
        <v>insert into ins_premium_det (premium_rcv_code,assorted_code, rec_amount,premium_rcv_detail_code,remaining_amt, payrec, mode_code,coinsurance_code,class_cd,it_remarks) values</v>
      </c>
      <c r="G231" s="29" t="str">
        <f t="shared" si="14"/>
        <v>('29Nov240034','070000168286','56525',(select max(to_number(i.premium_rcv_detail_code))+1
from ins_premium_det i),'56525','56525','02', '11000003','00','Request by Mr. Reheel Malik 02-Dec-2024');</v>
      </c>
      <c r="H231" s="30" t="str">
        <f t="shared" si="15"/>
        <v>insert into ins_premium_det (premium_rcv_code,assorted_code, rec_amount,premium_rcv_detail_code,remaining_amt, payrec, mode_code,coinsurance_code,class_cd,it_remarks) values('29Nov240034','070000168286','56525',(select max(to_number(i.premium_rcv_detail_code))+1
from ins_premium_det i),'56525','56525','02', '11000003','00','Request by Mr. Reheel Malik 02-Dec-2024');</v>
      </c>
    </row>
    <row r="232" spans="1:8" ht="105" x14ac:dyDescent="0.25">
      <c r="A232" s="18" t="s">
        <v>6120</v>
      </c>
      <c r="B232" s="26" t="str">
        <f>VLOOKUP(A232,policy!B:C,2,0)</f>
        <v>070000168193</v>
      </c>
      <c r="C232" s="31">
        <v>15000</v>
      </c>
      <c r="D232" s="27">
        <f t="shared" si="13"/>
        <v>15000</v>
      </c>
      <c r="E232" s="25" t="s">
        <v>6906</v>
      </c>
      <c r="F232" s="28" t="str">
        <f t="shared" si="12"/>
        <v>insert into ins_premium_det (premium_rcv_code,assorted_code, rec_amount,premium_rcv_detail_code,remaining_amt, payrec, mode_code,coinsurance_code,class_cd,it_remarks) values</v>
      </c>
      <c r="G232" s="29" t="str">
        <f t="shared" si="14"/>
        <v>('29Nov240034','070000168193','15000',(select max(to_number(i.premium_rcv_detail_code))+1
from ins_premium_det i),'15000','15000','02', '11000003','00','Request by Mr. Reheel Malik 02-Dec-2024');</v>
      </c>
      <c r="H232" s="30" t="str">
        <f t="shared" si="15"/>
        <v>insert into ins_premium_det (premium_rcv_code,assorted_code, rec_amount,premium_rcv_detail_code,remaining_amt, payrec, mode_code,coinsurance_code,class_cd,it_remarks) values('29Nov240034','070000168193','15000',(select max(to_number(i.premium_rcv_detail_code))+1
from ins_premium_det i),'15000','15000','02', '11000003','00','Request by Mr. Reheel Malik 02-Dec-2024');</v>
      </c>
    </row>
    <row r="233" spans="1:8" ht="105" x14ac:dyDescent="0.25">
      <c r="A233" s="19" t="s">
        <v>6121</v>
      </c>
      <c r="B233" s="26" t="str">
        <f>VLOOKUP(A233,policy!B:C,2,0)</f>
        <v>070000168194</v>
      </c>
      <c r="C233" s="32">
        <v>40031</v>
      </c>
      <c r="D233" s="27">
        <f t="shared" si="13"/>
        <v>40031</v>
      </c>
      <c r="E233" s="25" t="s">
        <v>6906</v>
      </c>
      <c r="F233" s="28" t="str">
        <f t="shared" si="12"/>
        <v>insert into ins_premium_det (premium_rcv_code,assorted_code, rec_amount,premium_rcv_detail_code,remaining_amt, payrec, mode_code,coinsurance_code,class_cd,it_remarks) values</v>
      </c>
      <c r="G233" s="29" t="str">
        <f t="shared" si="14"/>
        <v>('29Nov240034','070000168194','40031',(select max(to_number(i.premium_rcv_detail_code))+1
from ins_premium_det i),'40031','40031','02', '11000003','00','Request by Mr. Reheel Malik 02-Dec-2024');</v>
      </c>
      <c r="H233" s="30" t="str">
        <f t="shared" si="15"/>
        <v>insert into ins_premium_det (premium_rcv_code,assorted_code, rec_amount,premium_rcv_detail_code,remaining_amt, payrec, mode_code,coinsurance_code,class_cd,it_remarks) values('29Nov240034','070000168194','40031',(select max(to_number(i.premium_rcv_detail_code))+1
from ins_premium_det i),'40031','40031','02', '11000003','00','Request by Mr. Reheel Malik 02-Dec-2024');</v>
      </c>
    </row>
    <row r="234" spans="1:8" ht="105" x14ac:dyDescent="0.25">
      <c r="A234" s="18" t="s">
        <v>6122</v>
      </c>
      <c r="B234" s="26" t="str">
        <f>VLOOKUP(A234,policy!B:C,2,0)</f>
        <v>070000168195</v>
      </c>
      <c r="C234" s="31">
        <v>21360</v>
      </c>
      <c r="D234" s="27">
        <f t="shared" si="13"/>
        <v>21360</v>
      </c>
      <c r="E234" s="25" t="s">
        <v>6906</v>
      </c>
      <c r="F234" s="28" t="str">
        <f t="shared" si="12"/>
        <v>insert into ins_premium_det (premium_rcv_code,assorted_code, rec_amount,premium_rcv_detail_code,remaining_amt, payrec, mode_code,coinsurance_code,class_cd,it_remarks) values</v>
      </c>
      <c r="G234" s="29" t="str">
        <f t="shared" si="14"/>
        <v>('29Nov240034','070000168195','21360',(select max(to_number(i.premium_rcv_detail_code))+1
from ins_premium_det i),'21360','21360','02', '11000003','00','Request by Mr. Reheel Malik 02-Dec-2024');</v>
      </c>
      <c r="H234" s="30" t="str">
        <f t="shared" si="15"/>
        <v>insert into ins_premium_det (premium_rcv_code,assorted_code, rec_amount,premium_rcv_detail_code,remaining_amt, payrec, mode_code,coinsurance_code,class_cd,it_remarks) values('29Nov240034','070000168195','21360',(select max(to_number(i.premium_rcv_detail_code))+1
from ins_premium_det i),'21360','21360','02', '11000003','00','Request by Mr. Reheel Malik 02-Dec-2024');</v>
      </c>
    </row>
    <row r="235" spans="1:8" ht="105" x14ac:dyDescent="0.25">
      <c r="A235" s="19" t="s">
        <v>6123</v>
      </c>
      <c r="B235" s="26" t="str">
        <f>VLOOKUP(A235,policy!B:C,2,0)</f>
        <v>070000168197</v>
      </c>
      <c r="C235" s="32">
        <v>89775</v>
      </c>
      <c r="D235" s="27">
        <f t="shared" si="13"/>
        <v>89775</v>
      </c>
      <c r="E235" s="25" t="s">
        <v>6906</v>
      </c>
      <c r="F235" s="28" t="str">
        <f t="shared" si="12"/>
        <v>insert into ins_premium_det (premium_rcv_code,assorted_code, rec_amount,premium_rcv_detail_code,remaining_amt, payrec, mode_code,coinsurance_code,class_cd,it_remarks) values</v>
      </c>
      <c r="G235" s="29" t="str">
        <f t="shared" si="14"/>
        <v>('29Nov240034','070000168197','89775',(select max(to_number(i.premium_rcv_detail_code))+1
from ins_premium_det i),'89775','89775','02', '11000003','00','Request by Mr. Reheel Malik 02-Dec-2024');</v>
      </c>
      <c r="H235" s="30" t="str">
        <f t="shared" si="15"/>
        <v>insert into ins_premium_det (premium_rcv_code,assorted_code, rec_amount,premium_rcv_detail_code,remaining_amt, payrec, mode_code,coinsurance_code,class_cd,it_remarks) values('29Nov240034','070000168197','89775',(select max(to_number(i.premium_rcv_detail_code))+1
from ins_premium_det i),'89775','89775','02', '11000003','00','Request by Mr. Reheel Malik 02-Dec-2024');</v>
      </c>
    </row>
    <row r="236" spans="1:8" ht="105" x14ac:dyDescent="0.25">
      <c r="A236" s="18" t="s">
        <v>6124</v>
      </c>
      <c r="B236" s="26" t="str">
        <f>VLOOKUP(A236,policy!B:C,2,0)</f>
        <v>070000168198</v>
      </c>
      <c r="C236" s="31">
        <v>22684</v>
      </c>
      <c r="D236" s="27">
        <f t="shared" si="13"/>
        <v>22684</v>
      </c>
      <c r="E236" s="25" t="s">
        <v>6906</v>
      </c>
      <c r="F236" s="28" t="str">
        <f t="shared" si="12"/>
        <v>insert into ins_premium_det (premium_rcv_code,assorted_code, rec_amount,premium_rcv_detail_code,remaining_amt, payrec, mode_code,coinsurance_code,class_cd,it_remarks) values</v>
      </c>
      <c r="G236" s="29" t="str">
        <f t="shared" si="14"/>
        <v>('29Nov240034','070000168198','22684',(select max(to_number(i.premium_rcv_detail_code))+1
from ins_premium_det i),'22684','22684','02', '11000003','00','Request by Mr. Reheel Malik 02-Dec-2024');</v>
      </c>
      <c r="H236" s="30" t="str">
        <f t="shared" si="15"/>
        <v>insert into ins_premium_det (premium_rcv_code,assorted_code, rec_amount,premium_rcv_detail_code,remaining_amt, payrec, mode_code,coinsurance_code,class_cd,it_remarks) values('29Nov240034','070000168198','22684',(select max(to_number(i.premium_rcv_detail_code))+1
from ins_premium_det i),'22684','22684','02', '11000003','00','Request by Mr. Reheel Malik 02-Dec-2024');</v>
      </c>
    </row>
    <row r="237" spans="1:8" ht="105" x14ac:dyDescent="0.25">
      <c r="A237" s="19" t="s">
        <v>6125</v>
      </c>
      <c r="B237" s="26" t="str">
        <f>VLOOKUP(A237,policy!B:C,2,0)</f>
        <v>070000168199</v>
      </c>
      <c r="C237" s="32">
        <v>80963</v>
      </c>
      <c r="D237" s="27">
        <f t="shared" si="13"/>
        <v>80963</v>
      </c>
      <c r="E237" s="25" t="s">
        <v>6906</v>
      </c>
      <c r="F237" s="28" t="str">
        <f t="shared" si="12"/>
        <v>insert into ins_premium_det (premium_rcv_code,assorted_code, rec_amount,premium_rcv_detail_code,remaining_amt, payrec, mode_code,coinsurance_code,class_cd,it_remarks) values</v>
      </c>
      <c r="G237" s="29" t="str">
        <f t="shared" si="14"/>
        <v>('29Nov240034','070000168199','80963',(select max(to_number(i.premium_rcv_detail_code))+1
from ins_premium_det i),'80963','80963','02', '11000003','00','Request by Mr. Reheel Malik 02-Dec-2024');</v>
      </c>
      <c r="H237" s="30" t="str">
        <f t="shared" si="15"/>
        <v>insert into ins_premium_det (premium_rcv_code,assorted_code, rec_amount,premium_rcv_detail_code,remaining_amt, payrec, mode_code,coinsurance_code,class_cd,it_remarks) values('29Nov240034','070000168199','80963',(select max(to_number(i.premium_rcv_detail_code))+1
from ins_premium_det i),'80963','80963','02', '11000003','00','Request by Mr. Reheel Malik 02-Dec-2024');</v>
      </c>
    </row>
    <row r="238" spans="1:8" ht="105" x14ac:dyDescent="0.25">
      <c r="A238" s="18" t="s">
        <v>6126</v>
      </c>
      <c r="B238" s="26" t="str">
        <f>VLOOKUP(A238,policy!B:C,2,0)</f>
        <v>070000168295</v>
      </c>
      <c r="C238" s="31">
        <v>41968</v>
      </c>
      <c r="D238" s="27">
        <f t="shared" si="13"/>
        <v>41968</v>
      </c>
      <c r="E238" s="25" t="s">
        <v>6906</v>
      </c>
      <c r="F238" s="28" t="str">
        <f t="shared" si="12"/>
        <v>insert into ins_premium_det (premium_rcv_code,assorted_code, rec_amount,premium_rcv_detail_code,remaining_amt, payrec, mode_code,coinsurance_code,class_cd,it_remarks) values</v>
      </c>
      <c r="G238" s="29" t="str">
        <f t="shared" si="14"/>
        <v>('29Nov240034','070000168295','41968',(select max(to_number(i.premium_rcv_detail_code))+1
from ins_premium_det i),'41968','41968','02', '11000003','00','Request by Mr. Reheel Malik 02-Dec-2024');</v>
      </c>
      <c r="H238" s="30" t="str">
        <f t="shared" si="15"/>
        <v>insert into ins_premium_det (premium_rcv_code,assorted_code, rec_amount,premium_rcv_detail_code,remaining_amt, payrec, mode_code,coinsurance_code,class_cd,it_remarks) values('29Nov240034','070000168295','41968',(select max(to_number(i.premium_rcv_detail_code))+1
from ins_premium_det i),'41968','41968','02', '11000003','00','Request by Mr. Reheel Malik 02-Dec-2024');</v>
      </c>
    </row>
    <row r="239" spans="1:8" ht="105" x14ac:dyDescent="0.25">
      <c r="A239" s="19" t="s">
        <v>6127</v>
      </c>
      <c r="B239" s="26" t="str">
        <f>VLOOKUP(A239,policy!B:C,2,0)</f>
        <v>070000168201</v>
      </c>
      <c r="C239" s="32">
        <v>68425</v>
      </c>
      <c r="D239" s="27">
        <f t="shared" si="13"/>
        <v>68425</v>
      </c>
      <c r="E239" s="25" t="s">
        <v>6906</v>
      </c>
      <c r="F239" s="28" t="str">
        <f t="shared" si="12"/>
        <v>insert into ins_premium_det (premium_rcv_code,assorted_code, rec_amount,premium_rcv_detail_code,remaining_amt, payrec, mode_code,coinsurance_code,class_cd,it_remarks) values</v>
      </c>
      <c r="G239" s="29" t="str">
        <f t="shared" si="14"/>
        <v>('29Nov240034','070000168201','68425',(select max(to_number(i.premium_rcv_detail_code))+1
from ins_premium_det i),'68425','68425','02', '11000003','00','Request by Mr. Reheel Malik 02-Dec-2024');</v>
      </c>
      <c r="H239" s="30" t="str">
        <f t="shared" si="15"/>
        <v>insert into ins_premium_det (premium_rcv_code,assorted_code, rec_amount,premium_rcv_detail_code,remaining_amt, payrec, mode_code,coinsurance_code,class_cd,it_remarks) values('29Nov240034','070000168201','68425',(select max(to_number(i.premium_rcv_detail_code))+1
from ins_premium_det i),'68425','68425','02', '11000003','00','Request by Mr. Reheel Malik 02-Dec-2024');</v>
      </c>
    </row>
    <row r="240" spans="1:8" ht="105" x14ac:dyDescent="0.25">
      <c r="A240" s="18" t="s">
        <v>6128</v>
      </c>
      <c r="B240" s="26" t="str">
        <f>VLOOKUP(A240,policy!B:C,2,0)</f>
        <v>070000168203</v>
      </c>
      <c r="C240" s="31">
        <v>79581</v>
      </c>
      <c r="D240" s="27">
        <f t="shared" si="13"/>
        <v>79581</v>
      </c>
      <c r="E240" s="25" t="s">
        <v>6906</v>
      </c>
      <c r="F240" s="28" t="str">
        <f t="shared" si="12"/>
        <v>insert into ins_premium_det (premium_rcv_code,assorted_code, rec_amount,premium_rcv_detail_code,remaining_amt, payrec, mode_code,coinsurance_code,class_cd,it_remarks) values</v>
      </c>
      <c r="G240" s="29" t="str">
        <f t="shared" si="14"/>
        <v>('29Nov240034','070000168203','79581',(select max(to_number(i.premium_rcv_detail_code))+1
from ins_premium_det i),'79581','79581','02', '11000003','00','Request by Mr. Reheel Malik 02-Dec-2024');</v>
      </c>
      <c r="H240" s="30" t="str">
        <f t="shared" si="15"/>
        <v>insert into ins_premium_det (premium_rcv_code,assorted_code, rec_amount,premium_rcv_detail_code,remaining_amt, payrec, mode_code,coinsurance_code,class_cd,it_remarks) values('29Nov240034','070000168203','79581',(select max(to_number(i.premium_rcv_detail_code))+1
from ins_premium_det i),'79581','79581','02', '11000003','00','Request by Mr. Reheel Malik 02-Dec-2024');</v>
      </c>
    </row>
    <row r="241" spans="1:8" ht="105" x14ac:dyDescent="0.25">
      <c r="A241" s="19" t="s">
        <v>6129</v>
      </c>
      <c r="B241" s="26" t="str">
        <f>VLOOKUP(A241,policy!B:C,2,0)</f>
        <v>070000168205</v>
      </c>
      <c r="C241" s="32">
        <v>38675</v>
      </c>
      <c r="D241" s="27">
        <f t="shared" si="13"/>
        <v>38675</v>
      </c>
      <c r="E241" s="25" t="s">
        <v>6906</v>
      </c>
      <c r="F241" s="28" t="str">
        <f t="shared" si="12"/>
        <v>insert into ins_premium_det (premium_rcv_code,assorted_code, rec_amount,premium_rcv_detail_code,remaining_amt, payrec, mode_code,coinsurance_code,class_cd,it_remarks) values</v>
      </c>
      <c r="G241" s="29" t="str">
        <f t="shared" si="14"/>
        <v>('29Nov240034','070000168205','38675',(select max(to_number(i.premium_rcv_detail_code))+1
from ins_premium_det i),'38675','38675','02', '11000003','00','Request by Mr. Reheel Malik 02-Dec-2024');</v>
      </c>
      <c r="H241" s="30" t="str">
        <f t="shared" si="15"/>
        <v>insert into ins_premium_det (premium_rcv_code,assorted_code, rec_amount,premium_rcv_detail_code,remaining_amt, payrec, mode_code,coinsurance_code,class_cd,it_remarks) values('29Nov240034','070000168205','38675',(select max(to_number(i.premium_rcv_detail_code))+1
from ins_premium_det i),'38675','38675','02', '11000003','00','Request by Mr. Reheel Malik 02-Dec-2024');</v>
      </c>
    </row>
    <row r="242" spans="1:8" ht="105" x14ac:dyDescent="0.25">
      <c r="A242" s="18" t="s">
        <v>6130</v>
      </c>
      <c r="B242" s="26" t="str">
        <f>VLOOKUP(A242,policy!B:C,2,0)</f>
        <v>070000168300</v>
      </c>
      <c r="C242" s="31">
        <v>21360</v>
      </c>
      <c r="D242" s="27">
        <f t="shared" si="13"/>
        <v>21360</v>
      </c>
      <c r="E242" s="25" t="s">
        <v>6906</v>
      </c>
      <c r="F242" s="28" t="str">
        <f t="shared" si="12"/>
        <v>insert into ins_premium_det (premium_rcv_code,assorted_code, rec_amount,premium_rcv_detail_code,remaining_amt, payrec, mode_code,coinsurance_code,class_cd,it_remarks) values</v>
      </c>
      <c r="G242" s="29" t="str">
        <f t="shared" si="14"/>
        <v>('29Nov240034','070000168300','21360',(select max(to_number(i.premium_rcv_detail_code))+1
from ins_premium_det i),'21360','21360','02', '11000003','00','Request by Mr. Reheel Malik 02-Dec-2024');</v>
      </c>
      <c r="H242" s="30" t="str">
        <f t="shared" si="15"/>
        <v>insert into ins_premium_det (premium_rcv_code,assorted_code, rec_amount,premium_rcv_detail_code,remaining_amt, payrec, mode_code,coinsurance_code,class_cd,it_remarks) values('29Nov240034','070000168300','21360',(select max(to_number(i.premium_rcv_detail_code))+1
from ins_premium_det i),'21360','21360','02', '11000003','00','Request by Mr. Reheel Malik 02-Dec-2024');</v>
      </c>
    </row>
    <row r="243" spans="1:8" ht="105" x14ac:dyDescent="0.25">
      <c r="A243" s="19" t="s">
        <v>6131</v>
      </c>
      <c r="B243" s="26" t="str">
        <f>VLOOKUP(A243,policy!B:C,2,0)</f>
        <v>070000168301</v>
      </c>
      <c r="C243" s="32">
        <v>21360</v>
      </c>
      <c r="D243" s="27">
        <f t="shared" si="13"/>
        <v>21360</v>
      </c>
      <c r="E243" s="25" t="s">
        <v>6906</v>
      </c>
      <c r="F243" s="28" t="str">
        <f t="shared" si="12"/>
        <v>insert into ins_premium_det (premium_rcv_code,assorted_code, rec_amount,premium_rcv_detail_code,remaining_amt, payrec, mode_code,coinsurance_code,class_cd,it_remarks) values</v>
      </c>
      <c r="G243" s="29" t="str">
        <f t="shared" si="14"/>
        <v>('29Nov240034','070000168301','21360',(select max(to_number(i.premium_rcv_detail_code))+1
from ins_premium_det i),'21360','21360','02', '11000003','00','Request by Mr. Reheel Malik 02-Dec-2024');</v>
      </c>
      <c r="H243" s="30" t="str">
        <f t="shared" si="15"/>
        <v>insert into ins_premium_det (premium_rcv_code,assorted_code, rec_amount,premium_rcv_detail_code,remaining_amt, payrec, mode_code,coinsurance_code,class_cd,it_remarks) values('29Nov240034','070000168301','21360',(select max(to_number(i.premium_rcv_detail_code))+1
from ins_premium_det i),'21360','21360','02', '11000003','00','Request by Mr. Reheel Malik 02-Dec-2024');</v>
      </c>
    </row>
    <row r="244" spans="1:8" ht="105" x14ac:dyDescent="0.25">
      <c r="A244" s="18" t="s">
        <v>6132</v>
      </c>
      <c r="B244" s="26" t="str">
        <f>VLOOKUP(A244,policy!B:C,2,0)</f>
        <v>070000168302</v>
      </c>
      <c r="C244" s="31">
        <v>21360</v>
      </c>
      <c r="D244" s="27">
        <f t="shared" si="13"/>
        <v>21360</v>
      </c>
      <c r="E244" s="25" t="s">
        <v>6906</v>
      </c>
      <c r="F244" s="28" t="str">
        <f t="shared" si="12"/>
        <v>insert into ins_premium_det (premium_rcv_code,assorted_code, rec_amount,premium_rcv_detail_code,remaining_amt, payrec, mode_code,coinsurance_code,class_cd,it_remarks) values</v>
      </c>
      <c r="G244" s="29" t="str">
        <f t="shared" si="14"/>
        <v>('29Nov240034','070000168302','21360',(select max(to_number(i.premium_rcv_detail_code))+1
from ins_premium_det i),'21360','21360','02', '11000003','00','Request by Mr. Reheel Malik 02-Dec-2024');</v>
      </c>
      <c r="H244" s="30" t="str">
        <f t="shared" si="15"/>
        <v>insert into ins_premium_det (premium_rcv_code,assorted_code, rec_amount,premium_rcv_detail_code,remaining_amt, payrec, mode_code,coinsurance_code,class_cd,it_remarks) values('29Nov240034','070000168302','21360',(select max(to_number(i.premium_rcv_detail_code))+1
from ins_premium_det i),'21360','21360','02', '11000003','00','Request by Mr. Reheel Malik 02-Dec-2024');</v>
      </c>
    </row>
    <row r="245" spans="1:8" ht="105" x14ac:dyDescent="0.25">
      <c r="A245" s="19" t="s">
        <v>6133</v>
      </c>
      <c r="B245" s="26" t="str">
        <f>VLOOKUP(A245,policy!B:C,2,0)</f>
        <v>070000168206</v>
      </c>
      <c r="C245" s="32">
        <v>33067</v>
      </c>
      <c r="D245" s="27">
        <f t="shared" si="13"/>
        <v>33067</v>
      </c>
      <c r="E245" s="25" t="s">
        <v>6906</v>
      </c>
      <c r="F245" s="28" t="str">
        <f t="shared" si="12"/>
        <v>insert into ins_premium_det (premium_rcv_code,assorted_code, rec_amount,premium_rcv_detail_code,remaining_amt, payrec, mode_code,coinsurance_code,class_cd,it_remarks) values</v>
      </c>
      <c r="G245" s="29" t="str">
        <f t="shared" si="14"/>
        <v>('29Nov240034','070000168206','33067',(select max(to_number(i.premium_rcv_detail_code))+1
from ins_premium_det i),'33067','33067','02', '11000003','00','Request by Mr. Reheel Malik 02-Dec-2024');</v>
      </c>
      <c r="H245" s="30" t="str">
        <f t="shared" si="15"/>
        <v>insert into ins_premium_det (premium_rcv_code,assorted_code, rec_amount,premium_rcv_detail_code,remaining_amt, payrec, mode_code,coinsurance_code,class_cd,it_remarks) values('29Nov240034','070000168206','33067',(select max(to_number(i.premium_rcv_detail_code))+1
from ins_premium_det i),'33067','33067','02', '11000003','00','Request by Mr. Reheel Malik 02-Dec-2024');</v>
      </c>
    </row>
    <row r="246" spans="1:8" ht="105" x14ac:dyDescent="0.25">
      <c r="A246" s="18" t="s">
        <v>6134</v>
      </c>
      <c r="B246" s="26" t="str">
        <f>VLOOKUP(A246,policy!B:C,2,0)</f>
        <v>070000168304</v>
      </c>
      <c r="C246" s="31">
        <v>26480</v>
      </c>
      <c r="D246" s="27">
        <f t="shared" si="13"/>
        <v>26480</v>
      </c>
      <c r="E246" s="25" t="s">
        <v>6906</v>
      </c>
      <c r="F246" s="28" t="str">
        <f t="shared" si="12"/>
        <v>insert into ins_premium_det (premium_rcv_code,assorted_code, rec_amount,premium_rcv_detail_code,remaining_amt, payrec, mode_code,coinsurance_code,class_cd,it_remarks) values</v>
      </c>
      <c r="G246" s="29" t="str">
        <f t="shared" si="14"/>
        <v>('29Nov240034','070000168304','26480',(select max(to_number(i.premium_rcv_detail_code))+1
from ins_premium_det i),'26480','26480','02', '11000003','00','Request by Mr. Reheel Malik 02-Dec-2024');</v>
      </c>
      <c r="H246" s="30" t="str">
        <f t="shared" si="15"/>
        <v>insert into ins_premium_det (premium_rcv_code,assorted_code, rec_amount,premium_rcv_detail_code,remaining_amt, payrec, mode_code,coinsurance_code,class_cd,it_remarks) values('29Nov240034','070000168304','26480',(select max(to_number(i.premium_rcv_detail_code))+1
from ins_premium_det i),'26480','26480','02', '11000003','00','Request by Mr. Reheel Malik 02-Dec-2024');</v>
      </c>
    </row>
    <row r="247" spans="1:8" ht="105" x14ac:dyDescent="0.25">
      <c r="A247" s="19" t="s">
        <v>6135</v>
      </c>
      <c r="B247" s="26" t="str">
        <f>VLOOKUP(A247,policy!B:C,2,0)</f>
        <v>070000168207</v>
      </c>
      <c r="C247" s="32">
        <v>30512</v>
      </c>
      <c r="D247" s="27">
        <f t="shared" si="13"/>
        <v>30512</v>
      </c>
      <c r="E247" s="25" t="s">
        <v>6906</v>
      </c>
      <c r="F247" s="28" t="str">
        <f t="shared" si="12"/>
        <v>insert into ins_premium_det (premium_rcv_code,assorted_code, rec_amount,premium_rcv_detail_code,remaining_amt, payrec, mode_code,coinsurance_code,class_cd,it_remarks) values</v>
      </c>
      <c r="G247" s="29" t="str">
        <f t="shared" si="14"/>
        <v>('29Nov240034','070000168207','30512',(select max(to_number(i.premium_rcv_detail_code))+1
from ins_premium_det i),'30512','30512','02', '11000003','00','Request by Mr. Reheel Malik 02-Dec-2024');</v>
      </c>
      <c r="H247" s="30" t="str">
        <f t="shared" si="15"/>
        <v>insert into ins_premium_det (premium_rcv_code,assorted_code, rec_amount,premium_rcv_detail_code,remaining_amt, payrec, mode_code,coinsurance_code,class_cd,it_remarks) values('29Nov240034','070000168207','30512',(select max(to_number(i.premium_rcv_detail_code))+1
from ins_premium_det i),'30512','30512','02', '11000003','00','Request by Mr. Reheel Malik 02-Dec-2024');</v>
      </c>
    </row>
    <row r="248" spans="1:8" ht="105" x14ac:dyDescent="0.25">
      <c r="A248" s="18" t="s">
        <v>6136</v>
      </c>
      <c r="B248" s="26" t="str">
        <f>VLOOKUP(A248,policy!B:C,2,0)</f>
        <v>070000168306</v>
      </c>
      <c r="C248" s="31">
        <v>52528</v>
      </c>
      <c r="D248" s="27">
        <f t="shared" si="13"/>
        <v>52528</v>
      </c>
      <c r="E248" s="25" t="s">
        <v>6906</v>
      </c>
      <c r="F248" s="28" t="str">
        <f t="shared" si="12"/>
        <v>insert into ins_premium_det (premium_rcv_code,assorted_code, rec_amount,premium_rcv_detail_code,remaining_amt, payrec, mode_code,coinsurance_code,class_cd,it_remarks) values</v>
      </c>
      <c r="G248" s="29" t="str">
        <f t="shared" si="14"/>
        <v>('29Nov240034','070000168306','52528',(select max(to_number(i.premium_rcv_detail_code))+1
from ins_premium_det i),'52528','52528','02', '11000003','00','Request by Mr. Reheel Malik 02-Dec-2024');</v>
      </c>
      <c r="H248" s="30" t="str">
        <f t="shared" si="15"/>
        <v>insert into ins_premium_det (premium_rcv_code,assorted_code, rec_amount,premium_rcv_detail_code,remaining_amt, payrec, mode_code,coinsurance_code,class_cd,it_remarks) values('29Nov240034','070000168306','52528',(select max(to_number(i.premium_rcv_detail_code))+1
from ins_premium_det i),'52528','52528','02', '11000003','00','Request by Mr. Reheel Malik 02-Dec-2024');</v>
      </c>
    </row>
    <row r="249" spans="1:8" ht="105" x14ac:dyDescent="0.25">
      <c r="A249" s="19" t="s">
        <v>6137</v>
      </c>
      <c r="B249" s="26" t="str">
        <f>VLOOKUP(A249,policy!B:C,2,0)</f>
        <v>070000168209</v>
      </c>
      <c r="C249" s="32">
        <v>34213</v>
      </c>
      <c r="D249" s="27">
        <f t="shared" si="13"/>
        <v>34213</v>
      </c>
      <c r="E249" s="25" t="s">
        <v>6906</v>
      </c>
      <c r="F249" s="28" t="str">
        <f t="shared" si="12"/>
        <v>insert into ins_premium_det (premium_rcv_code,assorted_code, rec_amount,premium_rcv_detail_code,remaining_amt, payrec, mode_code,coinsurance_code,class_cd,it_remarks) values</v>
      </c>
      <c r="G249" s="29" t="str">
        <f t="shared" si="14"/>
        <v>('29Nov240034','070000168209','34213',(select max(to_number(i.premium_rcv_detail_code))+1
from ins_premium_det i),'34213','34213','02', '11000003','00','Request by Mr. Reheel Malik 02-Dec-2024');</v>
      </c>
      <c r="H249" s="30" t="str">
        <f t="shared" si="15"/>
        <v>insert into ins_premium_det (premium_rcv_code,assorted_code, rec_amount,premium_rcv_detail_code,remaining_amt, payrec, mode_code,coinsurance_code,class_cd,it_remarks) values('29Nov240034','070000168209','34213',(select max(to_number(i.premium_rcv_detail_code))+1
from ins_premium_det i),'34213','34213','02', '11000003','00','Request by Mr. Reheel Malik 02-Dec-2024');</v>
      </c>
    </row>
    <row r="250" spans="1:8" ht="105" x14ac:dyDescent="0.25">
      <c r="A250" s="18" t="s">
        <v>6138</v>
      </c>
      <c r="B250" s="26" t="str">
        <f>VLOOKUP(A250,policy!B:C,2,0)</f>
        <v>070000168214</v>
      </c>
      <c r="C250" s="31">
        <v>30940</v>
      </c>
      <c r="D250" s="27">
        <f t="shared" si="13"/>
        <v>30940</v>
      </c>
      <c r="E250" s="25" t="s">
        <v>6906</v>
      </c>
      <c r="F250" s="28" t="str">
        <f t="shared" si="12"/>
        <v>insert into ins_premium_det (premium_rcv_code,assorted_code, rec_amount,premium_rcv_detail_code,remaining_amt, payrec, mode_code,coinsurance_code,class_cd,it_remarks) values</v>
      </c>
      <c r="G250" s="29" t="str">
        <f t="shared" si="14"/>
        <v>('29Nov240034','070000168214','30940',(select max(to_number(i.premium_rcv_detail_code))+1
from ins_premium_det i),'30940','30940','02', '11000003','00','Request by Mr. Reheel Malik 02-Dec-2024');</v>
      </c>
      <c r="H250" s="30" t="str">
        <f t="shared" si="15"/>
        <v>insert into ins_premium_det (premium_rcv_code,assorted_code, rec_amount,premium_rcv_detail_code,remaining_amt, payrec, mode_code,coinsurance_code,class_cd,it_remarks) values('29Nov240034','070000168214','30940',(select max(to_number(i.premium_rcv_detail_code))+1
from ins_premium_det i),'30940','30940','02', '11000003','00','Request by Mr. Reheel Malik 02-Dec-2024');</v>
      </c>
    </row>
    <row r="251" spans="1:8" ht="105" x14ac:dyDescent="0.25">
      <c r="A251" s="19" t="s">
        <v>6139</v>
      </c>
      <c r="B251" s="26" t="str">
        <f>VLOOKUP(A251,policy!B:C,2,0)</f>
        <v>070000168215</v>
      </c>
      <c r="C251" s="32">
        <v>38140</v>
      </c>
      <c r="D251" s="27">
        <f t="shared" si="13"/>
        <v>38140</v>
      </c>
      <c r="E251" s="25" t="s">
        <v>6906</v>
      </c>
      <c r="F251" s="28" t="str">
        <f t="shared" si="12"/>
        <v>insert into ins_premium_det (premium_rcv_code,assorted_code, rec_amount,premium_rcv_detail_code,remaining_amt, payrec, mode_code,coinsurance_code,class_cd,it_remarks) values</v>
      </c>
      <c r="G251" s="29" t="str">
        <f t="shared" si="14"/>
        <v>('29Nov240034','070000168215','38140',(select max(to_number(i.premium_rcv_detail_code))+1
from ins_premium_det i),'38140','38140','02', '11000003','00','Request by Mr. Reheel Malik 02-Dec-2024');</v>
      </c>
      <c r="H251" s="30" t="str">
        <f t="shared" si="15"/>
        <v>insert into ins_premium_det (premium_rcv_code,assorted_code, rec_amount,premium_rcv_detail_code,remaining_amt, payrec, mode_code,coinsurance_code,class_cd,it_remarks) values('29Nov240034','070000168215','38140',(select max(to_number(i.premium_rcv_detail_code))+1
from ins_premium_det i),'38140','38140','02', '11000003','00','Request by Mr. Reheel Malik 02-Dec-2024');</v>
      </c>
    </row>
    <row r="252" spans="1:8" ht="105" x14ac:dyDescent="0.25">
      <c r="A252" s="18" t="s">
        <v>6140</v>
      </c>
      <c r="B252" s="26" t="str">
        <f>VLOOKUP(A252,policy!B:C,2,0)</f>
        <v>070000168217</v>
      </c>
      <c r="C252" s="31">
        <v>31238</v>
      </c>
      <c r="D252" s="27">
        <f t="shared" si="13"/>
        <v>31238</v>
      </c>
      <c r="E252" s="25" t="s">
        <v>6906</v>
      </c>
      <c r="F252" s="28" t="str">
        <f t="shared" si="12"/>
        <v>insert into ins_premium_det (premium_rcv_code,assorted_code, rec_amount,premium_rcv_detail_code,remaining_amt, payrec, mode_code,coinsurance_code,class_cd,it_remarks) values</v>
      </c>
      <c r="G252" s="29" t="str">
        <f t="shared" si="14"/>
        <v>('29Nov240034','070000168217','31238',(select max(to_number(i.premium_rcv_detail_code))+1
from ins_premium_det i),'31238','31238','02', '11000003','00','Request by Mr. Reheel Malik 02-Dec-2024');</v>
      </c>
      <c r="H252" s="30" t="str">
        <f t="shared" si="15"/>
        <v>insert into ins_premium_det (premium_rcv_code,assorted_code, rec_amount,premium_rcv_detail_code,remaining_amt, payrec, mode_code,coinsurance_code,class_cd,it_remarks) values('29Nov240034','070000168217','31238',(select max(to_number(i.premium_rcv_detail_code))+1
from ins_premium_det i),'31238','31238','02', '11000003','00','Request by Mr. Reheel Malik 02-Dec-2024');</v>
      </c>
    </row>
    <row r="253" spans="1:8" ht="105" x14ac:dyDescent="0.25">
      <c r="A253" s="19" t="s">
        <v>6141</v>
      </c>
      <c r="B253" s="26" t="str">
        <f>VLOOKUP(A253,policy!B:C,2,0)</f>
        <v>070000168218</v>
      </c>
      <c r="C253" s="32">
        <v>11760</v>
      </c>
      <c r="D253" s="27">
        <f t="shared" si="13"/>
        <v>11760</v>
      </c>
      <c r="E253" s="25" t="s">
        <v>6906</v>
      </c>
      <c r="F253" s="28" t="str">
        <f t="shared" si="12"/>
        <v>insert into ins_premium_det (premium_rcv_code,assorted_code, rec_amount,premium_rcv_detail_code,remaining_amt, payrec, mode_code,coinsurance_code,class_cd,it_remarks) values</v>
      </c>
      <c r="G253" s="29" t="str">
        <f t="shared" si="14"/>
        <v>('29Nov240034','070000168218','11760',(select max(to_number(i.premium_rcv_detail_code))+1
from ins_premium_det i),'11760','11760','02', '11000003','00','Request by Mr. Reheel Malik 02-Dec-2024');</v>
      </c>
      <c r="H253" s="30" t="str">
        <f t="shared" si="15"/>
        <v>insert into ins_premium_det (premium_rcv_code,assorted_code, rec_amount,premium_rcv_detail_code,remaining_amt, payrec, mode_code,coinsurance_code,class_cd,it_remarks) values('29Nov240034','070000168218','11760',(select max(to_number(i.premium_rcv_detail_code))+1
from ins_premium_det i),'11760','11760','02', '11000003','00','Request by Mr. Reheel Malik 02-Dec-2024');</v>
      </c>
    </row>
    <row r="254" spans="1:8" ht="105" x14ac:dyDescent="0.25">
      <c r="A254" s="18" t="s">
        <v>6142</v>
      </c>
      <c r="B254" s="26" t="str">
        <f>VLOOKUP(A254,policy!B:C,2,0)</f>
        <v>070000168313</v>
      </c>
      <c r="C254" s="31">
        <v>52830</v>
      </c>
      <c r="D254" s="27">
        <f t="shared" si="13"/>
        <v>52830</v>
      </c>
      <c r="E254" s="25" t="s">
        <v>6906</v>
      </c>
      <c r="F254" s="28" t="str">
        <f t="shared" si="12"/>
        <v>insert into ins_premium_det (premium_rcv_code,assorted_code, rec_amount,premium_rcv_detail_code,remaining_amt, payrec, mode_code,coinsurance_code,class_cd,it_remarks) values</v>
      </c>
      <c r="G254" s="29" t="str">
        <f t="shared" si="14"/>
        <v>('29Nov240034','070000168313','52830',(select max(to_number(i.premium_rcv_detail_code))+1
from ins_premium_det i),'52830','52830','02', '11000003','00','Request by Mr. Reheel Malik 02-Dec-2024');</v>
      </c>
      <c r="H254" s="30" t="str">
        <f t="shared" si="15"/>
        <v>insert into ins_premium_det (premium_rcv_code,assorted_code, rec_amount,premium_rcv_detail_code,remaining_amt, payrec, mode_code,coinsurance_code,class_cd,it_remarks) values('29Nov240034','070000168313','52830',(select max(to_number(i.premium_rcv_detail_code))+1
from ins_premium_det i),'52830','52830','02', '11000003','00','Request by Mr. Reheel Malik 02-Dec-2024');</v>
      </c>
    </row>
    <row r="255" spans="1:8" ht="105" x14ac:dyDescent="0.25">
      <c r="A255" s="19" t="s">
        <v>6143</v>
      </c>
      <c r="B255" s="26" t="str">
        <f>VLOOKUP(A255,policy!B:C,2,0)</f>
        <v>070000168314</v>
      </c>
      <c r="C255" s="32">
        <v>32062</v>
      </c>
      <c r="D255" s="27">
        <f t="shared" si="13"/>
        <v>32062</v>
      </c>
      <c r="E255" s="25" t="s">
        <v>6906</v>
      </c>
      <c r="F255" s="28" t="str">
        <f t="shared" si="12"/>
        <v>insert into ins_premium_det (premium_rcv_code,assorted_code, rec_amount,premium_rcv_detail_code,remaining_amt, payrec, mode_code,coinsurance_code,class_cd,it_remarks) values</v>
      </c>
      <c r="G255" s="29" t="str">
        <f t="shared" si="14"/>
        <v>('29Nov240034','070000168314','32062',(select max(to_number(i.premium_rcv_detail_code))+1
from ins_premium_det i),'32062','32062','02', '11000003','00','Request by Mr. Reheel Malik 02-Dec-2024');</v>
      </c>
      <c r="H255" s="30" t="str">
        <f t="shared" si="15"/>
        <v>insert into ins_premium_det (premium_rcv_code,assorted_code, rec_amount,premium_rcv_detail_code,remaining_amt, payrec, mode_code,coinsurance_code,class_cd,it_remarks) values('29Nov240034','070000168314','32062',(select max(to_number(i.premium_rcv_detail_code))+1
from ins_premium_det i),'32062','32062','02', '11000003','00','Request by Mr. Reheel Malik 02-Dec-2024');</v>
      </c>
    </row>
    <row r="256" spans="1:8" ht="105" x14ac:dyDescent="0.25">
      <c r="A256" s="18" t="s">
        <v>6144</v>
      </c>
      <c r="B256" s="26" t="str">
        <f>VLOOKUP(A256,policy!B:C,2,0)</f>
        <v>070000168315</v>
      </c>
      <c r="C256" s="31">
        <v>66938</v>
      </c>
      <c r="D256" s="27">
        <f t="shared" si="13"/>
        <v>66938</v>
      </c>
      <c r="E256" s="25" t="s">
        <v>6906</v>
      </c>
      <c r="F256" s="28" t="str">
        <f t="shared" si="12"/>
        <v>insert into ins_premium_det (premium_rcv_code,assorted_code, rec_amount,premium_rcv_detail_code,remaining_amt, payrec, mode_code,coinsurance_code,class_cd,it_remarks) values</v>
      </c>
      <c r="G256" s="29" t="str">
        <f t="shared" si="14"/>
        <v>('29Nov240034','070000168315','66938',(select max(to_number(i.premium_rcv_detail_code))+1
from ins_premium_det i),'66938','66938','02', '11000003','00','Request by Mr. Reheel Malik 02-Dec-2024');</v>
      </c>
      <c r="H256" s="30" t="str">
        <f t="shared" si="15"/>
        <v>insert into ins_premium_det (premium_rcv_code,assorted_code, rec_amount,premium_rcv_detail_code,remaining_amt, payrec, mode_code,coinsurance_code,class_cd,it_remarks) values('29Nov240034','070000168315','66938',(select max(to_number(i.premium_rcv_detail_code))+1
from ins_premium_det i),'66938','66938','02', '11000003','00','Request by Mr. Reheel Malik 02-Dec-2024');</v>
      </c>
    </row>
    <row r="257" spans="1:8" ht="105" x14ac:dyDescent="0.25">
      <c r="A257" s="19" t="s">
        <v>6145</v>
      </c>
      <c r="B257" s="26" t="str">
        <f>VLOOKUP(A257,policy!B:C,2,0)</f>
        <v>070000168221</v>
      </c>
      <c r="C257" s="32">
        <v>20825</v>
      </c>
      <c r="D257" s="27">
        <f t="shared" si="13"/>
        <v>20825</v>
      </c>
      <c r="E257" s="25" t="s">
        <v>6906</v>
      </c>
      <c r="F257" s="28" t="str">
        <f t="shared" si="12"/>
        <v>insert into ins_premium_det (premium_rcv_code,assorted_code, rec_amount,premium_rcv_detail_code,remaining_amt, payrec, mode_code,coinsurance_code,class_cd,it_remarks) values</v>
      </c>
      <c r="G257" s="29" t="str">
        <f t="shared" si="14"/>
        <v>('29Nov240034','070000168221','20825',(select max(to_number(i.premium_rcv_detail_code))+1
from ins_premium_det i),'20825','20825','02', '11000003','00','Request by Mr. Reheel Malik 02-Dec-2024');</v>
      </c>
      <c r="H257" s="30" t="str">
        <f t="shared" si="15"/>
        <v>insert into ins_premium_det (premium_rcv_code,assorted_code, rec_amount,premium_rcv_detail_code,remaining_amt, payrec, mode_code,coinsurance_code,class_cd,it_remarks) values('29Nov240034','070000168221','20825',(select max(to_number(i.premium_rcv_detail_code))+1
from ins_premium_det i),'20825','20825','02', '11000003','00','Request by Mr. Reheel Malik 02-Dec-2024');</v>
      </c>
    </row>
    <row r="258" spans="1:8" ht="105" x14ac:dyDescent="0.25">
      <c r="A258" s="18" t="s">
        <v>6146</v>
      </c>
      <c r="B258" s="26" t="str">
        <f>VLOOKUP(A258,policy!B:C,2,0)</f>
        <v>070000168223</v>
      </c>
      <c r="C258" s="31">
        <v>41650</v>
      </c>
      <c r="D258" s="27">
        <f t="shared" si="13"/>
        <v>41650</v>
      </c>
      <c r="E258" s="25" t="s">
        <v>6906</v>
      </c>
      <c r="F258" s="28" t="str">
        <f t="shared" ref="F258:F321" si="16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258" s="29" t="str">
        <f t="shared" si="14"/>
        <v>('29Nov240034','070000168223','41650',(select max(to_number(i.premium_rcv_detail_code))+1
from ins_premium_det i),'41650','41650','02', '11000003','00','Request by Mr. Reheel Malik 02-Dec-2024');</v>
      </c>
      <c r="H258" s="30" t="str">
        <f t="shared" si="15"/>
        <v>insert into ins_premium_det (premium_rcv_code,assorted_code, rec_amount,premium_rcv_detail_code,remaining_amt, payrec, mode_code,coinsurance_code,class_cd,it_remarks) values('29Nov240034','070000168223','41650',(select max(to_number(i.premium_rcv_detail_code))+1
from ins_premium_det i),'41650','41650','02', '11000003','00','Request by Mr. Reheel Malik 02-Dec-2024');</v>
      </c>
    </row>
    <row r="259" spans="1:8" ht="105" x14ac:dyDescent="0.25">
      <c r="A259" s="19" t="s">
        <v>6147</v>
      </c>
      <c r="B259" s="26" t="str">
        <f>VLOOKUP(A259,policy!B:C,2,0)</f>
        <v>070000168318</v>
      </c>
      <c r="C259" s="32">
        <v>33469</v>
      </c>
      <c r="D259" s="27">
        <f t="shared" ref="D259:D322" si="17">ROUND(C259,0)</f>
        <v>33469</v>
      </c>
      <c r="E259" s="25" t="s">
        <v>6906</v>
      </c>
      <c r="F259" s="28" t="str">
        <f t="shared" si="16"/>
        <v>insert into ins_premium_det (premium_rcv_code,assorted_code, rec_amount,premium_rcv_detail_code,remaining_amt, payrec, mode_code,coinsurance_code,class_cd,it_remarks) values</v>
      </c>
      <c r="G259" s="29" t="str">
        <f t="shared" ref="G259:G322" si="18">"('"&amp;E259&amp;"','"&amp;B259&amp;"','"&amp;D259&amp;"',(select max(to_number(i.premium_rcv_detail_code))+1
from ins_premium_det i),'"&amp;D259&amp;"','"&amp;D259&amp;"','02', '11000003','00','Request by Mr. Reheel Malik 02-Dec-2024');"</f>
        <v>('29Nov240034','070000168318','33469',(select max(to_number(i.premium_rcv_detail_code))+1
from ins_premium_det i),'33469','33469','02', '11000003','00','Request by Mr. Reheel Malik 02-Dec-2024');</v>
      </c>
      <c r="H259" s="30" t="str">
        <f t="shared" ref="H259:H322" si="19">F259&amp;G259</f>
        <v>insert into ins_premium_det (premium_rcv_code,assorted_code, rec_amount,premium_rcv_detail_code,remaining_amt, payrec, mode_code,coinsurance_code,class_cd,it_remarks) values('29Nov240034','070000168318','33469',(select max(to_number(i.premium_rcv_detail_code))+1
from ins_premium_det i),'33469','33469','02', '11000003','00','Request by Mr. Reheel Malik 02-Dec-2024');</v>
      </c>
    </row>
    <row r="260" spans="1:8" ht="105" x14ac:dyDescent="0.25">
      <c r="A260" s="18" t="s">
        <v>6148</v>
      </c>
      <c r="B260" s="26" t="str">
        <f>VLOOKUP(A260,policy!B:C,2,0)</f>
        <v>070000168319</v>
      </c>
      <c r="C260" s="31">
        <v>110819</v>
      </c>
      <c r="D260" s="27">
        <f t="shared" si="17"/>
        <v>110819</v>
      </c>
      <c r="E260" s="25" t="s">
        <v>6906</v>
      </c>
      <c r="F260" s="28" t="str">
        <f t="shared" si="16"/>
        <v>insert into ins_premium_det (premium_rcv_code,assorted_code, rec_amount,premium_rcv_detail_code,remaining_amt, payrec, mode_code,coinsurance_code,class_cd,it_remarks) values</v>
      </c>
      <c r="G260" s="29" t="str">
        <f t="shared" si="18"/>
        <v>('29Nov240034','070000168319','110819',(select max(to_number(i.premium_rcv_detail_code))+1
from ins_premium_det i),'110819','110819','02', '11000003','00','Request by Mr. Reheel Malik 02-Dec-2024');</v>
      </c>
      <c r="H260" s="30" t="str">
        <f t="shared" si="19"/>
        <v>insert into ins_premium_det (premium_rcv_code,assorted_code, rec_amount,premium_rcv_detail_code,remaining_amt, payrec, mode_code,coinsurance_code,class_cd,it_remarks) values('29Nov240034','070000168319','110819',(select max(to_number(i.premium_rcv_detail_code))+1
from ins_premium_det i),'110819','110819','02', '11000003','00','Request by Mr. Reheel Malik 02-Dec-2024');</v>
      </c>
    </row>
    <row r="261" spans="1:8" ht="105" x14ac:dyDescent="0.25">
      <c r="A261" s="19" t="s">
        <v>6149</v>
      </c>
      <c r="B261" s="26" t="str">
        <f>VLOOKUP(A261,policy!B:C,2,0)</f>
        <v>070000168320</v>
      </c>
      <c r="C261" s="32">
        <v>59500</v>
      </c>
      <c r="D261" s="27">
        <f t="shared" si="17"/>
        <v>59500</v>
      </c>
      <c r="E261" s="25" t="s">
        <v>6906</v>
      </c>
      <c r="F261" s="28" t="str">
        <f t="shared" si="16"/>
        <v>insert into ins_premium_det (premium_rcv_code,assorted_code, rec_amount,premium_rcv_detail_code,remaining_amt, payrec, mode_code,coinsurance_code,class_cd,it_remarks) values</v>
      </c>
      <c r="G261" s="29" t="str">
        <f t="shared" si="18"/>
        <v>('29Nov240034','070000168320','59500',(select max(to_number(i.premium_rcv_detail_code))+1
from ins_premium_det i),'59500','59500','02', '11000003','00','Request by Mr. Reheel Malik 02-Dec-2024');</v>
      </c>
      <c r="H261" s="30" t="str">
        <f t="shared" si="19"/>
        <v>insert into ins_premium_det (premium_rcv_code,assorted_code, rec_amount,premium_rcv_detail_code,remaining_amt, payrec, mode_code,coinsurance_code,class_cd,it_remarks) values('29Nov240034','070000168320','59500',(select max(to_number(i.premium_rcv_detail_code))+1
from ins_premium_det i),'59500','59500','02', '11000003','00','Request by Mr. Reheel Malik 02-Dec-2024');</v>
      </c>
    </row>
    <row r="262" spans="1:8" ht="105" x14ac:dyDescent="0.25">
      <c r="A262" s="18" t="s">
        <v>6150</v>
      </c>
      <c r="B262" s="26" t="str">
        <f>VLOOKUP(A262,policy!B:C,2,0)</f>
        <v>070000168224</v>
      </c>
      <c r="C262" s="31">
        <v>98679</v>
      </c>
      <c r="D262" s="27">
        <f t="shared" si="17"/>
        <v>98679</v>
      </c>
      <c r="E262" s="25" t="s">
        <v>6906</v>
      </c>
      <c r="F262" s="28" t="str">
        <f t="shared" si="16"/>
        <v>insert into ins_premium_det (premium_rcv_code,assorted_code, rec_amount,premium_rcv_detail_code,remaining_amt, payrec, mode_code,coinsurance_code,class_cd,it_remarks) values</v>
      </c>
      <c r="G262" s="29" t="str">
        <f t="shared" si="18"/>
        <v>('29Nov240034','070000168224','98679',(select max(to_number(i.premium_rcv_detail_code))+1
from ins_premium_det i),'98679','98679','02', '11000003','00','Request by Mr. Reheel Malik 02-Dec-2024');</v>
      </c>
      <c r="H262" s="30" t="str">
        <f t="shared" si="19"/>
        <v>insert into ins_premium_det (premium_rcv_code,assorted_code, rec_amount,premium_rcv_detail_code,remaining_amt, payrec, mode_code,coinsurance_code,class_cd,it_remarks) values('29Nov240034','070000168224','98679',(select max(to_number(i.premium_rcv_detail_code))+1
from ins_premium_det i),'98679','98679','02', '11000003','00','Request by Mr. Reheel Malik 02-Dec-2024');</v>
      </c>
    </row>
    <row r="263" spans="1:8" ht="105" x14ac:dyDescent="0.25">
      <c r="A263" s="19" t="s">
        <v>6151</v>
      </c>
      <c r="B263" s="26" t="str">
        <f>VLOOKUP(A263,policy!B:C,2,0)</f>
        <v>070000168227</v>
      </c>
      <c r="C263" s="32">
        <v>50880</v>
      </c>
      <c r="D263" s="27">
        <f t="shared" si="17"/>
        <v>50880</v>
      </c>
      <c r="E263" s="25" t="s">
        <v>6906</v>
      </c>
      <c r="F263" s="28" t="str">
        <f t="shared" si="16"/>
        <v>insert into ins_premium_det (premium_rcv_code,assorted_code, rec_amount,premium_rcv_detail_code,remaining_amt, payrec, mode_code,coinsurance_code,class_cd,it_remarks) values</v>
      </c>
      <c r="G263" s="29" t="str">
        <f t="shared" si="18"/>
        <v>('29Nov240034','070000168227','50880',(select max(to_number(i.premium_rcv_detail_code))+1
from ins_premium_det i),'50880','50880','02', '11000003','00','Request by Mr. Reheel Malik 02-Dec-2024');</v>
      </c>
      <c r="H263" s="30" t="str">
        <f t="shared" si="19"/>
        <v>insert into ins_premium_det (premium_rcv_code,assorted_code, rec_amount,premium_rcv_detail_code,remaining_amt, payrec, mode_code,coinsurance_code,class_cd,it_remarks) values('29Nov240034','070000168227','50880',(select max(to_number(i.premium_rcv_detail_code))+1
from ins_premium_det i),'50880','50880','02', '11000003','00','Request by Mr. Reheel Malik 02-Dec-2024');</v>
      </c>
    </row>
    <row r="264" spans="1:8" ht="105" x14ac:dyDescent="0.25">
      <c r="A264" s="18" t="s">
        <v>6152</v>
      </c>
      <c r="B264" s="26" t="str">
        <f>VLOOKUP(A264,policy!B:C,2,0)</f>
        <v>070000168228</v>
      </c>
      <c r="C264" s="31">
        <v>46480</v>
      </c>
      <c r="D264" s="27">
        <f t="shared" si="17"/>
        <v>46480</v>
      </c>
      <c r="E264" s="25" t="s">
        <v>6906</v>
      </c>
      <c r="F264" s="28" t="str">
        <f t="shared" si="16"/>
        <v>insert into ins_premium_det (premium_rcv_code,assorted_code, rec_amount,premium_rcv_detail_code,remaining_amt, payrec, mode_code,coinsurance_code,class_cd,it_remarks) values</v>
      </c>
      <c r="G264" s="29" t="str">
        <f t="shared" si="18"/>
        <v>('29Nov240034','070000168228','46480',(select max(to_number(i.premium_rcv_detail_code))+1
from ins_premium_det i),'46480','46480','02', '11000003','00','Request by Mr. Reheel Malik 02-Dec-2024');</v>
      </c>
      <c r="H264" s="30" t="str">
        <f t="shared" si="19"/>
        <v>insert into ins_premium_det (premium_rcv_code,assorted_code, rec_amount,premium_rcv_detail_code,remaining_amt, payrec, mode_code,coinsurance_code,class_cd,it_remarks) values('29Nov240034','070000168228','46480',(select max(to_number(i.premium_rcv_detail_code))+1
from ins_premium_det i),'46480','46480','02', '11000003','00','Request by Mr. Reheel Malik 02-Dec-2024');</v>
      </c>
    </row>
    <row r="265" spans="1:8" ht="105" x14ac:dyDescent="0.25">
      <c r="A265" s="19" t="s">
        <v>6153</v>
      </c>
      <c r="B265" s="26" t="str">
        <f>VLOOKUP(A265,policy!B:C,2,0)</f>
        <v>070000168229</v>
      </c>
      <c r="C265" s="32">
        <v>54000</v>
      </c>
      <c r="D265" s="27">
        <f t="shared" si="17"/>
        <v>54000</v>
      </c>
      <c r="E265" s="25" t="s">
        <v>6906</v>
      </c>
      <c r="F265" s="28" t="str">
        <f t="shared" si="16"/>
        <v>insert into ins_premium_det (premium_rcv_code,assorted_code, rec_amount,premium_rcv_detail_code,remaining_amt, payrec, mode_code,coinsurance_code,class_cd,it_remarks) values</v>
      </c>
      <c r="G265" s="29" t="str">
        <f t="shared" si="18"/>
        <v>('29Nov240034','070000168229','54000',(select max(to_number(i.premium_rcv_detail_code))+1
from ins_premium_det i),'54000','54000','02', '11000003','00','Request by Mr. Reheel Malik 02-Dec-2024');</v>
      </c>
      <c r="H265" s="30" t="str">
        <f t="shared" si="19"/>
        <v>insert into ins_premium_det (premium_rcv_code,assorted_code, rec_amount,premium_rcv_detail_code,remaining_amt, payrec, mode_code,coinsurance_code,class_cd,it_remarks) values('29Nov240034','070000168229','54000',(select max(to_number(i.premium_rcv_detail_code))+1
from ins_premium_det i),'54000','54000','02', '11000003','00','Request by Mr. Reheel Malik 02-Dec-2024');</v>
      </c>
    </row>
    <row r="266" spans="1:8" ht="105" x14ac:dyDescent="0.25">
      <c r="A266" s="18" t="s">
        <v>6154</v>
      </c>
      <c r="B266" s="26" t="str">
        <f>VLOOKUP(A266,policy!B:C,2,0)</f>
        <v>070000168230</v>
      </c>
      <c r="C266" s="31">
        <v>44000</v>
      </c>
      <c r="D266" s="27">
        <f t="shared" si="17"/>
        <v>44000</v>
      </c>
      <c r="E266" s="25" t="s">
        <v>6906</v>
      </c>
      <c r="F266" s="28" t="str">
        <f t="shared" si="16"/>
        <v>insert into ins_premium_det (premium_rcv_code,assorted_code, rec_amount,premium_rcv_detail_code,remaining_amt, payrec, mode_code,coinsurance_code,class_cd,it_remarks) values</v>
      </c>
      <c r="G266" s="29" t="str">
        <f t="shared" si="18"/>
        <v>('29Nov240034','070000168230','44000',(select max(to_number(i.premium_rcv_detail_code))+1
from ins_premium_det i),'44000','44000','02', '11000003','00','Request by Mr. Reheel Malik 02-Dec-2024');</v>
      </c>
      <c r="H266" s="30" t="str">
        <f t="shared" si="19"/>
        <v>insert into ins_premium_det (premium_rcv_code,assorted_code, rec_amount,premium_rcv_detail_code,remaining_amt, payrec, mode_code,coinsurance_code,class_cd,it_remarks) values('29Nov240034','070000168230','44000',(select max(to_number(i.premium_rcv_detail_code))+1
from ins_premium_det i),'44000','44000','02', '11000003','00','Request by Mr. Reheel Malik 02-Dec-2024');</v>
      </c>
    </row>
    <row r="267" spans="1:8" ht="105" x14ac:dyDescent="0.25">
      <c r="A267" s="19" t="s">
        <v>6155</v>
      </c>
      <c r="B267" s="26" t="str">
        <f>VLOOKUP(A267,policy!B:C,2,0)</f>
        <v>070000168231</v>
      </c>
      <c r="C267" s="32">
        <v>28000</v>
      </c>
      <c r="D267" s="27">
        <f t="shared" si="17"/>
        <v>28000</v>
      </c>
      <c r="E267" s="25" t="s">
        <v>6906</v>
      </c>
      <c r="F267" s="28" t="str">
        <f t="shared" si="16"/>
        <v>insert into ins_premium_det (premium_rcv_code,assorted_code, rec_amount,premium_rcv_detail_code,remaining_amt, payrec, mode_code,coinsurance_code,class_cd,it_remarks) values</v>
      </c>
      <c r="G267" s="29" t="str">
        <f t="shared" si="18"/>
        <v>('29Nov240034','070000168231','28000',(select max(to_number(i.premium_rcv_detail_code))+1
from ins_premium_det i),'28000','28000','02', '11000003','00','Request by Mr. Reheel Malik 02-Dec-2024');</v>
      </c>
      <c r="H267" s="30" t="str">
        <f t="shared" si="19"/>
        <v>insert into ins_premium_det (premium_rcv_code,assorted_code, rec_amount,premium_rcv_detail_code,remaining_amt, payrec, mode_code,coinsurance_code,class_cd,it_remarks) values('29Nov240034','070000168231','28000',(select max(to_number(i.premium_rcv_detail_code))+1
from ins_premium_det i),'28000','28000','02', '11000003','00','Request by Mr. Reheel Malik 02-Dec-2024');</v>
      </c>
    </row>
    <row r="268" spans="1:8" ht="105" x14ac:dyDescent="0.25">
      <c r="A268" s="18" t="s">
        <v>6156</v>
      </c>
      <c r="B268" s="26" t="str">
        <f>VLOOKUP(A268,policy!B:C,2,0)</f>
        <v>070000168232</v>
      </c>
      <c r="C268" s="31">
        <v>24480</v>
      </c>
      <c r="D268" s="27">
        <f t="shared" si="17"/>
        <v>24480</v>
      </c>
      <c r="E268" s="25" t="s">
        <v>6906</v>
      </c>
      <c r="F268" s="28" t="str">
        <f t="shared" si="16"/>
        <v>insert into ins_premium_det (premium_rcv_code,assorted_code, rec_amount,premium_rcv_detail_code,remaining_amt, payrec, mode_code,coinsurance_code,class_cd,it_remarks) values</v>
      </c>
      <c r="G268" s="29" t="str">
        <f t="shared" si="18"/>
        <v>('29Nov240034','070000168232','24480',(select max(to_number(i.premium_rcv_detail_code))+1
from ins_premium_det i),'24480','24480','02', '11000003','00','Request by Mr. Reheel Malik 02-Dec-2024');</v>
      </c>
      <c r="H268" s="30" t="str">
        <f t="shared" si="19"/>
        <v>insert into ins_premium_det (premium_rcv_code,assorted_code, rec_amount,premium_rcv_detail_code,remaining_amt, payrec, mode_code,coinsurance_code,class_cd,it_remarks) values('29Nov240034','070000168232','24480',(select max(to_number(i.premium_rcv_detail_code))+1
from ins_premium_det i),'24480','24480','02', '11000003','00','Request by Mr. Reheel Malik 02-Dec-2024');</v>
      </c>
    </row>
    <row r="269" spans="1:8" ht="105" x14ac:dyDescent="0.25">
      <c r="A269" s="19" t="s">
        <v>6157</v>
      </c>
      <c r="B269" s="26" t="str">
        <f>VLOOKUP(A269,policy!B:C,2,0)</f>
        <v>070000168233</v>
      </c>
      <c r="C269" s="32">
        <v>24336</v>
      </c>
      <c r="D269" s="27">
        <f t="shared" si="17"/>
        <v>24336</v>
      </c>
      <c r="E269" s="25" t="s">
        <v>6906</v>
      </c>
      <c r="F269" s="28" t="str">
        <f t="shared" si="16"/>
        <v>insert into ins_premium_det (premium_rcv_code,assorted_code, rec_amount,premium_rcv_detail_code,remaining_amt, payrec, mode_code,coinsurance_code,class_cd,it_remarks) values</v>
      </c>
      <c r="G269" s="29" t="str">
        <f t="shared" si="18"/>
        <v>('29Nov240034','070000168233','24336',(select max(to_number(i.premium_rcv_detail_code))+1
from ins_premium_det i),'24336','24336','02', '11000003','00','Request by Mr. Reheel Malik 02-Dec-2024');</v>
      </c>
      <c r="H269" s="30" t="str">
        <f t="shared" si="19"/>
        <v>insert into ins_premium_det (premium_rcv_code,assorted_code, rec_amount,premium_rcv_detail_code,remaining_amt, payrec, mode_code,coinsurance_code,class_cd,it_remarks) values('29Nov240034','070000168233','24336',(select max(to_number(i.premium_rcv_detail_code))+1
from ins_premium_det i),'24336','24336','02', '11000003','00','Request by Mr. Reheel Malik 02-Dec-2024');</v>
      </c>
    </row>
    <row r="270" spans="1:8" ht="105" x14ac:dyDescent="0.25">
      <c r="A270" s="18" t="s">
        <v>6158</v>
      </c>
      <c r="B270" s="26" t="str">
        <f>VLOOKUP(A270,policy!B:C,2,0)</f>
        <v>070000168234</v>
      </c>
      <c r="C270" s="31">
        <v>21360</v>
      </c>
      <c r="D270" s="27">
        <f t="shared" si="17"/>
        <v>21360</v>
      </c>
      <c r="E270" s="25" t="s">
        <v>6906</v>
      </c>
      <c r="F270" s="28" t="str">
        <f t="shared" si="16"/>
        <v>insert into ins_premium_det (premium_rcv_code,assorted_code, rec_amount,premium_rcv_detail_code,remaining_amt, payrec, mode_code,coinsurance_code,class_cd,it_remarks) values</v>
      </c>
      <c r="G270" s="29" t="str">
        <f t="shared" si="18"/>
        <v>('29Nov240034','070000168234','21360',(select max(to_number(i.premium_rcv_detail_code))+1
from ins_premium_det i),'21360','21360','02', '11000003','00','Request by Mr. Reheel Malik 02-Dec-2024');</v>
      </c>
      <c r="H270" s="30" t="str">
        <f t="shared" si="19"/>
        <v>insert into ins_premium_det (premium_rcv_code,assorted_code, rec_amount,premium_rcv_detail_code,remaining_amt, payrec, mode_code,coinsurance_code,class_cd,it_remarks) values('29Nov240034','070000168234','21360',(select max(to_number(i.premium_rcv_detail_code))+1
from ins_premium_det i),'21360','21360','02', '11000003','00','Request by Mr. Reheel Malik 02-Dec-2024');</v>
      </c>
    </row>
    <row r="271" spans="1:8" ht="105" x14ac:dyDescent="0.25">
      <c r="A271" s="19" t="s">
        <v>6159</v>
      </c>
      <c r="B271" s="26" t="str">
        <f>VLOOKUP(A271,policy!B:C,2,0)</f>
        <v>070000168235</v>
      </c>
      <c r="C271" s="32">
        <v>16320</v>
      </c>
      <c r="D271" s="27">
        <f t="shared" si="17"/>
        <v>16320</v>
      </c>
      <c r="E271" s="25" t="s">
        <v>6906</v>
      </c>
      <c r="F271" s="28" t="str">
        <f t="shared" si="16"/>
        <v>insert into ins_premium_det (premium_rcv_code,assorted_code, rec_amount,premium_rcv_detail_code,remaining_amt, payrec, mode_code,coinsurance_code,class_cd,it_remarks) values</v>
      </c>
      <c r="G271" s="29" t="str">
        <f t="shared" si="18"/>
        <v>('29Nov240034','070000168235','16320',(select max(to_number(i.premium_rcv_detail_code))+1
from ins_premium_det i),'16320','16320','02', '11000003','00','Request by Mr. Reheel Malik 02-Dec-2024');</v>
      </c>
      <c r="H271" s="30" t="str">
        <f t="shared" si="19"/>
        <v>insert into ins_premium_det (premium_rcv_code,assorted_code, rec_amount,premium_rcv_detail_code,remaining_amt, payrec, mode_code,coinsurance_code,class_cd,it_remarks) values('29Nov240034','070000168235','16320',(select max(to_number(i.premium_rcv_detail_code))+1
from ins_premium_det i),'16320','16320','02', '11000003','00','Request by Mr. Reheel Malik 02-Dec-2024');</v>
      </c>
    </row>
    <row r="272" spans="1:8" ht="105" x14ac:dyDescent="0.25">
      <c r="A272" s="18" t="s">
        <v>6160</v>
      </c>
      <c r="B272" s="26" t="str">
        <f>VLOOKUP(A272,policy!B:C,2,0)</f>
        <v>070000168332</v>
      </c>
      <c r="C272" s="31">
        <v>41445</v>
      </c>
      <c r="D272" s="27">
        <f t="shared" si="17"/>
        <v>41445</v>
      </c>
      <c r="E272" s="25" t="s">
        <v>6906</v>
      </c>
      <c r="F272" s="28" t="str">
        <f t="shared" si="16"/>
        <v>insert into ins_premium_det (premium_rcv_code,assorted_code, rec_amount,premium_rcv_detail_code,remaining_amt, payrec, mode_code,coinsurance_code,class_cd,it_remarks) values</v>
      </c>
      <c r="G272" s="29" t="str">
        <f t="shared" si="18"/>
        <v>('29Nov240034','070000168332','41445',(select max(to_number(i.premium_rcv_detail_code))+1
from ins_premium_det i),'41445','41445','02', '11000003','00','Request by Mr. Reheel Malik 02-Dec-2024');</v>
      </c>
      <c r="H272" s="30" t="str">
        <f t="shared" si="19"/>
        <v>insert into ins_premium_det (premium_rcv_code,assorted_code, rec_amount,premium_rcv_detail_code,remaining_amt, payrec, mode_code,coinsurance_code,class_cd,it_remarks) values('29Nov240034','070000168332','41445',(select max(to_number(i.premium_rcv_detail_code))+1
from ins_premium_det i),'41445','41445','02', '11000003','00','Request by Mr. Reheel Malik 02-Dec-2024');</v>
      </c>
    </row>
    <row r="273" spans="1:8" ht="105" x14ac:dyDescent="0.25">
      <c r="A273" s="19" t="s">
        <v>6161</v>
      </c>
      <c r="B273" s="26" t="str">
        <f>VLOOKUP(A273,policy!B:C,2,0)</f>
        <v>070000168238</v>
      </c>
      <c r="C273" s="32">
        <v>31535</v>
      </c>
      <c r="D273" s="27">
        <f t="shared" si="17"/>
        <v>31535</v>
      </c>
      <c r="E273" s="25" t="s">
        <v>6906</v>
      </c>
      <c r="F273" s="28" t="str">
        <f t="shared" si="16"/>
        <v>insert into ins_premium_det (premium_rcv_code,assorted_code, rec_amount,premium_rcv_detail_code,remaining_amt, payrec, mode_code,coinsurance_code,class_cd,it_remarks) values</v>
      </c>
      <c r="G273" s="29" t="str">
        <f t="shared" si="18"/>
        <v>('29Nov240034','070000168238','31535',(select max(to_number(i.premium_rcv_detail_code))+1
from ins_premium_det i),'31535','31535','02', '11000003','00','Request by Mr. Reheel Malik 02-Dec-2024');</v>
      </c>
      <c r="H273" s="30" t="str">
        <f t="shared" si="19"/>
        <v>insert into ins_premium_det (premium_rcv_code,assorted_code, rec_amount,premium_rcv_detail_code,remaining_amt, payrec, mode_code,coinsurance_code,class_cd,it_remarks) values('29Nov240034','070000168238','31535',(select max(to_number(i.premium_rcv_detail_code))+1
from ins_premium_det i),'31535','31535','02', '11000003','00','Request by Mr. Reheel Malik 02-Dec-2024');</v>
      </c>
    </row>
    <row r="274" spans="1:8" ht="105" x14ac:dyDescent="0.25">
      <c r="A274" s="18" t="s">
        <v>6162</v>
      </c>
      <c r="B274" s="26" t="str">
        <f>VLOOKUP(A274,policy!B:C,2,0)</f>
        <v>070000168239</v>
      </c>
      <c r="C274" s="31">
        <v>29378</v>
      </c>
      <c r="D274" s="27">
        <f t="shared" si="17"/>
        <v>29378</v>
      </c>
      <c r="E274" s="25" t="s">
        <v>6906</v>
      </c>
      <c r="F274" s="28" t="str">
        <f t="shared" si="16"/>
        <v>insert into ins_premium_det (premium_rcv_code,assorted_code, rec_amount,premium_rcv_detail_code,remaining_amt, payrec, mode_code,coinsurance_code,class_cd,it_remarks) values</v>
      </c>
      <c r="G274" s="29" t="str">
        <f t="shared" si="18"/>
        <v>('29Nov240034','070000168239','29378',(select max(to_number(i.premium_rcv_detail_code))+1
from ins_premium_det i),'29378','29378','02', '11000003','00','Request by Mr. Reheel Malik 02-Dec-2024');</v>
      </c>
      <c r="H274" s="30" t="str">
        <f t="shared" si="19"/>
        <v>insert into ins_premium_det (premium_rcv_code,assorted_code, rec_amount,premium_rcv_detail_code,remaining_amt, payrec, mode_code,coinsurance_code,class_cd,it_remarks) values('29Nov240034','070000168239','29378',(select max(to_number(i.premium_rcv_detail_code))+1
from ins_premium_det i),'29378','29378','02', '11000003','00','Request by Mr. Reheel Malik 02-Dec-2024');</v>
      </c>
    </row>
    <row r="275" spans="1:8" ht="105" x14ac:dyDescent="0.25">
      <c r="A275" s="19" t="s">
        <v>6163</v>
      </c>
      <c r="B275" s="26" t="str">
        <f>VLOOKUP(A275,policy!B:C,2,0)</f>
        <v>070000168335</v>
      </c>
      <c r="C275" s="32">
        <v>17808</v>
      </c>
      <c r="D275" s="27">
        <f t="shared" si="17"/>
        <v>17808</v>
      </c>
      <c r="E275" s="25" t="s">
        <v>6906</v>
      </c>
      <c r="F275" s="28" t="str">
        <f t="shared" si="16"/>
        <v>insert into ins_premium_det (premium_rcv_code,assorted_code, rec_amount,premium_rcv_detail_code,remaining_amt, payrec, mode_code,coinsurance_code,class_cd,it_remarks) values</v>
      </c>
      <c r="G275" s="29" t="str">
        <f t="shared" si="18"/>
        <v>('29Nov240034','070000168335','17808',(select max(to_number(i.premium_rcv_detail_code))+1
from ins_premium_det i),'17808','17808','02', '11000003','00','Request by Mr. Reheel Malik 02-Dec-2024');</v>
      </c>
      <c r="H275" s="30" t="str">
        <f t="shared" si="19"/>
        <v>insert into ins_premium_det (premium_rcv_code,assorted_code, rec_amount,premium_rcv_detail_code,remaining_amt, payrec, mode_code,coinsurance_code,class_cd,it_remarks) values('29Nov240034','070000168335','17808',(select max(to_number(i.premium_rcv_detail_code))+1
from ins_premium_det i),'17808','17808','02', '11000003','00','Request by Mr. Reheel Malik 02-Dec-2024');</v>
      </c>
    </row>
    <row r="276" spans="1:8" ht="105" x14ac:dyDescent="0.25">
      <c r="A276" s="18" t="s">
        <v>6164</v>
      </c>
      <c r="B276" s="26" t="str">
        <f>VLOOKUP(A276,policy!B:C,2,0)</f>
        <v>070000168336</v>
      </c>
      <c r="C276" s="31">
        <v>22880</v>
      </c>
      <c r="D276" s="27">
        <f t="shared" si="17"/>
        <v>22880</v>
      </c>
      <c r="E276" s="25" t="s">
        <v>6906</v>
      </c>
      <c r="F276" s="28" t="str">
        <f t="shared" si="16"/>
        <v>insert into ins_premium_det (premium_rcv_code,assorted_code, rec_amount,premium_rcv_detail_code,remaining_amt, payrec, mode_code,coinsurance_code,class_cd,it_remarks) values</v>
      </c>
      <c r="G276" s="29" t="str">
        <f t="shared" si="18"/>
        <v>('29Nov240034','070000168336','22880',(select max(to_number(i.premium_rcv_detail_code))+1
from ins_premium_det i),'22880','22880','02', '11000003','00','Request by Mr. Reheel Malik 02-Dec-2024');</v>
      </c>
      <c r="H276" s="30" t="str">
        <f t="shared" si="19"/>
        <v>insert into ins_premium_det (premium_rcv_code,assorted_code, rec_amount,premium_rcv_detail_code,remaining_amt, payrec, mode_code,coinsurance_code,class_cd,it_remarks) values('29Nov240034','070000168336','22880',(select max(to_number(i.premium_rcv_detail_code))+1
from ins_premium_det i),'22880','22880','02', '11000003','00','Request by Mr. Reheel Malik 02-Dec-2024');</v>
      </c>
    </row>
    <row r="277" spans="1:8" ht="105" x14ac:dyDescent="0.25">
      <c r="A277" s="19" t="s">
        <v>6165</v>
      </c>
      <c r="B277" s="26" t="str">
        <f>VLOOKUP(A277,policy!B:C,2,0)</f>
        <v>070000168337</v>
      </c>
      <c r="C277" s="32">
        <v>25760</v>
      </c>
      <c r="D277" s="27">
        <f t="shared" si="17"/>
        <v>25760</v>
      </c>
      <c r="E277" s="25" t="s">
        <v>6906</v>
      </c>
      <c r="F277" s="28" t="str">
        <f t="shared" si="16"/>
        <v>insert into ins_premium_det (premium_rcv_code,assorted_code, rec_amount,premium_rcv_detail_code,remaining_amt, payrec, mode_code,coinsurance_code,class_cd,it_remarks) values</v>
      </c>
      <c r="G277" s="29" t="str">
        <f t="shared" si="18"/>
        <v>('29Nov240034','070000168337','25760',(select max(to_number(i.premium_rcv_detail_code))+1
from ins_premium_det i),'25760','25760','02', '11000003','00','Request by Mr. Reheel Malik 02-Dec-2024');</v>
      </c>
      <c r="H277" s="30" t="str">
        <f t="shared" si="19"/>
        <v>insert into ins_premium_det (premium_rcv_code,assorted_code, rec_amount,premium_rcv_detail_code,remaining_amt, payrec, mode_code,coinsurance_code,class_cd,it_remarks) values('29Nov240034','070000168337','25760',(select max(to_number(i.premium_rcv_detail_code))+1
from ins_premium_det i),'25760','25760','02', '11000003','00','Request by Mr. Reheel Malik 02-Dec-2024');</v>
      </c>
    </row>
    <row r="278" spans="1:8" ht="105" x14ac:dyDescent="0.25">
      <c r="A278" s="18" t="s">
        <v>6166</v>
      </c>
      <c r="B278" s="26" t="str">
        <f>VLOOKUP(A278,policy!B:C,2,0)</f>
        <v>070000168338</v>
      </c>
      <c r="C278" s="31">
        <v>31600</v>
      </c>
      <c r="D278" s="27">
        <f t="shared" si="17"/>
        <v>31600</v>
      </c>
      <c r="E278" s="25" t="s">
        <v>6906</v>
      </c>
      <c r="F278" s="28" t="str">
        <f t="shared" si="16"/>
        <v>insert into ins_premium_det (premium_rcv_code,assorted_code, rec_amount,premium_rcv_detail_code,remaining_amt, payrec, mode_code,coinsurance_code,class_cd,it_remarks) values</v>
      </c>
      <c r="G278" s="29" t="str">
        <f t="shared" si="18"/>
        <v>('29Nov240034','070000168338','31600',(select max(to_number(i.premium_rcv_detail_code))+1
from ins_premium_det i),'31600','31600','02', '11000003','00','Request by Mr. Reheel Malik 02-Dec-2024');</v>
      </c>
      <c r="H278" s="30" t="str">
        <f t="shared" si="19"/>
        <v>insert into ins_premium_det (premium_rcv_code,assorted_code, rec_amount,premium_rcv_detail_code,remaining_amt, payrec, mode_code,coinsurance_code,class_cd,it_remarks) values('29Nov240034','070000168338','31600',(select max(to_number(i.premium_rcv_detail_code))+1
from ins_premium_det i),'31600','31600','02', '11000003','00','Request by Mr. Reheel Malik 02-Dec-2024');</v>
      </c>
    </row>
    <row r="279" spans="1:8" ht="105" x14ac:dyDescent="0.25">
      <c r="A279" s="19" t="s">
        <v>6167</v>
      </c>
      <c r="B279" s="26" t="str">
        <f>VLOOKUP(A279,policy!B:C,2,0)</f>
        <v>070000168241</v>
      </c>
      <c r="C279" s="32">
        <v>37188</v>
      </c>
      <c r="D279" s="27">
        <f t="shared" si="17"/>
        <v>37188</v>
      </c>
      <c r="E279" s="25" t="s">
        <v>6906</v>
      </c>
      <c r="F279" s="28" t="str">
        <f t="shared" si="16"/>
        <v>insert into ins_premium_det (premium_rcv_code,assorted_code, rec_amount,premium_rcv_detail_code,remaining_amt, payrec, mode_code,coinsurance_code,class_cd,it_remarks) values</v>
      </c>
      <c r="G279" s="29" t="str">
        <f t="shared" si="18"/>
        <v>('29Nov240034','070000168241','37188',(select max(to_number(i.premium_rcv_detail_code))+1
from ins_premium_det i),'37188','37188','02', '11000003','00','Request by Mr. Reheel Malik 02-Dec-2024');</v>
      </c>
      <c r="H279" s="30" t="str">
        <f t="shared" si="19"/>
        <v>insert into ins_premium_det (premium_rcv_code,assorted_code, rec_amount,premium_rcv_detail_code,remaining_amt, payrec, mode_code,coinsurance_code,class_cd,it_remarks) values('29Nov240034','070000168241','37188',(select max(to_number(i.premium_rcv_detail_code))+1
from ins_premium_det i),'37188','37188','02', '11000003','00','Request by Mr. Reheel Malik 02-Dec-2024');</v>
      </c>
    </row>
    <row r="280" spans="1:8" ht="105" x14ac:dyDescent="0.25">
      <c r="A280" s="18" t="s">
        <v>6168</v>
      </c>
      <c r="B280" s="26" t="str">
        <f>VLOOKUP(A280,policy!B:C,2,0)</f>
        <v>070000168340</v>
      </c>
      <c r="C280" s="31">
        <v>46928</v>
      </c>
      <c r="D280" s="27">
        <f t="shared" si="17"/>
        <v>46928</v>
      </c>
      <c r="E280" s="25" t="s">
        <v>6906</v>
      </c>
      <c r="F280" s="28" t="str">
        <f t="shared" si="16"/>
        <v>insert into ins_premium_det (premium_rcv_code,assorted_code, rec_amount,premium_rcv_detail_code,remaining_amt, payrec, mode_code,coinsurance_code,class_cd,it_remarks) values</v>
      </c>
      <c r="G280" s="29" t="str">
        <f t="shared" si="18"/>
        <v>('29Nov240034','070000168340','46928',(select max(to_number(i.premium_rcv_detail_code))+1
from ins_premium_det i),'46928','46928','02', '11000003','00','Request by Mr. Reheel Malik 02-Dec-2024');</v>
      </c>
      <c r="H280" s="30" t="str">
        <f t="shared" si="19"/>
        <v>insert into ins_premium_det (premium_rcv_code,assorted_code, rec_amount,premium_rcv_detail_code,remaining_amt, payrec, mode_code,coinsurance_code,class_cd,it_remarks) values('29Nov240034','070000168340','46928',(select max(to_number(i.premium_rcv_detail_code))+1
from ins_premium_det i),'46928','46928','02', '11000003','00','Request by Mr. Reheel Malik 02-Dec-2024');</v>
      </c>
    </row>
    <row r="281" spans="1:8" ht="105" x14ac:dyDescent="0.25">
      <c r="A281" s="19" t="s">
        <v>6169</v>
      </c>
      <c r="B281" s="26" t="str">
        <f>VLOOKUP(A281,policy!B:C,2,0)</f>
        <v>070000168339</v>
      </c>
      <c r="C281" s="32">
        <v>42800</v>
      </c>
      <c r="D281" s="27">
        <f t="shared" si="17"/>
        <v>42800</v>
      </c>
      <c r="E281" s="25" t="s">
        <v>6906</v>
      </c>
      <c r="F281" s="28" t="str">
        <f t="shared" si="16"/>
        <v>insert into ins_premium_det (premium_rcv_code,assorted_code, rec_amount,premium_rcv_detail_code,remaining_amt, payrec, mode_code,coinsurance_code,class_cd,it_remarks) values</v>
      </c>
      <c r="G281" s="29" t="str">
        <f t="shared" si="18"/>
        <v>('29Nov240034','070000168339','42800',(select max(to_number(i.premium_rcv_detail_code))+1
from ins_premium_det i),'42800','42800','02', '11000003','00','Request by Mr. Reheel Malik 02-Dec-2024');</v>
      </c>
      <c r="H281" s="30" t="str">
        <f t="shared" si="19"/>
        <v>insert into ins_premium_det (premium_rcv_code,assorted_code, rec_amount,premium_rcv_detail_code,remaining_amt, payrec, mode_code,coinsurance_code,class_cd,it_remarks) values('29Nov240034','070000168339','42800',(select max(to_number(i.premium_rcv_detail_code))+1
from ins_premium_det i),'42800','42800','02', '11000003','00','Request by Mr. Reheel Malik 02-Dec-2024');</v>
      </c>
    </row>
    <row r="282" spans="1:8" ht="105" x14ac:dyDescent="0.25">
      <c r="A282" s="18" t="s">
        <v>6170</v>
      </c>
      <c r="B282" s="26" t="str">
        <f>VLOOKUP(A282,policy!B:C,2,0)</f>
        <v>070000168242</v>
      </c>
      <c r="C282" s="31">
        <v>16784</v>
      </c>
      <c r="D282" s="27">
        <f t="shared" si="17"/>
        <v>16784</v>
      </c>
      <c r="E282" s="25" t="s">
        <v>6906</v>
      </c>
      <c r="F282" s="28" t="str">
        <f t="shared" si="16"/>
        <v>insert into ins_premium_det (premium_rcv_code,assorted_code, rec_amount,premium_rcv_detail_code,remaining_amt, payrec, mode_code,coinsurance_code,class_cd,it_remarks) values</v>
      </c>
      <c r="G282" s="29" t="str">
        <f t="shared" si="18"/>
        <v>('29Nov240034','070000168242','16784',(select max(to_number(i.premium_rcv_detail_code))+1
from ins_premium_det i),'16784','16784','02', '11000003','00','Request by Mr. Reheel Malik 02-Dec-2024');</v>
      </c>
      <c r="H282" s="30" t="str">
        <f t="shared" si="19"/>
        <v>insert into ins_premium_det (premium_rcv_code,assorted_code, rec_amount,premium_rcv_detail_code,remaining_amt, payrec, mode_code,coinsurance_code,class_cd,it_remarks) values('29Nov240034','070000168242','16784',(select max(to_number(i.premium_rcv_detail_code))+1
from ins_premium_det i),'16784','16784','02', '11000003','00','Request by Mr. Reheel Malik 02-Dec-2024');</v>
      </c>
    </row>
    <row r="283" spans="1:8" ht="105" x14ac:dyDescent="0.25">
      <c r="A283" s="19" t="s">
        <v>6171</v>
      </c>
      <c r="B283" s="26" t="str">
        <f>VLOOKUP(A283,policy!B:C,2,0)</f>
        <v>070000168334</v>
      </c>
      <c r="C283" s="32">
        <v>40848</v>
      </c>
      <c r="D283" s="27">
        <f t="shared" si="17"/>
        <v>40848</v>
      </c>
      <c r="E283" s="25" t="s">
        <v>6906</v>
      </c>
      <c r="F283" s="28" t="str">
        <f t="shared" si="16"/>
        <v>insert into ins_premium_det (premium_rcv_code,assorted_code, rec_amount,premium_rcv_detail_code,remaining_amt, payrec, mode_code,coinsurance_code,class_cd,it_remarks) values</v>
      </c>
      <c r="G283" s="29" t="str">
        <f t="shared" si="18"/>
        <v>('29Nov240034','070000168334','40848',(select max(to_number(i.premium_rcv_detail_code))+1
from ins_premium_det i),'40848','40848','02', '11000003','00','Request by Mr. Reheel Malik 02-Dec-2024');</v>
      </c>
      <c r="H283" s="30" t="str">
        <f t="shared" si="19"/>
        <v>insert into ins_premium_det (premium_rcv_code,assorted_code, rec_amount,premium_rcv_detail_code,remaining_amt, payrec, mode_code,coinsurance_code,class_cd,it_remarks) values('29Nov240034','070000168334','40848',(select max(to_number(i.premium_rcv_detail_code))+1
from ins_premium_det i),'40848','40848','02', '11000003','00','Request by Mr. Reheel Malik 02-Dec-2024');</v>
      </c>
    </row>
    <row r="284" spans="1:8" ht="105" x14ac:dyDescent="0.25">
      <c r="A284" s="18" t="s">
        <v>6172</v>
      </c>
      <c r="B284" s="26" t="str">
        <f>VLOOKUP(A284,policy!B:C,2,0)</f>
        <v>070000168243</v>
      </c>
      <c r="C284" s="31">
        <v>35328</v>
      </c>
      <c r="D284" s="27">
        <f t="shared" si="17"/>
        <v>35328</v>
      </c>
      <c r="E284" s="25" t="s">
        <v>6906</v>
      </c>
      <c r="F284" s="28" t="str">
        <f t="shared" si="16"/>
        <v>insert into ins_premium_det (premium_rcv_code,assorted_code, rec_amount,premium_rcv_detail_code,remaining_amt, payrec, mode_code,coinsurance_code,class_cd,it_remarks) values</v>
      </c>
      <c r="G284" s="29" t="str">
        <f t="shared" si="18"/>
        <v>('29Nov240034','070000168243','35328',(select max(to_number(i.premium_rcv_detail_code))+1
from ins_premium_det i),'35328','35328','02', '11000003','00','Request by Mr. Reheel Malik 02-Dec-2024');</v>
      </c>
      <c r="H284" s="30" t="str">
        <f t="shared" si="19"/>
        <v>insert into ins_premium_det (premium_rcv_code,assorted_code, rec_amount,premium_rcv_detail_code,remaining_amt, payrec, mode_code,coinsurance_code,class_cd,it_remarks) values('29Nov240034','070000168243','35328',(select max(to_number(i.premium_rcv_detail_code))+1
from ins_premium_det i),'35328','35328','02', '11000003','00','Request by Mr. Reheel Malik 02-Dec-2024');</v>
      </c>
    </row>
    <row r="285" spans="1:8" ht="105" x14ac:dyDescent="0.25">
      <c r="A285" s="19" t="s">
        <v>6173</v>
      </c>
      <c r="B285" s="26" t="str">
        <f>VLOOKUP(A285,policy!B:C,2,0)</f>
        <v>070000168333</v>
      </c>
      <c r="C285" s="32">
        <v>44625</v>
      </c>
      <c r="D285" s="27">
        <f t="shared" si="17"/>
        <v>44625</v>
      </c>
      <c r="E285" s="25" t="s">
        <v>6906</v>
      </c>
      <c r="F285" s="28" t="str">
        <f t="shared" si="16"/>
        <v>insert into ins_premium_det (premium_rcv_code,assorted_code, rec_amount,premium_rcv_detail_code,remaining_amt, payrec, mode_code,coinsurance_code,class_cd,it_remarks) values</v>
      </c>
      <c r="G285" s="29" t="str">
        <f t="shared" si="18"/>
        <v>('29Nov240034','070000168333','44625',(select max(to_number(i.premium_rcv_detail_code))+1
from ins_premium_det i),'44625','44625','02', '11000003','00','Request by Mr. Reheel Malik 02-Dec-2024');</v>
      </c>
      <c r="H285" s="30" t="str">
        <f t="shared" si="19"/>
        <v>insert into ins_premium_det (premium_rcv_code,assorted_code, rec_amount,premium_rcv_detail_code,remaining_amt, payrec, mode_code,coinsurance_code,class_cd,it_remarks) values('29Nov240034','070000168333','44625',(select max(to_number(i.premium_rcv_detail_code))+1
from ins_premium_det i),'44625','44625','02', '11000003','00','Request by Mr. Reheel Malik 02-Dec-2024');</v>
      </c>
    </row>
    <row r="286" spans="1:8" ht="105" x14ac:dyDescent="0.25">
      <c r="A286" s="18" t="s">
        <v>6174</v>
      </c>
      <c r="B286" s="26" t="str">
        <f>VLOOKUP(A286,policy!B:C,2,0)</f>
        <v>070000168331</v>
      </c>
      <c r="C286" s="31">
        <v>56525</v>
      </c>
      <c r="D286" s="27">
        <f t="shared" si="17"/>
        <v>56525</v>
      </c>
      <c r="E286" s="25" t="s">
        <v>6906</v>
      </c>
      <c r="F286" s="28" t="str">
        <f t="shared" si="16"/>
        <v>insert into ins_premium_det (premium_rcv_code,assorted_code, rec_amount,premium_rcv_detail_code,remaining_amt, payrec, mode_code,coinsurance_code,class_cd,it_remarks) values</v>
      </c>
      <c r="G286" s="29" t="str">
        <f t="shared" si="18"/>
        <v>('29Nov240034','070000168331','56525',(select max(to_number(i.premium_rcv_detail_code))+1
from ins_premium_det i),'56525','56525','02', '11000003','00','Request by Mr. Reheel Malik 02-Dec-2024');</v>
      </c>
      <c r="H286" s="30" t="str">
        <f t="shared" si="19"/>
        <v>insert into ins_premium_det (premium_rcv_code,assorted_code, rec_amount,premium_rcv_detail_code,remaining_amt, payrec, mode_code,coinsurance_code,class_cd,it_remarks) values('29Nov240034','070000168331','56525',(select max(to_number(i.premium_rcv_detail_code))+1
from ins_premium_det i),'56525','56525','02', '11000003','00','Request by Mr. Reheel Malik 02-Dec-2024');</v>
      </c>
    </row>
    <row r="287" spans="1:8" ht="105" x14ac:dyDescent="0.25">
      <c r="A287" s="19" t="s">
        <v>6175</v>
      </c>
      <c r="B287" s="26" t="str">
        <f>VLOOKUP(A287,policy!B:C,2,0)</f>
        <v>070000168244</v>
      </c>
      <c r="C287" s="32">
        <v>103796</v>
      </c>
      <c r="D287" s="27">
        <f t="shared" si="17"/>
        <v>103796</v>
      </c>
      <c r="E287" s="25" t="s">
        <v>6906</v>
      </c>
      <c r="F287" s="28" t="str">
        <f t="shared" si="16"/>
        <v>insert into ins_premium_det (premium_rcv_code,assorted_code, rec_amount,premium_rcv_detail_code,remaining_amt, payrec, mode_code,coinsurance_code,class_cd,it_remarks) values</v>
      </c>
      <c r="G287" s="29" t="str">
        <f t="shared" si="18"/>
        <v>('29Nov240034','070000168244','103796',(select max(to_number(i.premium_rcv_detail_code))+1
from ins_premium_det i),'103796','103796','02', '11000003','00','Request by Mr. Reheel Malik 02-Dec-2024');</v>
      </c>
      <c r="H287" s="30" t="str">
        <f t="shared" si="19"/>
        <v>insert into ins_premium_det (premium_rcv_code,assorted_code, rec_amount,premium_rcv_detail_code,remaining_amt, payrec, mode_code,coinsurance_code,class_cd,it_remarks) values('29Nov240034','070000168244','103796',(select max(to_number(i.premium_rcv_detail_code))+1
from ins_premium_det i),'103796','103796','02', '11000003','00','Request by Mr. Reheel Malik 02-Dec-2024');</v>
      </c>
    </row>
    <row r="288" spans="1:8" ht="105" x14ac:dyDescent="0.25">
      <c r="A288" s="18" t="s">
        <v>6176</v>
      </c>
      <c r="B288" s="26" t="str">
        <f>VLOOKUP(A288,policy!B:C,2,0)</f>
        <v>070000168246</v>
      </c>
      <c r="C288" s="31">
        <v>63240</v>
      </c>
      <c r="D288" s="27">
        <f t="shared" si="17"/>
        <v>63240</v>
      </c>
      <c r="E288" s="25" t="s">
        <v>6906</v>
      </c>
      <c r="F288" s="28" t="str">
        <f t="shared" si="16"/>
        <v>insert into ins_premium_det (premium_rcv_code,assorted_code, rec_amount,premium_rcv_detail_code,remaining_amt, payrec, mode_code,coinsurance_code,class_cd,it_remarks) values</v>
      </c>
      <c r="G288" s="29" t="str">
        <f t="shared" si="18"/>
        <v>('29Nov240034','070000168246','63240',(select max(to_number(i.premium_rcv_detail_code))+1
from ins_premium_det i),'63240','63240','02', '11000003','00','Request by Mr. Reheel Malik 02-Dec-2024');</v>
      </c>
      <c r="H288" s="30" t="str">
        <f t="shared" si="19"/>
        <v>insert into ins_premium_det (premium_rcv_code,assorted_code, rec_amount,premium_rcv_detail_code,remaining_amt, payrec, mode_code,coinsurance_code,class_cd,it_remarks) values('29Nov240034','070000168246','63240',(select max(to_number(i.premium_rcv_detail_code))+1
from ins_premium_det i),'63240','63240','02', '11000003','00','Request by Mr. Reheel Malik 02-Dec-2024');</v>
      </c>
    </row>
    <row r="289" spans="1:8" ht="105" x14ac:dyDescent="0.25">
      <c r="A289" s="19" t="s">
        <v>6177</v>
      </c>
      <c r="B289" s="26" t="str">
        <f>VLOOKUP(A289,policy!B:C,2,0)</f>
        <v>070000168247</v>
      </c>
      <c r="C289" s="32">
        <v>46788</v>
      </c>
      <c r="D289" s="27">
        <f t="shared" si="17"/>
        <v>46788</v>
      </c>
      <c r="E289" s="25" t="s">
        <v>6906</v>
      </c>
      <c r="F289" s="28" t="str">
        <f t="shared" si="16"/>
        <v>insert into ins_premium_det (premium_rcv_code,assorted_code, rec_amount,premium_rcv_detail_code,remaining_amt, payrec, mode_code,coinsurance_code,class_cd,it_remarks) values</v>
      </c>
      <c r="G289" s="29" t="str">
        <f t="shared" si="18"/>
        <v>('29Nov240034','070000168247','46788',(select max(to_number(i.premium_rcv_detail_code))+1
from ins_premium_det i),'46788','46788','02', '11000003','00','Request by Mr. Reheel Malik 02-Dec-2024');</v>
      </c>
      <c r="H289" s="30" t="str">
        <f t="shared" si="19"/>
        <v>insert into ins_premium_det (premium_rcv_code,assorted_code, rec_amount,premium_rcv_detail_code,remaining_amt, payrec, mode_code,coinsurance_code,class_cd,it_remarks) values('29Nov240034','070000168247','46788',(select max(to_number(i.premium_rcv_detail_code))+1
from ins_premium_det i),'46788','46788','02', '11000003','00','Request by Mr. Reheel Malik 02-Dec-2024');</v>
      </c>
    </row>
    <row r="290" spans="1:8" ht="105" x14ac:dyDescent="0.25">
      <c r="A290" s="18" t="s">
        <v>6178</v>
      </c>
      <c r="B290" s="26" t="str">
        <f>VLOOKUP(A290,policy!B:C,2,0)</f>
        <v>070000168249</v>
      </c>
      <c r="C290" s="31">
        <v>62768</v>
      </c>
      <c r="D290" s="27">
        <f t="shared" si="17"/>
        <v>62768</v>
      </c>
      <c r="E290" s="25" t="s">
        <v>6906</v>
      </c>
      <c r="F290" s="28" t="str">
        <f t="shared" si="16"/>
        <v>insert into ins_premium_det (premium_rcv_code,assorted_code, rec_amount,premium_rcv_detail_code,remaining_amt, payrec, mode_code,coinsurance_code,class_cd,it_remarks) values</v>
      </c>
      <c r="G290" s="29" t="str">
        <f t="shared" si="18"/>
        <v>('29Nov240034','070000168249','62768',(select max(to_number(i.premium_rcv_detail_code))+1
from ins_premium_det i),'62768','62768','02', '11000003','00','Request by Mr. Reheel Malik 02-Dec-2024');</v>
      </c>
      <c r="H290" s="30" t="str">
        <f t="shared" si="19"/>
        <v>insert into ins_premium_det (premium_rcv_code,assorted_code, rec_amount,premium_rcv_detail_code,remaining_amt, payrec, mode_code,coinsurance_code,class_cd,it_remarks) values('29Nov240034','070000168249','62768',(select max(to_number(i.premium_rcv_detail_code))+1
from ins_premium_det i),'62768','62768','02', '11000003','00','Request by Mr. Reheel Malik 02-Dec-2024');</v>
      </c>
    </row>
    <row r="291" spans="1:8" ht="105" x14ac:dyDescent="0.25">
      <c r="A291" s="19" t="s">
        <v>6179</v>
      </c>
      <c r="B291" s="26" t="str">
        <f>VLOOKUP(A291,policy!B:C,2,0)</f>
        <v>070000168330</v>
      </c>
      <c r="C291" s="32">
        <v>22202</v>
      </c>
      <c r="D291" s="27">
        <f t="shared" si="17"/>
        <v>22202</v>
      </c>
      <c r="E291" s="25" t="s">
        <v>6906</v>
      </c>
      <c r="F291" s="28" t="str">
        <f t="shared" si="16"/>
        <v>insert into ins_premium_det (premium_rcv_code,assorted_code, rec_amount,premium_rcv_detail_code,remaining_amt, payrec, mode_code,coinsurance_code,class_cd,it_remarks) values</v>
      </c>
      <c r="G291" s="29" t="str">
        <f t="shared" si="18"/>
        <v>('29Nov240034','070000168330','22202',(select max(to_number(i.premium_rcv_detail_code))+1
from ins_premium_det i),'22202','22202','02', '11000003','00','Request by Mr. Reheel Malik 02-Dec-2024');</v>
      </c>
      <c r="H291" s="30" t="str">
        <f t="shared" si="19"/>
        <v>insert into ins_premium_det (premium_rcv_code,assorted_code, rec_amount,premium_rcv_detail_code,remaining_amt, payrec, mode_code,coinsurance_code,class_cd,it_remarks) values('29Nov240034','070000168330','22202',(select max(to_number(i.premium_rcv_detail_code))+1
from ins_premium_det i),'22202','22202','02', '11000003','00','Request by Mr. Reheel Malik 02-Dec-2024');</v>
      </c>
    </row>
    <row r="292" spans="1:8" ht="105" x14ac:dyDescent="0.25">
      <c r="A292" s="18" t="s">
        <v>6180</v>
      </c>
      <c r="B292" s="26" t="str">
        <f>VLOOKUP(A292,policy!B:C,2,0)</f>
        <v>070000168250</v>
      </c>
      <c r="C292" s="31">
        <v>50288</v>
      </c>
      <c r="D292" s="27">
        <f t="shared" si="17"/>
        <v>50288</v>
      </c>
      <c r="E292" s="25" t="s">
        <v>6906</v>
      </c>
      <c r="F292" s="28" t="str">
        <f t="shared" si="16"/>
        <v>insert into ins_premium_det (premium_rcv_code,assorted_code, rec_amount,premium_rcv_detail_code,remaining_amt, payrec, mode_code,coinsurance_code,class_cd,it_remarks) values</v>
      </c>
      <c r="G292" s="29" t="str">
        <f t="shared" si="18"/>
        <v>('29Nov240034','070000168250','50288',(select max(to_number(i.premium_rcv_detail_code))+1
from ins_premium_det i),'50288','50288','02', '11000003','00','Request by Mr. Reheel Malik 02-Dec-2024');</v>
      </c>
      <c r="H292" s="30" t="str">
        <f t="shared" si="19"/>
        <v>insert into ins_premium_det (premium_rcv_code,assorted_code, rec_amount,premium_rcv_detail_code,remaining_amt, payrec, mode_code,coinsurance_code,class_cd,it_remarks) values('29Nov240034','070000168250','50288',(select max(to_number(i.premium_rcv_detail_code))+1
from ins_premium_det i),'50288','50288','02', '11000003','00','Request by Mr. Reheel Malik 02-Dec-2024');</v>
      </c>
    </row>
    <row r="293" spans="1:8" ht="105" x14ac:dyDescent="0.25">
      <c r="A293" s="19" t="s">
        <v>6181</v>
      </c>
      <c r="B293" s="26" t="str">
        <f>VLOOKUP(A293,policy!B:C,2,0)</f>
        <v>070000168251</v>
      </c>
      <c r="C293" s="32">
        <v>54400</v>
      </c>
      <c r="D293" s="27">
        <f t="shared" si="17"/>
        <v>54400</v>
      </c>
      <c r="E293" s="25" t="s">
        <v>6906</v>
      </c>
      <c r="F293" s="28" t="str">
        <f t="shared" si="16"/>
        <v>insert into ins_premium_det (premium_rcv_code,assorted_code, rec_amount,premium_rcv_detail_code,remaining_amt, payrec, mode_code,coinsurance_code,class_cd,it_remarks) values</v>
      </c>
      <c r="G293" s="29" t="str">
        <f t="shared" si="18"/>
        <v>('29Nov240034','070000168251','54400',(select max(to_number(i.premium_rcv_detail_code))+1
from ins_premium_det i),'54400','54400','02', '11000003','00','Request by Mr. Reheel Malik 02-Dec-2024');</v>
      </c>
      <c r="H293" s="30" t="str">
        <f t="shared" si="19"/>
        <v>insert into ins_premium_det (premium_rcv_code,assorted_code, rec_amount,premium_rcv_detail_code,remaining_amt, payrec, mode_code,coinsurance_code,class_cd,it_remarks) values('29Nov240034','070000168251','54400',(select max(to_number(i.premium_rcv_detail_code))+1
from ins_premium_det i),'54400','54400','02', '11000003','00','Request by Mr. Reheel Malik 02-Dec-2024');</v>
      </c>
    </row>
    <row r="294" spans="1:8" ht="105" x14ac:dyDescent="0.25">
      <c r="A294" s="18" t="s">
        <v>6182</v>
      </c>
      <c r="B294" s="26" t="str">
        <f>VLOOKUP(A294,policy!B:C,2,0)</f>
        <v>070000168252</v>
      </c>
      <c r="C294" s="31">
        <v>37450</v>
      </c>
      <c r="D294" s="27">
        <f t="shared" si="17"/>
        <v>37450</v>
      </c>
      <c r="E294" s="25" t="s">
        <v>6906</v>
      </c>
      <c r="F294" s="28" t="str">
        <f t="shared" si="16"/>
        <v>insert into ins_premium_det (premium_rcv_code,assorted_code, rec_amount,premium_rcv_detail_code,remaining_amt, payrec, mode_code,coinsurance_code,class_cd,it_remarks) values</v>
      </c>
      <c r="G294" s="29" t="str">
        <f t="shared" si="18"/>
        <v>('29Nov240034','070000168252','37450',(select max(to_number(i.premium_rcv_detail_code))+1
from ins_premium_det i),'37450','37450','02', '11000003','00','Request by Mr. Reheel Malik 02-Dec-2024');</v>
      </c>
      <c r="H294" s="30" t="str">
        <f t="shared" si="19"/>
        <v>insert into ins_premium_det (premium_rcv_code,assorted_code, rec_amount,premium_rcv_detail_code,remaining_amt, payrec, mode_code,coinsurance_code,class_cd,it_remarks) values('29Nov240034','070000168252','37450',(select max(to_number(i.premium_rcv_detail_code))+1
from ins_premium_det i),'37450','37450','02', '11000003','00','Request by Mr. Reheel Malik 02-Dec-2024');</v>
      </c>
    </row>
    <row r="295" spans="1:8" ht="105" x14ac:dyDescent="0.25">
      <c r="A295" s="19" t="s">
        <v>6183</v>
      </c>
      <c r="B295" s="26" t="str">
        <f>VLOOKUP(A295,policy!B:C,2,0)</f>
        <v>070000168329</v>
      </c>
      <c r="C295" s="32">
        <v>36068</v>
      </c>
      <c r="D295" s="27">
        <f t="shared" si="17"/>
        <v>36068</v>
      </c>
      <c r="E295" s="25" t="s">
        <v>6906</v>
      </c>
      <c r="F295" s="28" t="str">
        <f t="shared" si="16"/>
        <v>insert into ins_premium_det (premium_rcv_code,assorted_code, rec_amount,premium_rcv_detail_code,remaining_amt, payrec, mode_code,coinsurance_code,class_cd,it_remarks) values</v>
      </c>
      <c r="G295" s="29" t="str">
        <f t="shared" si="18"/>
        <v>('29Nov240034','070000168329','36068',(select max(to_number(i.premium_rcv_detail_code))+1
from ins_premium_det i),'36068','36068','02', '11000003','00','Request by Mr. Reheel Malik 02-Dec-2024');</v>
      </c>
      <c r="H295" s="30" t="str">
        <f t="shared" si="19"/>
        <v>insert into ins_premium_det (premium_rcv_code,assorted_code, rec_amount,premium_rcv_detail_code,remaining_amt, payrec, mode_code,coinsurance_code,class_cd,it_remarks) values('29Nov240034','070000168329','36068',(select max(to_number(i.premium_rcv_detail_code))+1
from ins_premium_det i),'36068','36068','02', '11000003','00','Request by Mr. Reheel Malik 02-Dec-2024');</v>
      </c>
    </row>
    <row r="296" spans="1:8" ht="105" x14ac:dyDescent="0.25">
      <c r="A296" s="18" t="s">
        <v>6184</v>
      </c>
      <c r="B296" s="26" t="str">
        <f>VLOOKUP(A296,policy!B:C,2,0)</f>
        <v>070000168261</v>
      </c>
      <c r="C296" s="31">
        <v>25760</v>
      </c>
      <c r="D296" s="27">
        <f t="shared" si="17"/>
        <v>25760</v>
      </c>
      <c r="E296" s="25" t="s">
        <v>6906</v>
      </c>
      <c r="F296" s="28" t="str">
        <f t="shared" si="16"/>
        <v>insert into ins_premium_det (premium_rcv_code,assorted_code, rec_amount,premium_rcv_detail_code,remaining_amt, payrec, mode_code,coinsurance_code,class_cd,it_remarks) values</v>
      </c>
      <c r="G296" s="29" t="str">
        <f t="shared" si="18"/>
        <v>('29Nov240034','070000168261','25760',(select max(to_number(i.premium_rcv_detail_code))+1
from ins_premium_det i),'25760','25760','02', '11000003','00','Request by Mr. Reheel Malik 02-Dec-2024');</v>
      </c>
      <c r="H296" s="30" t="str">
        <f t="shared" si="19"/>
        <v>insert into ins_premium_det (premium_rcv_code,assorted_code, rec_amount,premium_rcv_detail_code,remaining_amt, payrec, mode_code,coinsurance_code,class_cd,it_remarks) values('29Nov240034','070000168261','25760',(select max(to_number(i.premium_rcv_detail_code))+1
from ins_premium_det i),'25760','25760','02', '11000003','00','Request by Mr. Reheel Malik 02-Dec-2024');</v>
      </c>
    </row>
    <row r="297" spans="1:8" ht="105" x14ac:dyDescent="0.25">
      <c r="A297" s="19" t="s">
        <v>6185</v>
      </c>
      <c r="B297" s="26" t="str">
        <f>VLOOKUP(A297,policy!B:C,2,0)</f>
        <v>070000168328</v>
      </c>
      <c r="C297" s="32">
        <v>40950</v>
      </c>
      <c r="D297" s="27">
        <f t="shared" si="17"/>
        <v>40950</v>
      </c>
      <c r="E297" s="25" t="s">
        <v>6906</v>
      </c>
      <c r="F297" s="28" t="str">
        <f t="shared" si="16"/>
        <v>insert into ins_premium_det (premium_rcv_code,assorted_code, rec_amount,premium_rcv_detail_code,remaining_amt, payrec, mode_code,coinsurance_code,class_cd,it_remarks) values</v>
      </c>
      <c r="G297" s="29" t="str">
        <f t="shared" si="18"/>
        <v>('29Nov240034','070000168328','40950',(select max(to_number(i.premium_rcv_detail_code))+1
from ins_premium_det i),'40950','40950','02', '11000003','00','Request by Mr. Reheel Malik 02-Dec-2024');</v>
      </c>
      <c r="H297" s="30" t="str">
        <f t="shared" si="19"/>
        <v>insert into ins_premium_det (premium_rcv_code,assorted_code, rec_amount,premium_rcv_detail_code,remaining_amt, payrec, mode_code,coinsurance_code,class_cd,it_remarks) values('29Nov240034','070000168328','40950',(select max(to_number(i.premium_rcv_detail_code))+1
from ins_premium_det i),'40950','40950','02', '11000003','00','Request by Mr. Reheel Malik 02-Dec-2024');</v>
      </c>
    </row>
    <row r="298" spans="1:8" ht="105" x14ac:dyDescent="0.25">
      <c r="A298" s="18" t="s">
        <v>6186</v>
      </c>
      <c r="B298" s="26" t="str">
        <f>VLOOKUP(A298,policy!B:C,2,0)</f>
        <v>070000168262</v>
      </c>
      <c r="C298" s="31">
        <v>24528</v>
      </c>
      <c r="D298" s="27">
        <f t="shared" si="17"/>
        <v>24528</v>
      </c>
      <c r="E298" s="25" t="s">
        <v>6906</v>
      </c>
      <c r="F298" s="28" t="str">
        <f t="shared" si="16"/>
        <v>insert into ins_premium_det (premium_rcv_code,assorted_code, rec_amount,premium_rcv_detail_code,remaining_amt, payrec, mode_code,coinsurance_code,class_cd,it_remarks) values</v>
      </c>
      <c r="G298" s="29" t="str">
        <f t="shared" si="18"/>
        <v>('29Nov240034','070000168262','24528',(select max(to_number(i.premium_rcv_detail_code))+1
from ins_premium_det i),'24528','24528','02', '11000003','00','Request by Mr. Reheel Malik 02-Dec-2024');</v>
      </c>
      <c r="H298" s="30" t="str">
        <f t="shared" si="19"/>
        <v>insert into ins_premium_det (premium_rcv_code,assorted_code, rec_amount,premium_rcv_detail_code,remaining_amt, payrec, mode_code,coinsurance_code,class_cd,it_remarks) values('29Nov240034','070000168262','24528',(select max(to_number(i.premium_rcv_detail_code))+1
from ins_premium_det i),'24528','24528','02', '11000003','00','Request by Mr. Reheel Malik 02-Dec-2024');</v>
      </c>
    </row>
    <row r="299" spans="1:8" ht="105" x14ac:dyDescent="0.25">
      <c r="A299" s="19" t="s">
        <v>6187</v>
      </c>
      <c r="B299" s="26" t="str">
        <f>VLOOKUP(A299,policy!B:C,2,0)</f>
        <v>070000168263</v>
      </c>
      <c r="C299" s="32">
        <v>25760</v>
      </c>
      <c r="D299" s="27">
        <f t="shared" si="17"/>
        <v>25760</v>
      </c>
      <c r="E299" s="25" t="s">
        <v>6906</v>
      </c>
      <c r="F299" s="28" t="str">
        <f t="shared" si="16"/>
        <v>insert into ins_premium_det (premium_rcv_code,assorted_code, rec_amount,premium_rcv_detail_code,remaining_amt, payrec, mode_code,coinsurance_code,class_cd,it_remarks) values</v>
      </c>
      <c r="G299" s="29" t="str">
        <f t="shared" si="18"/>
        <v>('29Nov240034','070000168263','25760',(select max(to_number(i.premium_rcv_detail_code))+1
from ins_premium_det i),'25760','25760','02', '11000003','00','Request by Mr. Reheel Malik 02-Dec-2024');</v>
      </c>
      <c r="H299" s="30" t="str">
        <f t="shared" si="19"/>
        <v>insert into ins_premium_det (premium_rcv_code,assorted_code, rec_amount,premium_rcv_detail_code,remaining_amt, payrec, mode_code,coinsurance_code,class_cd,it_remarks) values('29Nov240034','070000168263','25760',(select max(to_number(i.premium_rcv_detail_code))+1
from ins_premium_det i),'25760','25760','02', '11000003','00','Request by Mr. Reheel Malik 02-Dec-2024');</v>
      </c>
    </row>
    <row r="300" spans="1:8" ht="105" x14ac:dyDescent="0.25">
      <c r="A300" s="18" t="s">
        <v>6188</v>
      </c>
      <c r="B300" s="26" t="str">
        <f>VLOOKUP(A300,policy!B:C,2,0)</f>
        <v>070000168264</v>
      </c>
      <c r="C300" s="31">
        <v>63665</v>
      </c>
      <c r="D300" s="27">
        <f t="shared" si="17"/>
        <v>63665</v>
      </c>
      <c r="E300" s="25" t="s">
        <v>6906</v>
      </c>
      <c r="F300" s="28" t="str">
        <f t="shared" si="16"/>
        <v>insert into ins_premium_det (premium_rcv_code,assorted_code, rec_amount,premium_rcv_detail_code,remaining_amt, payrec, mode_code,coinsurance_code,class_cd,it_remarks) values</v>
      </c>
      <c r="G300" s="29" t="str">
        <f t="shared" si="18"/>
        <v>('29Nov240034','070000168264','63665',(select max(to_number(i.premium_rcv_detail_code))+1
from ins_premium_det i),'63665','63665','02', '11000003','00','Request by Mr. Reheel Malik 02-Dec-2024');</v>
      </c>
      <c r="H300" s="30" t="str">
        <f t="shared" si="19"/>
        <v>insert into ins_premium_det (premium_rcv_code,assorted_code, rec_amount,premium_rcv_detail_code,remaining_amt, payrec, mode_code,coinsurance_code,class_cd,it_remarks) values('29Nov240034','070000168264','63665',(select max(to_number(i.premium_rcv_detail_code))+1
from ins_premium_det i),'63665','63665','02', '11000003','00','Request by Mr. Reheel Malik 02-Dec-2024');</v>
      </c>
    </row>
    <row r="301" spans="1:8" ht="105" x14ac:dyDescent="0.25">
      <c r="A301" s="19" t="s">
        <v>6189</v>
      </c>
      <c r="B301" s="26" t="str">
        <f>VLOOKUP(A301,policy!B:C,2,0)</f>
        <v>070000168269</v>
      </c>
      <c r="C301" s="32">
        <v>33167</v>
      </c>
      <c r="D301" s="27">
        <f t="shared" si="17"/>
        <v>33167</v>
      </c>
      <c r="E301" s="25" t="s">
        <v>6906</v>
      </c>
      <c r="F301" s="28" t="str">
        <f t="shared" si="16"/>
        <v>insert into ins_premium_det (premium_rcv_code,assorted_code, rec_amount,premium_rcv_detail_code,remaining_amt, payrec, mode_code,coinsurance_code,class_cd,it_remarks) values</v>
      </c>
      <c r="G301" s="29" t="str">
        <f t="shared" si="18"/>
        <v>('29Nov240034','070000168269','33167',(select max(to_number(i.premium_rcv_detail_code))+1
from ins_premium_det i),'33167','33167','02', '11000003','00','Request by Mr. Reheel Malik 02-Dec-2024');</v>
      </c>
      <c r="H301" s="30" t="str">
        <f t="shared" si="19"/>
        <v>insert into ins_premium_det (premium_rcv_code,assorted_code, rec_amount,premium_rcv_detail_code,remaining_amt, payrec, mode_code,coinsurance_code,class_cd,it_remarks) values('29Nov240034','070000168269','33167',(select max(to_number(i.premium_rcv_detail_code))+1
from ins_premium_det i),'33167','33167','02', '11000003','00','Request by Mr. Reheel Malik 02-Dec-2024');</v>
      </c>
    </row>
    <row r="302" spans="1:8" ht="105" x14ac:dyDescent="0.25">
      <c r="A302" s="18" t="s">
        <v>6190</v>
      </c>
      <c r="B302" s="26" t="str">
        <f>VLOOKUP(A302,policy!B:C,2,0)</f>
        <v>070000168327</v>
      </c>
      <c r="C302" s="31">
        <v>16784</v>
      </c>
      <c r="D302" s="27">
        <f t="shared" si="17"/>
        <v>16784</v>
      </c>
      <c r="E302" s="25" t="s">
        <v>6906</v>
      </c>
      <c r="F302" s="28" t="str">
        <f t="shared" si="16"/>
        <v>insert into ins_premium_det (premium_rcv_code,assorted_code, rec_amount,premium_rcv_detail_code,remaining_amt, payrec, mode_code,coinsurance_code,class_cd,it_remarks) values</v>
      </c>
      <c r="G302" s="29" t="str">
        <f t="shared" si="18"/>
        <v>('29Nov240034','070000168327','16784',(select max(to_number(i.premium_rcv_detail_code))+1
from ins_premium_det i),'16784','16784','02', '11000003','00','Request by Mr. Reheel Malik 02-Dec-2024');</v>
      </c>
      <c r="H302" s="30" t="str">
        <f t="shared" si="19"/>
        <v>insert into ins_premium_det (premium_rcv_code,assorted_code, rec_amount,premium_rcv_detail_code,remaining_amt, payrec, mode_code,coinsurance_code,class_cd,it_remarks) values('29Nov240034','070000168327','16784',(select max(to_number(i.premium_rcv_detail_code))+1
from ins_premium_det i),'16784','16784','02', '11000003','00','Request by Mr. Reheel Malik 02-Dec-2024');</v>
      </c>
    </row>
    <row r="303" spans="1:8" ht="105" x14ac:dyDescent="0.25">
      <c r="A303" s="19" t="s">
        <v>6191</v>
      </c>
      <c r="B303" s="26" t="str">
        <f>VLOOKUP(A303,policy!B:C,2,0)</f>
        <v>070000168270</v>
      </c>
      <c r="C303" s="32">
        <v>87840</v>
      </c>
      <c r="D303" s="27">
        <f t="shared" si="17"/>
        <v>87840</v>
      </c>
      <c r="E303" s="25" t="s">
        <v>6906</v>
      </c>
      <c r="F303" s="28" t="str">
        <f t="shared" si="16"/>
        <v>insert into ins_premium_det (premium_rcv_code,assorted_code, rec_amount,premium_rcv_detail_code,remaining_amt, payrec, mode_code,coinsurance_code,class_cd,it_remarks) values</v>
      </c>
      <c r="G303" s="29" t="str">
        <f t="shared" si="18"/>
        <v>('29Nov240034','070000168270','87840',(select max(to_number(i.premium_rcv_detail_code))+1
from ins_premium_det i),'87840','87840','02', '11000003','00','Request by Mr. Reheel Malik 02-Dec-2024');</v>
      </c>
      <c r="H303" s="30" t="str">
        <f t="shared" si="19"/>
        <v>insert into ins_premium_det (premium_rcv_code,assorted_code, rec_amount,premium_rcv_detail_code,remaining_amt, payrec, mode_code,coinsurance_code,class_cd,it_remarks) values('29Nov240034','070000168270','87840',(select max(to_number(i.premium_rcv_detail_code))+1
from ins_premium_det i),'87840','87840','02', '11000003','00','Request by Mr. Reheel Malik 02-Dec-2024');</v>
      </c>
    </row>
    <row r="304" spans="1:8" ht="105" x14ac:dyDescent="0.25">
      <c r="A304" s="18" t="s">
        <v>6192</v>
      </c>
      <c r="B304" s="26" t="str">
        <f>VLOOKUP(A304,policy!B:C,2,0)</f>
        <v>070000168326</v>
      </c>
      <c r="C304" s="31">
        <v>16784</v>
      </c>
      <c r="D304" s="27">
        <f t="shared" si="17"/>
        <v>16784</v>
      </c>
      <c r="E304" s="25" t="s">
        <v>6906</v>
      </c>
      <c r="F304" s="28" t="str">
        <f t="shared" si="16"/>
        <v>insert into ins_premium_det (premium_rcv_code,assorted_code, rec_amount,premium_rcv_detail_code,remaining_amt, payrec, mode_code,coinsurance_code,class_cd,it_remarks) values</v>
      </c>
      <c r="G304" s="29" t="str">
        <f t="shared" si="18"/>
        <v>('29Nov240034','070000168326','16784',(select max(to_number(i.premium_rcv_detail_code))+1
from ins_premium_det i),'16784','16784','02', '11000003','00','Request by Mr. Reheel Malik 02-Dec-2024');</v>
      </c>
      <c r="H304" s="30" t="str">
        <f t="shared" si="19"/>
        <v>insert into ins_premium_det (premium_rcv_code,assorted_code, rec_amount,premium_rcv_detail_code,remaining_amt, payrec, mode_code,coinsurance_code,class_cd,it_remarks) values('29Nov240034','070000168326','16784',(select max(to_number(i.premium_rcv_detail_code))+1
from ins_premium_det i),'16784','16784','02', '11000003','00','Request by Mr. Reheel Malik 02-Dec-2024');</v>
      </c>
    </row>
    <row r="305" spans="1:8" ht="105" x14ac:dyDescent="0.25">
      <c r="A305" s="19" t="s">
        <v>6193</v>
      </c>
      <c r="B305" s="26" t="str">
        <f>VLOOKUP(A305,policy!B:C,2,0)</f>
        <v>070000168325</v>
      </c>
      <c r="C305" s="32">
        <v>21360</v>
      </c>
      <c r="D305" s="27">
        <f t="shared" si="17"/>
        <v>21360</v>
      </c>
      <c r="E305" s="25" t="s">
        <v>6906</v>
      </c>
      <c r="F305" s="28" t="str">
        <f t="shared" si="16"/>
        <v>insert into ins_premium_det (premium_rcv_code,assorted_code, rec_amount,premium_rcv_detail_code,remaining_amt, payrec, mode_code,coinsurance_code,class_cd,it_remarks) values</v>
      </c>
      <c r="G305" s="29" t="str">
        <f t="shared" si="18"/>
        <v>('29Nov240034','070000168325','21360',(select max(to_number(i.premium_rcv_detail_code))+1
from ins_premium_det i),'21360','21360','02', '11000003','00','Request by Mr. Reheel Malik 02-Dec-2024');</v>
      </c>
      <c r="H305" s="30" t="str">
        <f t="shared" si="19"/>
        <v>insert into ins_premium_det (premium_rcv_code,assorted_code, rec_amount,premium_rcv_detail_code,remaining_amt, payrec, mode_code,coinsurance_code,class_cd,it_remarks) values('29Nov240034','070000168325','21360',(select max(to_number(i.premium_rcv_detail_code))+1
from ins_premium_det i),'21360','21360','02', '11000003','00','Request by Mr. Reheel Malik 02-Dec-2024');</v>
      </c>
    </row>
    <row r="306" spans="1:8" ht="105" x14ac:dyDescent="0.25">
      <c r="A306" s="18" t="s">
        <v>6194</v>
      </c>
      <c r="B306" s="26" t="str">
        <f>VLOOKUP(A306,policy!B:C,2,0)</f>
        <v>070000168271</v>
      </c>
      <c r="C306" s="31">
        <v>43248</v>
      </c>
      <c r="D306" s="27">
        <f t="shared" si="17"/>
        <v>43248</v>
      </c>
      <c r="E306" s="25" t="s">
        <v>6906</v>
      </c>
      <c r="F306" s="28" t="str">
        <f t="shared" si="16"/>
        <v>insert into ins_premium_det (premium_rcv_code,assorted_code, rec_amount,premium_rcv_detail_code,remaining_amt, payrec, mode_code,coinsurance_code,class_cd,it_remarks) values</v>
      </c>
      <c r="G306" s="29" t="str">
        <f t="shared" si="18"/>
        <v>('29Nov240034','070000168271','43248',(select max(to_number(i.premium_rcv_detail_code))+1
from ins_premium_det i),'43248','43248','02', '11000003','00','Request by Mr. Reheel Malik 02-Dec-2024');</v>
      </c>
      <c r="H306" s="30" t="str">
        <f t="shared" si="19"/>
        <v>insert into ins_premium_det (premium_rcv_code,assorted_code, rec_amount,premium_rcv_detail_code,remaining_amt, payrec, mode_code,coinsurance_code,class_cd,it_remarks) values('29Nov240034','070000168271','43248',(select max(to_number(i.premium_rcv_detail_code))+1
from ins_premium_det i),'43248','43248','02', '11000003','00','Request by Mr. Reheel Malik 02-Dec-2024');</v>
      </c>
    </row>
    <row r="307" spans="1:8" ht="105" x14ac:dyDescent="0.25">
      <c r="A307" s="19" t="s">
        <v>6195</v>
      </c>
      <c r="B307" s="26" t="str">
        <f>VLOOKUP(A307,policy!B:C,2,0)</f>
        <v>070000168272</v>
      </c>
      <c r="C307" s="32">
        <v>62384</v>
      </c>
      <c r="D307" s="27">
        <f t="shared" si="17"/>
        <v>62384</v>
      </c>
      <c r="E307" s="25" t="s">
        <v>6906</v>
      </c>
      <c r="F307" s="28" t="str">
        <f t="shared" si="16"/>
        <v>insert into ins_premium_det (premium_rcv_code,assorted_code, rec_amount,premium_rcv_detail_code,remaining_amt, payrec, mode_code,coinsurance_code,class_cd,it_remarks) values</v>
      </c>
      <c r="G307" s="29" t="str">
        <f t="shared" si="18"/>
        <v>('29Nov240034','070000168272','62384',(select max(to_number(i.premium_rcv_detail_code))+1
from ins_premium_det i),'62384','62384','02', '11000003','00','Request by Mr. Reheel Malik 02-Dec-2024');</v>
      </c>
      <c r="H307" s="30" t="str">
        <f t="shared" si="19"/>
        <v>insert into ins_premium_det (premium_rcv_code,assorted_code, rec_amount,premium_rcv_detail_code,remaining_amt, payrec, mode_code,coinsurance_code,class_cd,it_remarks) values('29Nov240034','070000168272','62384',(select max(to_number(i.premium_rcv_detail_code))+1
from ins_premium_det i),'62384','62384','02', '11000003','00','Request by Mr. Reheel Malik 02-Dec-2024');</v>
      </c>
    </row>
    <row r="308" spans="1:8" ht="105" x14ac:dyDescent="0.25">
      <c r="A308" s="18" t="s">
        <v>6196</v>
      </c>
      <c r="B308" s="26" t="str">
        <f>VLOOKUP(A308,policy!B:C,2,0)</f>
        <v>070000168273</v>
      </c>
      <c r="C308" s="31">
        <v>33600</v>
      </c>
      <c r="D308" s="27">
        <f t="shared" si="17"/>
        <v>33600</v>
      </c>
      <c r="E308" s="25" t="s">
        <v>6906</v>
      </c>
      <c r="F308" s="28" t="str">
        <f t="shared" si="16"/>
        <v>insert into ins_premium_det (premium_rcv_code,assorted_code, rec_amount,premium_rcv_detail_code,remaining_amt, payrec, mode_code,coinsurance_code,class_cd,it_remarks) values</v>
      </c>
      <c r="G308" s="29" t="str">
        <f t="shared" si="18"/>
        <v>('29Nov240034','070000168273','33600',(select max(to_number(i.premium_rcv_detail_code))+1
from ins_premium_det i),'33600','33600','02', '11000003','00','Request by Mr. Reheel Malik 02-Dec-2024');</v>
      </c>
      <c r="H308" s="30" t="str">
        <f t="shared" si="19"/>
        <v>insert into ins_premium_det (premium_rcv_code,assorted_code, rec_amount,premium_rcv_detail_code,remaining_amt, payrec, mode_code,coinsurance_code,class_cd,it_remarks) values('29Nov240034','070000168273','33600',(select max(to_number(i.premium_rcv_detail_code))+1
from ins_premium_det i),'33600','33600','02', '11000003','00','Request by Mr. Reheel Malik 02-Dec-2024');</v>
      </c>
    </row>
    <row r="309" spans="1:8" ht="105" x14ac:dyDescent="0.25">
      <c r="A309" s="19" t="s">
        <v>6197</v>
      </c>
      <c r="B309" s="26" t="str">
        <f>VLOOKUP(A309,policy!B:C,2,0)</f>
        <v>070000168324</v>
      </c>
      <c r="C309" s="32">
        <v>30832</v>
      </c>
      <c r="D309" s="27">
        <f t="shared" si="17"/>
        <v>30832</v>
      </c>
      <c r="E309" s="25" t="s">
        <v>6906</v>
      </c>
      <c r="F309" s="28" t="str">
        <f t="shared" si="16"/>
        <v>insert into ins_premium_det (premium_rcv_code,assorted_code, rec_amount,premium_rcv_detail_code,remaining_amt, payrec, mode_code,coinsurance_code,class_cd,it_remarks) values</v>
      </c>
      <c r="G309" s="29" t="str">
        <f t="shared" si="18"/>
        <v>('29Nov240034','070000168324','30832',(select max(to_number(i.premium_rcv_detail_code))+1
from ins_premium_det i),'30832','30832','02', '11000003','00','Request by Mr. Reheel Malik 02-Dec-2024');</v>
      </c>
      <c r="H309" s="30" t="str">
        <f t="shared" si="19"/>
        <v>insert into ins_premium_det (premium_rcv_code,assorted_code, rec_amount,premium_rcv_detail_code,remaining_amt, payrec, mode_code,coinsurance_code,class_cd,it_remarks) values('29Nov240034','070000168324','30832',(select max(to_number(i.premium_rcv_detail_code))+1
from ins_premium_det i),'30832','30832','02', '11000003','00','Request by Mr. Reheel Malik 02-Dec-2024');</v>
      </c>
    </row>
    <row r="310" spans="1:8" ht="105" x14ac:dyDescent="0.25">
      <c r="A310" s="18" t="s">
        <v>6198</v>
      </c>
      <c r="B310" s="26" t="str">
        <f>VLOOKUP(A310,policy!B:C,2,0)</f>
        <v>070000168323</v>
      </c>
      <c r="C310" s="31">
        <v>31600</v>
      </c>
      <c r="D310" s="27">
        <f t="shared" si="17"/>
        <v>31600</v>
      </c>
      <c r="E310" s="25" t="s">
        <v>6906</v>
      </c>
      <c r="F310" s="28" t="str">
        <f t="shared" si="16"/>
        <v>insert into ins_premium_det (premium_rcv_code,assorted_code, rec_amount,premium_rcv_detail_code,remaining_amt, payrec, mode_code,coinsurance_code,class_cd,it_remarks) values</v>
      </c>
      <c r="G310" s="29" t="str">
        <f t="shared" si="18"/>
        <v>('29Nov240034','070000168323','31600',(select max(to_number(i.premium_rcv_detail_code))+1
from ins_premium_det i),'31600','31600','02', '11000003','00','Request by Mr. Reheel Malik 02-Dec-2024');</v>
      </c>
      <c r="H310" s="30" t="str">
        <f t="shared" si="19"/>
        <v>insert into ins_premium_det (premium_rcv_code,assorted_code, rec_amount,premium_rcv_detail_code,remaining_amt, payrec, mode_code,coinsurance_code,class_cd,it_remarks) values('29Nov240034','070000168323','31600',(select max(to_number(i.premium_rcv_detail_code))+1
from ins_premium_det i),'31600','31600','02', '11000003','00','Request by Mr. Reheel Malik 02-Dec-2024');</v>
      </c>
    </row>
    <row r="311" spans="1:8" ht="105" x14ac:dyDescent="0.25">
      <c r="A311" s="19" t="s">
        <v>6199</v>
      </c>
      <c r="B311" s="26" t="str">
        <f>VLOOKUP(A311,policy!B:C,2,0)</f>
        <v>070000168322</v>
      </c>
      <c r="C311" s="32">
        <v>46480</v>
      </c>
      <c r="D311" s="27">
        <f t="shared" si="17"/>
        <v>46480</v>
      </c>
      <c r="E311" s="25" t="s">
        <v>6906</v>
      </c>
      <c r="F311" s="28" t="str">
        <f t="shared" si="16"/>
        <v>insert into ins_premium_det (premium_rcv_code,assorted_code, rec_amount,premium_rcv_detail_code,remaining_amt, payrec, mode_code,coinsurance_code,class_cd,it_remarks) values</v>
      </c>
      <c r="G311" s="29" t="str">
        <f t="shared" si="18"/>
        <v>('29Nov240034','070000168322','46480',(select max(to_number(i.premium_rcv_detail_code))+1
from ins_premium_det i),'46480','46480','02', '11000003','00','Request by Mr. Reheel Malik 02-Dec-2024');</v>
      </c>
      <c r="H311" s="30" t="str">
        <f t="shared" si="19"/>
        <v>insert into ins_premium_det (premium_rcv_code,assorted_code, rec_amount,premium_rcv_detail_code,remaining_amt, payrec, mode_code,coinsurance_code,class_cd,it_remarks) values('29Nov240034','070000168322','46480',(select max(to_number(i.premium_rcv_detail_code))+1
from ins_premium_det i),'46480','46480','02', '11000003','00','Request by Mr. Reheel Malik 02-Dec-2024');</v>
      </c>
    </row>
    <row r="312" spans="1:8" ht="105" x14ac:dyDescent="0.25">
      <c r="A312" s="18" t="s">
        <v>6200</v>
      </c>
      <c r="B312" s="26" t="str">
        <f>VLOOKUP(A312,policy!B:C,2,0)</f>
        <v>070000168277</v>
      </c>
      <c r="C312" s="31">
        <v>24336</v>
      </c>
      <c r="D312" s="27">
        <f t="shared" si="17"/>
        <v>24336</v>
      </c>
      <c r="E312" s="25" t="s">
        <v>6906</v>
      </c>
      <c r="F312" s="28" t="str">
        <f t="shared" si="16"/>
        <v>insert into ins_premium_det (premium_rcv_code,assorted_code, rec_amount,premium_rcv_detail_code,remaining_amt, payrec, mode_code,coinsurance_code,class_cd,it_remarks) values</v>
      </c>
      <c r="G312" s="29" t="str">
        <f t="shared" si="18"/>
        <v>('29Nov240034','070000168277','24336',(select max(to_number(i.premium_rcv_detail_code))+1
from ins_premium_det i),'24336','24336','02', '11000003','00','Request by Mr. Reheel Malik 02-Dec-2024');</v>
      </c>
      <c r="H312" s="30" t="str">
        <f t="shared" si="19"/>
        <v>insert into ins_premium_det (premium_rcv_code,assorted_code, rec_amount,premium_rcv_detail_code,remaining_amt, payrec, mode_code,coinsurance_code,class_cd,it_remarks) values('29Nov240034','070000168277','24336',(select max(to_number(i.premium_rcv_detail_code))+1
from ins_premium_det i),'24336','24336','02', '11000003','00','Request by Mr. Reheel Malik 02-Dec-2024');</v>
      </c>
    </row>
    <row r="313" spans="1:8" ht="105" x14ac:dyDescent="0.25">
      <c r="A313" s="19" t="s">
        <v>6201</v>
      </c>
      <c r="B313" s="26" t="str">
        <f>VLOOKUP(A313,policy!B:C,2,0)</f>
        <v>070000168317</v>
      </c>
      <c r="C313" s="32">
        <v>40800</v>
      </c>
      <c r="D313" s="27">
        <f t="shared" si="17"/>
        <v>40800</v>
      </c>
      <c r="E313" s="25" t="s">
        <v>6906</v>
      </c>
      <c r="F313" s="28" t="str">
        <f t="shared" si="16"/>
        <v>insert into ins_premium_det (premium_rcv_code,assorted_code, rec_amount,premium_rcv_detail_code,remaining_amt, payrec, mode_code,coinsurance_code,class_cd,it_remarks) values</v>
      </c>
      <c r="G313" s="29" t="str">
        <f t="shared" si="18"/>
        <v>('29Nov240034','070000168317','40800',(select max(to_number(i.premium_rcv_detail_code))+1
from ins_premium_det i),'40800','40800','02', '11000003','00','Request by Mr. Reheel Malik 02-Dec-2024');</v>
      </c>
      <c r="H313" s="30" t="str">
        <f t="shared" si="19"/>
        <v>insert into ins_premium_det (premium_rcv_code,assorted_code, rec_amount,premium_rcv_detail_code,remaining_amt, payrec, mode_code,coinsurance_code,class_cd,it_remarks) values('29Nov240034','070000168317','40800',(select max(to_number(i.premium_rcv_detail_code))+1
from ins_premium_det i),'40800','40800','02', '11000003','00','Request by Mr. Reheel Malik 02-Dec-2024');</v>
      </c>
    </row>
    <row r="314" spans="1:8" ht="105" x14ac:dyDescent="0.25">
      <c r="A314" s="18" t="s">
        <v>6202</v>
      </c>
      <c r="B314" s="26" t="str">
        <f>VLOOKUP(A314,policy!B:C,2,0)</f>
        <v>070000168316</v>
      </c>
      <c r="C314" s="31">
        <v>43248</v>
      </c>
      <c r="D314" s="27">
        <f t="shared" si="17"/>
        <v>43248</v>
      </c>
      <c r="E314" s="25" t="s">
        <v>6906</v>
      </c>
      <c r="F314" s="28" t="str">
        <f t="shared" si="16"/>
        <v>insert into ins_premium_det (premium_rcv_code,assorted_code, rec_amount,premium_rcv_detail_code,remaining_amt, payrec, mode_code,coinsurance_code,class_cd,it_remarks) values</v>
      </c>
      <c r="G314" s="29" t="str">
        <f t="shared" si="18"/>
        <v>('29Nov240034','070000168316','43248',(select max(to_number(i.premium_rcv_detail_code))+1
from ins_premium_det i),'43248','43248','02', '11000003','00','Request by Mr. Reheel Malik 02-Dec-2024');</v>
      </c>
      <c r="H314" s="30" t="str">
        <f t="shared" si="19"/>
        <v>insert into ins_premium_det (premium_rcv_code,assorted_code, rec_amount,premium_rcv_detail_code,remaining_amt, payrec, mode_code,coinsurance_code,class_cd,it_remarks) values('29Nov240034','070000168316','43248',(select max(to_number(i.premium_rcv_detail_code))+1
from ins_premium_det i),'43248','43248','02', '11000003','00','Request by Mr. Reheel Malik 02-Dec-2024');</v>
      </c>
    </row>
    <row r="315" spans="1:8" ht="105" x14ac:dyDescent="0.25">
      <c r="A315" s="19" t="s">
        <v>6203</v>
      </c>
      <c r="B315" s="26" t="str">
        <f>VLOOKUP(A315,policy!B:C,2,0)</f>
        <v>070000168281</v>
      </c>
      <c r="C315" s="32">
        <v>17808</v>
      </c>
      <c r="D315" s="27">
        <f t="shared" si="17"/>
        <v>17808</v>
      </c>
      <c r="E315" s="25" t="s">
        <v>6906</v>
      </c>
      <c r="F315" s="28" t="str">
        <f t="shared" si="16"/>
        <v>insert into ins_premium_det (premium_rcv_code,assorted_code, rec_amount,premium_rcv_detail_code,remaining_amt, payrec, mode_code,coinsurance_code,class_cd,it_remarks) values</v>
      </c>
      <c r="G315" s="29" t="str">
        <f t="shared" si="18"/>
        <v>('29Nov240034','070000168281','17808',(select max(to_number(i.premium_rcv_detail_code))+1
from ins_premium_det i),'17808','17808','02', '11000003','00','Request by Mr. Reheel Malik 02-Dec-2024');</v>
      </c>
      <c r="H315" s="30" t="str">
        <f t="shared" si="19"/>
        <v>insert into ins_premium_det (premium_rcv_code,assorted_code, rec_amount,premium_rcv_detail_code,remaining_amt, payrec, mode_code,coinsurance_code,class_cd,it_remarks) values('29Nov240034','070000168281','17808',(select max(to_number(i.premium_rcv_detail_code))+1
from ins_premium_det i),'17808','17808','02', '11000003','00','Request by Mr. Reheel Malik 02-Dec-2024');</v>
      </c>
    </row>
    <row r="316" spans="1:8" ht="105" x14ac:dyDescent="0.25">
      <c r="A316" s="18" t="s">
        <v>6204</v>
      </c>
      <c r="B316" s="26" t="str">
        <f>VLOOKUP(A316,policy!B:C,2,0)</f>
        <v>070000168312</v>
      </c>
      <c r="C316" s="31">
        <v>64784</v>
      </c>
      <c r="D316" s="27">
        <f t="shared" si="17"/>
        <v>64784</v>
      </c>
      <c r="E316" s="25" t="s">
        <v>6906</v>
      </c>
      <c r="F316" s="28" t="str">
        <f t="shared" si="16"/>
        <v>insert into ins_premium_det (premium_rcv_code,assorted_code, rec_amount,premium_rcv_detail_code,remaining_amt, payrec, mode_code,coinsurance_code,class_cd,it_remarks) values</v>
      </c>
      <c r="G316" s="29" t="str">
        <f t="shared" si="18"/>
        <v>('29Nov240034','070000168312','64784',(select max(to_number(i.premium_rcv_detail_code))+1
from ins_premium_det i),'64784','64784','02', '11000003','00','Request by Mr. Reheel Malik 02-Dec-2024');</v>
      </c>
      <c r="H316" s="30" t="str">
        <f t="shared" si="19"/>
        <v>insert into ins_premium_det (premium_rcv_code,assorted_code, rec_amount,premium_rcv_detail_code,remaining_amt, payrec, mode_code,coinsurance_code,class_cd,it_remarks) values('29Nov240034','070000168312','64784',(select max(to_number(i.premium_rcv_detail_code))+1
from ins_premium_det i),'64784','64784','02', '11000003','00','Request by Mr. Reheel Malik 02-Dec-2024');</v>
      </c>
    </row>
    <row r="317" spans="1:8" ht="105" x14ac:dyDescent="0.25">
      <c r="A317" s="19" t="s">
        <v>6205</v>
      </c>
      <c r="B317" s="26" t="str">
        <f>VLOOKUP(A317,policy!B:C,2,0)</f>
        <v>070000168311</v>
      </c>
      <c r="C317" s="32">
        <v>35700</v>
      </c>
      <c r="D317" s="27">
        <f t="shared" si="17"/>
        <v>35700</v>
      </c>
      <c r="E317" s="25" t="s">
        <v>6906</v>
      </c>
      <c r="F317" s="28" t="str">
        <f t="shared" si="16"/>
        <v>insert into ins_premium_det (premium_rcv_code,assorted_code, rec_amount,premium_rcv_detail_code,remaining_amt, payrec, mode_code,coinsurance_code,class_cd,it_remarks) values</v>
      </c>
      <c r="G317" s="29" t="str">
        <f t="shared" si="18"/>
        <v>('29Nov240034','070000168311','35700',(select max(to_number(i.premium_rcv_detail_code))+1
from ins_premium_det i),'35700','35700','02', '11000003','00','Request by Mr. Reheel Malik 02-Dec-2024');</v>
      </c>
      <c r="H317" s="30" t="str">
        <f t="shared" si="19"/>
        <v>insert into ins_premium_det (premium_rcv_code,assorted_code, rec_amount,premium_rcv_detail_code,remaining_amt, payrec, mode_code,coinsurance_code,class_cd,it_remarks) values('29Nov240034','070000168311','35700',(select max(to_number(i.premium_rcv_detail_code))+1
from ins_premium_det i),'35700','35700','02', '11000003','00','Request by Mr. Reheel Malik 02-Dec-2024');</v>
      </c>
    </row>
    <row r="318" spans="1:8" ht="105" x14ac:dyDescent="0.25">
      <c r="A318" s="18" t="s">
        <v>6206</v>
      </c>
      <c r="B318" s="26" t="str">
        <f>VLOOKUP(A318,policy!B:C,2,0)</f>
        <v>070000168285</v>
      </c>
      <c r="C318" s="31">
        <v>17808</v>
      </c>
      <c r="D318" s="27">
        <f t="shared" si="17"/>
        <v>17808</v>
      </c>
      <c r="E318" s="25" t="s">
        <v>6906</v>
      </c>
      <c r="F318" s="28" t="str">
        <f t="shared" si="16"/>
        <v>insert into ins_premium_det (premium_rcv_code,assorted_code, rec_amount,premium_rcv_detail_code,remaining_amt, payrec, mode_code,coinsurance_code,class_cd,it_remarks) values</v>
      </c>
      <c r="G318" s="29" t="str">
        <f t="shared" si="18"/>
        <v>('29Nov240034','070000168285','17808',(select max(to_number(i.premium_rcv_detail_code))+1
from ins_premium_det i),'17808','17808','02', '11000003','00','Request by Mr. Reheel Malik 02-Dec-2024');</v>
      </c>
      <c r="H318" s="30" t="str">
        <f t="shared" si="19"/>
        <v>insert into ins_premium_det (premium_rcv_code,assorted_code, rec_amount,premium_rcv_detail_code,remaining_amt, payrec, mode_code,coinsurance_code,class_cd,it_remarks) values('29Nov240034','070000168285','17808',(select max(to_number(i.premium_rcv_detail_code))+1
from ins_premium_det i),'17808','17808','02', '11000003','00','Request by Mr. Reheel Malik 02-Dec-2024');</v>
      </c>
    </row>
    <row r="319" spans="1:8" ht="105" x14ac:dyDescent="0.25">
      <c r="A319" s="19" t="s">
        <v>6207</v>
      </c>
      <c r="B319" s="26" t="str">
        <f>VLOOKUP(A319,policy!B:C,2,0)</f>
        <v>070000168287</v>
      </c>
      <c r="C319" s="32">
        <v>17808</v>
      </c>
      <c r="D319" s="27">
        <f t="shared" si="17"/>
        <v>17808</v>
      </c>
      <c r="E319" s="25" t="s">
        <v>6906</v>
      </c>
      <c r="F319" s="28" t="str">
        <f t="shared" si="16"/>
        <v>insert into ins_premium_det (premium_rcv_code,assorted_code, rec_amount,premium_rcv_detail_code,remaining_amt, payrec, mode_code,coinsurance_code,class_cd,it_remarks) values</v>
      </c>
      <c r="G319" s="29" t="str">
        <f t="shared" si="18"/>
        <v>('29Nov240034','070000168287','17808',(select max(to_number(i.premium_rcv_detail_code))+1
from ins_premium_det i),'17808','17808','02', '11000003','00','Request by Mr. Reheel Malik 02-Dec-2024');</v>
      </c>
      <c r="H319" s="30" t="str">
        <f t="shared" si="19"/>
        <v>insert into ins_premium_det (premium_rcv_code,assorted_code, rec_amount,premium_rcv_detail_code,remaining_amt, payrec, mode_code,coinsurance_code,class_cd,it_remarks) values('29Nov240034','070000168287','17808',(select max(to_number(i.premium_rcv_detail_code))+1
from ins_premium_det i),'17808','17808','02', '11000003','00','Request by Mr. Reheel Malik 02-Dec-2024');</v>
      </c>
    </row>
    <row r="320" spans="1:8" ht="105" x14ac:dyDescent="0.25">
      <c r="A320" s="18" t="s">
        <v>6208</v>
      </c>
      <c r="B320" s="26" t="str">
        <f>VLOOKUP(A320,policy!B:C,2,0)</f>
        <v>070000168288</v>
      </c>
      <c r="C320" s="31">
        <v>38138</v>
      </c>
      <c r="D320" s="27">
        <f t="shared" si="17"/>
        <v>38138</v>
      </c>
      <c r="E320" s="25" t="s">
        <v>6906</v>
      </c>
      <c r="F320" s="28" t="str">
        <f t="shared" si="16"/>
        <v>insert into ins_premium_det (premium_rcv_code,assorted_code, rec_amount,premium_rcv_detail_code,remaining_amt, payrec, mode_code,coinsurance_code,class_cd,it_remarks) values</v>
      </c>
      <c r="G320" s="29" t="str">
        <f t="shared" si="18"/>
        <v>('29Nov240034','070000168288','38138',(select max(to_number(i.premium_rcv_detail_code))+1
from ins_premium_det i),'38138','38138','02', '11000003','00','Request by Mr. Reheel Malik 02-Dec-2024');</v>
      </c>
      <c r="H320" s="30" t="str">
        <f t="shared" si="19"/>
        <v>insert into ins_premium_det (premium_rcv_code,assorted_code, rec_amount,premium_rcv_detail_code,remaining_amt, payrec, mode_code,coinsurance_code,class_cd,it_remarks) values('29Nov240034','070000168288','38138',(select max(to_number(i.premium_rcv_detail_code))+1
from ins_premium_det i),'38138','38138','02', '11000003','00','Request by Mr. Reheel Malik 02-Dec-2024');</v>
      </c>
    </row>
    <row r="321" spans="1:8" ht="105" x14ac:dyDescent="0.25">
      <c r="A321" s="19" t="s">
        <v>6209</v>
      </c>
      <c r="B321" s="26" t="str">
        <f>VLOOKUP(A321,policy!B:C,2,0)</f>
        <v>070000168289</v>
      </c>
      <c r="C321" s="32">
        <v>63394</v>
      </c>
      <c r="D321" s="27">
        <f t="shared" si="17"/>
        <v>63394</v>
      </c>
      <c r="E321" s="25" t="s">
        <v>6906</v>
      </c>
      <c r="F321" s="28" t="str">
        <f t="shared" si="16"/>
        <v>insert into ins_premium_det (premium_rcv_code,assorted_code, rec_amount,premium_rcv_detail_code,remaining_amt, payrec, mode_code,coinsurance_code,class_cd,it_remarks) values</v>
      </c>
      <c r="G321" s="29" t="str">
        <f t="shared" si="18"/>
        <v>('29Nov240034','070000168289','63394',(select max(to_number(i.premium_rcv_detail_code))+1
from ins_premium_det i),'63394','63394','02', '11000003','00','Request by Mr. Reheel Malik 02-Dec-2024');</v>
      </c>
      <c r="H321" s="30" t="str">
        <f t="shared" si="19"/>
        <v>insert into ins_premium_det (premium_rcv_code,assorted_code, rec_amount,premium_rcv_detail_code,remaining_amt, payrec, mode_code,coinsurance_code,class_cd,it_remarks) values('29Nov240034','070000168289','63394',(select max(to_number(i.premium_rcv_detail_code))+1
from ins_premium_det i),'63394','63394','02', '11000003','00','Request by Mr. Reheel Malik 02-Dec-2024');</v>
      </c>
    </row>
    <row r="322" spans="1:8" ht="105" x14ac:dyDescent="0.25">
      <c r="A322" s="18" t="s">
        <v>6210</v>
      </c>
      <c r="B322" s="26" t="str">
        <f>VLOOKUP(A322,policy!B:C,2,0)</f>
        <v>070000168310</v>
      </c>
      <c r="C322" s="31">
        <v>52063</v>
      </c>
      <c r="D322" s="27">
        <f t="shared" si="17"/>
        <v>52063</v>
      </c>
      <c r="E322" s="25" t="s">
        <v>6906</v>
      </c>
      <c r="F322" s="28" t="str">
        <f t="shared" ref="F322:F335" si="20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322" s="29" t="str">
        <f t="shared" si="18"/>
        <v>('29Nov240034','070000168310','52063',(select max(to_number(i.premium_rcv_detail_code))+1
from ins_premium_det i),'52063','52063','02', '11000003','00','Request by Mr. Reheel Malik 02-Dec-2024');</v>
      </c>
      <c r="H322" s="30" t="str">
        <f t="shared" si="19"/>
        <v>insert into ins_premium_det (premium_rcv_code,assorted_code, rec_amount,premium_rcv_detail_code,remaining_amt, payrec, mode_code,coinsurance_code,class_cd,it_remarks) values('29Nov240034','070000168310','52063',(select max(to_number(i.premium_rcv_detail_code))+1
from ins_premium_det i),'52063','52063','02', '11000003','00','Request by Mr. Reheel Malik 02-Dec-2024');</v>
      </c>
    </row>
    <row r="323" spans="1:8" ht="105" x14ac:dyDescent="0.25">
      <c r="A323" s="19" t="s">
        <v>6211</v>
      </c>
      <c r="B323" s="26" t="str">
        <f>VLOOKUP(A323,policy!B:C,2,0)</f>
        <v>070000168290</v>
      </c>
      <c r="C323" s="32">
        <v>46226</v>
      </c>
      <c r="D323" s="27">
        <f t="shared" ref="D323:D335" si="21">ROUND(C323,0)</f>
        <v>46226</v>
      </c>
      <c r="E323" s="25" t="s">
        <v>6906</v>
      </c>
      <c r="F323" s="28" t="str">
        <f t="shared" si="20"/>
        <v>insert into ins_premium_det (premium_rcv_code,assorted_code, rec_amount,premium_rcv_detail_code,remaining_amt, payrec, mode_code,coinsurance_code,class_cd,it_remarks) values</v>
      </c>
      <c r="G323" s="29" t="str">
        <f t="shared" ref="G323:G335" si="22">"('"&amp;E323&amp;"','"&amp;B323&amp;"','"&amp;D323&amp;"',(select max(to_number(i.premium_rcv_detail_code))+1
from ins_premium_det i),'"&amp;D323&amp;"','"&amp;D323&amp;"','02', '11000003','00','Request by Mr. Reheel Malik 02-Dec-2024');"</f>
        <v>('29Nov240034','070000168290','46226',(select max(to_number(i.premium_rcv_detail_code))+1
from ins_premium_det i),'46226','46226','02', '11000003','00','Request by Mr. Reheel Malik 02-Dec-2024');</v>
      </c>
      <c r="H323" s="30" t="str">
        <f t="shared" ref="H323:H335" si="23">F323&amp;G323</f>
        <v>insert into ins_premium_det (premium_rcv_code,assorted_code, rec_amount,premium_rcv_detail_code,remaining_amt, payrec, mode_code,coinsurance_code,class_cd,it_remarks) values('29Nov240034','070000168290','46226',(select max(to_number(i.premium_rcv_detail_code))+1
from ins_premium_det i),'46226','46226','02', '11000003','00','Request by Mr. Reheel Malik 02-Dec-2024');</v>
      </c>
    </row>
    <row r="324" spans="1:8" ht="105" x14ac:dyDescent="0.25">
      <c r="A324" s="18" t="s">
        <v>6212</v>
      </c>
      <c r="B324" s="26" t="str">
        <f>VLOOKUP(A324,policy!B:C,2,0)</f>
        <v>070000168291</v>
      </c>
      <c r="C324" s="31">
        <v>52448</v>
      </c>
      <c r="D324" s="27">
        <f t="shared" si="21"/>
        <v>52448</v>
      </c>
      <c r="E324" s="25" t="s">
        <v>6906</v>
      </c>
      <c r="F324" s="28" t="str">
        <f t="shared" si="20"/>
        <v>insert into ins_premium_det (premium_rcv_code,assorted_code, rec_amount,premium_rcv_detail_code,remaining_amt, payrec, mode_code,coinsurance_code,class_cd,it_remarks) values</v>
      </c>
      <c r="G324" s="29" t="str">
        <f t="shared" si="22"/>
        <v>('29Nov240034','070000168291','52448',(select max(to_number(i.premium_rcv_detail_code))+1
from ins_premium_det i),'52448','52448','02', '11000003','00','Request by Mr. Reheel Malik 02-Dec-2024');</v>
      </c>
      <c r="H324" s="30" t="str">
        <f t="shared" si="23"/>
        <v>insert into ins_premium_det (premium_rcv_code,assorted_code, rec_amount,premium_rcv_detail_code,remaining_amt, payrec, mode_code,coinsurance_code,class_cd,it_remarks) values('29Nov240034','070000168291','52448',(select max(to_number(i.premium_rcv_detail_code))+1
from ins_premium_det i),'52448','52448','02', '11000003','00','Request by Mr. Reheel Malik 02-Dec-2024');</v>
      </c>
    </row>
    <row r="325" spans="1:8" ht="105" x14ac:dyDescent="0.25">
      <c r="A325" s="19" t="s">
        <v>6213</v>
      </c>
      <c r="B325" s="26" t="str">
        <f>VLOOKUP(A325,policy!B:C,2,0)</f>
        <v>070000168309</v>
      </c>
      <c r="C325" s="32">
        <v>52830</v>
      </c>
      <c r="D325" s="27">
        <f t="shared" si="21"/>
        <v>52830</v>
      </c>
      <c r="E325" s="25" t="s">
        <v>6906</v>
      </c>
      <c r="F325" s="28" t="str">
        <f t="shared" si="20"/>
        <v>insert into ins_premium_det (premium_rcv_code,assorted_code, rec_amount,premium_rcv_detail_code,remaining_amt, payrec, mode_code,coinsurance_code,class_cd,it_remarks) values</v>
      </c>
      <c r="G325" s="29" t="str">
        <f t="shared" si="22"/>
        <v>('29Nov240034','070000168309','52830',(select max(to_number(i.premium_rcv_detail_code))+1
from ins_premium_det i),'52830','52830','02', '11000003','00','Request by Mr. Reheel Malik 02-Dec-2024');</v>
      </c>
      <c r="H325" s="30" t="str">
        <f t="shared" si="23"/>
        <v>insert into ins_premium_det (premium_rcv_code,assorted_code, rec_amount,premium_rcv_detail_code,remaining_amt, payrec, mode_code,coinsurance_code,class_cd,it_remarks) values('29Nov240034','070000168309','52830',(select max(to_number(i.premium_rcv_detail_code))+1
from ins_premium_det i),'52830','52830','02', '11000003','00','Request by Mr. Reheel Malik 02-Dec-2024');</v>
      </c>
    </row>
    <row r="326" spans="1:8" ht="105" x14ac:dyDescent="0.25">
      <c r="A326" s="18" t="s">
        <v>6214</v>
      </c>
      <c r="B326" s="26" t="str">
        <f>VLOOKUP(A326,policy!B:C,2,0)</f>
        <v>070000168307</v>
      </c>
      <c r="C326" s="31">
        <v>39623</v>
      </c>
      <c r="D326" s="27">
        <f t="shared" si="21"/>
        <v>39623</v>
      </c>
      <c r="E326" s="25" t="s">
        <v>6906</v>
      </c>
      <c r="F326" s="28" t="str">
        <f t="shared" si="20"/>
        <v>insert into ins_premium_det (premium_rcv_code,assorted_code, rec_amount,premium_rcv_detail_code,remaining_amt, payrec, mode_code,coinsurance_code,class_cd,it_remarks) values</v>
      </c>
      <c r="G326" s="29" t="str">
        <f t="shared" si="22"/>
        <v>('29Nov240034','070000168307','39623',(select max(to_number(i.premium_rcv_detail_code))+1
from ins_premium_det i),'39623','39623','02', '11000003','00','Request by Mr. Reheel Malik 02-Dec-2024');</v>
      </c>
      <c r="H326" s="30" t="str">
        <f t="shared" si="23"/>
        <v>insert into ins_premium_det (premium_rcv_code,assorted_code, rec_amount,premium_rcv_detail_code,remaining_amt, payrec, mode_code,coinsurance_code,class_cd,it_remarks) values('29Nov240034','070000168307','39623',(select max(to_number(i.premium_rcv_detail_code))+1
from ins_premium_det i),'39623','39623','02', '11000003','00','Request by Mr. Reheel Malik 02-Dec-2024');</v>
      </c>
    </row>
    <row r="327" spans="1:8" ht="105" x14ac:dyDescent="0.25">
      <c r="A327" s="19" t="s">
        <v>6215</v>
      </c>
      <c r="B327" s="26" t="str">
        <f>VLOOKUP(A327,policy!B:C,2,0)</f>
        <v>070000168292</v>
      </c>
      <c r="C327" s="32">
        <v>33344</v>
      </c>
      <c r="D327" s="27">
        <f t="shared" si="21"/>
        <v>33344</v>
      </c>
      <c r="E327" s="25" t="s">
        <v>6906</v>
      </c>
      <c r="F327" s="28" t="str">
        <f t="shared" si="20"/>
        <v>insert into ins_premium_det (premium_rcv_code,assorted_code, rec_amount,premium_rcv_detail_code,remaining_amt, payrec, mode_code,coinsurance_code,class_cd,it_remarks) values</v>
      </c>
      <c r="G327" s="29" t="str">
        <f t="shared" si="22"/>
        <v>('29Nov240034','070000168292','33344',(select max(to_number(i.premium_rcv_detail_code))+1
from ins_premium_det i),'33344','33344','02', '11000003','00','Request by Mr. Reheel Malik 02-Dec-2024');</v>
      </c>
      <c r="H327" s="30" t="str">
        <f t="shared" si="23"/>
        <v>insert into ins_premium_det (premium_rcv_code,assorted_code, rec_amount,premium_rcv_detail_code,remaining_amt, payrec, mode_code,coinsurance_code,class_cd,it_remarks) values('29Nov240034','070000168292','33344',(select max(to_number(i.premium_rcv_detail_code))+1
from ins_premium_det i),'33344','33344','02', '11000003','00','Request by Mr. Reheel Malik 02-Dec-2024');</v>
      </c>
    </row>
    <row r="328" spans="1:8" ht="105" x14ac:dyDescent="0.25">
      <c r="A328" s="18" t="s">
        <v>6216</v>
      </c>
      <c r="B328" s="26" t="str">
        <f>VLOOKUP(A328,policy!B:C,2,0)</f>
        <v>070000168293</v>
      </c>
      <c r="C328" s="31">
        <v>32513</v>
      </c>
      <c r="D328" s="27">
        <f t="shared" si="21"/>
        <v>32513</v>
      </c>
      <c r="E328" s="25" t="s">
        <v>6906</v>
      </c>
      <c r="F328" s="28" t="str">
        <f t="shared" si="20"/>
        <v>insert into ins_premium_det (premium_rcv_code,assorted_code, rec_amount,premium_rcv_detail_code,remaining_amt, payrec, mode_code,coinsurance_code,class_cd,it_remarks) values</v>
      </c>
      <c r="G328" s="29" t="str">
        <f t="shared" si="22"/>
        <v>('29Nov240034','070000168293','32513',(select max(to_number(i.premium_rcv_detail_code))+1
from ins_premium_det i),'32513','32513','02', '11000003','00','Request by Mr. Reheel Malik 02-Dec-2024');</v>
      </c>
      <c r="H328" s="30" t="str">
        <f t="shared" si="23"/>
        <v>insert into ins_premium_det (premium_rcv_code,assorted_code, rec_amount,premium_rcv_detail_code,remaining_amt, payrec, mode_code,coinsurance_code,class_cd,it_remarks) values('29Nov240034','070000168293','32513',(select max(to_number(i.premium_rcv_detail_code))+1
from ins_premium_det i),'32513','32513','02', '11000003','00','Request by Mr. Reheel Malik 02-Dec-2024');</v>
      </c>
    </row>
    <row r="329" spans="1:8" ht="105" x14ac:dyDescent="0.25">
      <c r="A329" s="19" t="s">
        <v>6217</v>
      </c>
      <c r="B329" s="26" t="str">
        <f>VLOOKUP(A329,policy!B:C,2,0)</f>
        <v>070000168294</v>
      </c>
      <c r="C329" s="32">
        <v>99663</v>
      </c>
      <c r="D329" s="27">
        <f t="shared" si="21"/>
        <v>99663</v>
      </c>
      <c r="E329" s="25" t="s">
        <v>6906</v>
      </c>
      <c r="F329" s="28" t="str">
        <f t="shared" si="20"/>
        <v>insert into ins_premium_det (premium_rcv_code,assorted_code, rec_amount,premium_rcv_detail_code,remaining_amt, payrec, mode_code,coinsurance_code,class_cd,it_remarks) values</v>
      </c>
      <c r="G329" s="29" t="str">
        <f t="shared" si="22"/>
        <v>('29Nov240034','070000168294','99663',(select max(to_number(i.premium_rcv_detail_code))+1
from ins_premium_det i),'99663','99663','02', '11000003','00','Request by Mr. Reheel Malik 02-Dec-2024');</v>
      </c>
      <c r="H329" s="30" t="str">
        <f t="shared" si="23"/>
        <v>insert into ins_premium_det (premium_rcv_code,assorted_code, rec_amount,premium_rcv_detail_code,remaining_amt, payrec, mode_code,coinsurance_code,class_cd,it_remarks) values('29Nov240034','070000168294','99663',(select max(to_number(i.premium_rcv_detail_code))+1
from ins_premium_det i),'99663','99663','02', '11000003','00','Request by Mr. Reheel Malik 02-Dec-2024');</v>
      </c>
    </row>
    <row r="330" spans="1:8" ht="105" x14ac:dyDescent="0.25">
      <c r="A330" s="18" t="s">
        <v>6218</v>
      </c>
      <c r="B330" s="26" t="str">
        <f>VLOOKUP(A330,policy!B:C,2,0)</f>
        <v>070000168296</v>
      </c>
      <c r="C330" s="31">
        <v>31600</v>
      </c>
      <c r="D330" s="27">
        <f t="shared" si="21"/>
        <v>31600</v>
      </c>
      <c r="E330" s="25" t="s">
        <v>6906</v>
      </c>
      <c r="F330" s="28" t="str">
        <f t="shared" si="20"/>
        <v>insert into ins_premium_det (premium_rcv_code,assorted_code, rec_amount,premium_rcv_detail_code,remaining_amt, payrec, mode_code,coinsurance_code,class_cd,it_remarks) values</v>
      </c>
      <c r="G330" s="29" t="str">
        <f t="shared" si="22"/>
        <v>('29Nov240034','070000168296','31600',(select max(to_number(i.premium_rcv_detail_code))+1
from ins_premium_det i),'31600','31600','02', '11000003','00','Request by Mr. Reheel Malik 02-Dec-2024');</v>
      </c>
      <c r="H330" s="30" t="str">
        <f t="shared" si="23"/>
        <v>insert into ins_premium_det (premium_rcv_code,assorted_code, rec_amount,premium_rcv_detail_code,remaining_amt, payrec, mode_code,coinsurance_code,class_cd,it_remarks) values('29Nov240034','070000168296','31600',(select max(to_number(i.premium_rcv_detail_code))+1
from ins_premium_det i),'31600','31600','02', '11000003','00','Request by Mr. Reheel Malik 02-Dec-2024');</v>
      </c>
    </row>
    <row r="331" spans="1:8" ht="105" x14ac:dyDescent="0.25">
      <c r="A331" s="19" t="s">
        <v>6219</v>
      </c>
      <c r="B331" s="26" t="str">
        <f>VLOOKUP(A331,policy!B:C,2,0)</f>
        <v>070000168297</v>
      </c>
      <c r="C331" s="32">
        <v>26480</v>
      </c>
      <c r="D331" s="27">
        <f t="shared" si="21"/>
        <v>26480</v>
      </c>
      <c r="E331" s="25" t="s">
        <v>6906</v>
      </c>
      <c r="F331" s="28" t="str">
        <f t="shared" si="20"/>
        <v>insert into ins_premium_det (premium_rcv_code,assorted_code, rec_amount,premium_rcv_detail_code,remaining_amt, payrec, mode_code,coinsurance_code,class_cd,it_remarks) values</v>
      </c>
      <c r="G331" s="29" t="str">
        <f t="shared" si="22"/>
        <v>('29Nov240034','070000168297','26480',(select max(to_number(i.premium_rcv_detail_code))+1
from ins_premium_det i),'26480','26480','02', '11000003','00','Request by Mr. Reheel Malik 02-Dec-2024');</v>
      </c>
      <c r="H331" s="30" t="str">
        <f t="shared" si="23"/>
        <v>insert into ins_premium_det (premium_rcv_code,assorted_code, rec_amount,premium_rcv_detail_code,remaining_amt, payrec, mode_code,coinsurance_code,class_cd,it_remarks) values('29Nov240034','070000168297','26480',(select max(to_number(i.premium_rcv_detail_code))+1
from ins_premium_det i),'26480','26480','02', '11000003','00','Request by Mr. Reheel Malik 02-Dec-2024');</v>
      </c>
    </row>
    <row r="332" spans="1:8" ht="105" x14ac:dyDescent="0.25">
      <c r="A332" s="18" t="s">
        <v>6220</v>
      </c>
      <c r="B332" s="26" t="str">
        <f>VLOOKUP(A332,policy!B:C,2,0)</f>
        <v>070000168298</v>
      </c>
      <c r="C332" s="31">
        <v>24336</v>
      </c>
      <c r="D332" s="27">
        <f t="shared" si="21"/>
        <v>24336</v>
      </c>
      <c r="E332" s="25" t="s">
        <v>6906</v>
      </c>
      <c r="F332" s="28" t="str">
        <f t="shared" si="20"/>
        <v>insert into ins_premium_det (premium_rcv_code,assorted_code, rec_amount,premium_rcv_detail_code,remaining_amt, payrec, mode_code,coinsurance_code,class_cd,it_remarks) values</v>
      </c>
      <c r="G332" s="29" t="str">
        <f t="shared" si="22"/>
        <v>('29Nov240034','070000168298','24336',(select max(to_number(i.premium_rcv_detail_code))+1
from ins_premium_det i),'24336','24336','02', '11000003','00','Request by Mr. Reheel Malik 02-Dec-2024');</v>
      </c>
      <c r="H332" s="30" t="str">
        <f t="shared" si="23"/>
        <v>insert into ins_premium_det (premium_rcv_code,assorted_code, rec_amount,premium_rcv_detail_code,remaining_amt, payrec, mode_code,coinsurance_code,class_cd,it_remarks) values('29Nov240034','070000168298','24336',(select max(to_number(i.premium_rcv_detail_code))+1
from ins_premium_det i),'24336','24336','02', '11000003','00','Request by Mr. Reheel Malik 02-Dec-2024');</v>
      </c>
    </row>
    <row r="333" spans="1:8" ht="105" x14ac:dyDescent="0.25">
      <c r="A333" s="19" t="s">
        <v>6221</v>
      </c>
      <c r="B333" s="26" t="str">
        <f>VLOOKUP(A333,policy!B:C,2,0)</f>
        <v>070000168305</v>
      </c>
      <c r="C333" s="32">
        <v>37842</v>
      </c>
      <c r="D333" s="27">
        <f t="shared" si="21"/>
        <v>37842</v>
      </c>
      <c r="E333" s="25" t="s">
        <v>6906</v>
      </c>
      <c r="F333" s="28" t="str">
        <f t="shared" si="20"/>
        <v>insert into ins_premium_det (premium_rcv_code,assorted_code, rec_amount,premium_rcv_detail_code,remaining_amt, payrec, mode_code,coinsurance_code,class_cd,it_remarks) values</v>
      </c>
      <c r="G333" s="29" t="str">
        <f t="shared" si="22"/>
        <v>('29Nov240034','070000168305','37842',(select max(to_number(i.premium_rcv_detail_code))+1
from ins_premium_det i),'37842','37842','02', '11000003','00','Request by Mr. Reheel Malik 02-Dec-2024');</v>
      </c>
      <c r="H333" s="30" t="str">
        <f t="shared" si="23"/>
        <v>insert into ins_premium_det (premium_rcv_code,assorted_code, rec_amount,premium_rcv_detail_code,remaining_amt, payrec, mode_code,coinsurance_code,class_cd,it_remarks) values('29Nov240034','070000168305','37842',(select max(to_number(i.premium_rcv_detail_code))+1
from ins_premium_det i),'37842','37842','02', '11000003','00','Request by Mr. Reheel Malik 02-Dec-2024');</v>
      </c>
    </row>
    <row r="334" spans="1:8" ht="105" x14ac:dyDescent="0.25">
      <c r="A334" s="18" t="s">
        <v>6222</v>
      </c>
      <c r="B334" s="26" t="str">
        <f>VLOOKUP(A334,policy!B:C,2,0)</f>
        <v>070000168299</v>
      </c>
      <c r="C334" s="31">
        <v>21360</v>
      </c>
      <c r="D334" s="27">
        <f t="shared" si="21"/>
        <v>21360</v>
      </c>
      <c r="E334" s="25" t="s">
        <v>6906</v>
      </c>
      <c r="F334" s="28" t="str">
        <f t="shared" si="20"/>
        <v>insert into ins_premium_det (premium_rcv_code,assorted_code, rec_amount,premium_rcv_detail_code,remaining_amt, payrec, mode_code,coinsurance_code,class_cd,it_remarks) values</v>
      </c>
      <c r="G334" s="29" t="str">
        <f t="shared" si="22"/>
        <v>('29Nov240034','070000168299','21360',(select max(to_number(i.premium_rcv_detail_code))+1
from ins_premium_det i),'21360','21360','02', '11000003','00','Request by Mr. Reheel Malik 02-Dec-2024');</v>
      </c>
      <c r="H334" s="30" t="str">
        <f t="shared" si="23"/>
        <v>insert into ins_premium_det (premium_rcv_code,assorted_code, rec_amount,premium_rcv_detail_code,remaining_amt, payrec, mode_code,coinsurance_code,class_cd,it_remarks) values('29Nov240034','070000168299','21360',(select max(to_number(i.premium_rcv_detail_code))+1
from ins_premium_det i),'21360','21360','02', '11000003','00','Request by Mr. Reheel Malik 02-Dec-2024');</v>
      </c>
    </row>
    <row r="335" spans="1:8" ht="105" x14ac:dyDescent="0.25">
      <c r="A335" s="19" t="s">
        <v>6223</v>
      </c>
      <c r="B335" s="26" t="str">
        <f>VLOOKUP(A335,policy!B:C,2,0)</f>
        <v>070000168303</v>
      </c>
      <c r="C335" s="32">
        <v>21360</v>
      </c>
      <c r="D335" s="27">
        <f t="shared" si="21"/>
        <v>21360</v>
      </c>
      <c r="E335" s="25" t="s">
        <v>6906</v>
      </c>
      <c r="F335" s="28" t="str">
        <f t="shared" si="20"/>
        <v>insert into ins_premium_det (premium_rcv_code,assorted_code, rec_amount,premium_rcv_detail_code,remaining_amt, payrec, mode_code,coinsurance_code,class_cd,it_remarks) values</v>
      </c>
      <c r="G335" s="29" t="str">
        <f t="shared" si="22"/>
        <v>('29Nov240034','070000168303','21360',(select max(to_number(i.premium_rcv_detail_code))+1
from ins_premium_det i),'21360','21360','02', '11000003','00','Request by Mr. Reheel Malik 02-Dec-2024');</v>
      </c>
      <c r="H335" s="30" t="str">
        <f t="shared" si="23"/>
        <v>insert into ins_premium_det (premium_rcv_code,assorted_code, rec_amount,premium_rcv_detail_code,remaining_amt, payrec, mode_code,coinsurance_code,class_cd,it_remarks) values('29Nov240034','070000168303','21360',(select max(to_number(i.premium_rcv_detail_code))+1
from ins_premium_det i),'21360','21360','02', '11000003','00','Request by Mr. Reheel Malik 02-Dec-2024');</v>
      </c>
    </row>
    <row r="336" spans="1:8" x14ac:dyDescent="0.25">
      <c r="C336" s="33">
        <f>SUM(C2:C335)</f>
        <v>13701580</v>
      </c>
      <c r="D336" s="33">
        <f>SUM(D2:D335)</f>
        <v>13701580</v>
      </c>
    </row>
  </sheetData>
  <conditionalFormatting sqref="A1">
    <cfRule type="duplicateValues" dxfId="3" priority="1"/>
  </conditionalFormatting>
  <conditionalFormatting sqref="A2:B2 B3:B335"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ADD27-9727-4796-ADBC-059D730E0674}">
  <dimension ref="A2:J335"/>
  <sheetViews>
    <sheetView topLeftCell="A297" workbookViewId="0">
      <selection activeCell="J2" sqref="J2:J335"/>
    </sheetView>
  </sheetViews>
  <sheetFormatPr defaultRowHeight="15" x14ac:dyDescent="0.25"/>
  <cols>
    <col min="1" max="1" width="43.28515625" bestFit="1" customWidth="1"/>
  </cols>
  <sheetData>
    <row r="2" spans="1:10" x14ac:dyDescent="0.25">
      <c r="A2" s="18" t="s">
        <v>5896</v>
      </c>
      <c r="B2" t="s">
        <v>6236</v>
      </c>
      <c r="H2">
        <v>99821</v>
      </c>
      <c r="I2" t="s">
        <v>6238</v>
      </c>
      <c r="J2" t="str">
        <f>"ia.assorted_string like '%"&amp;H2&amp;"-"&amp;I2&amp;B2&amp;"%' or"</f>
        <v>ia.assorted_string like '%99821-00002-10-2024%' or</v>
      </c>
    </row>
    <row r="3" spans="1:10" x14ac:dyDescent="0.25">
      <c r="A3" s="19" t="s">
        <v>5897</v>
      </c>
      <c r="B3" t="s">
        <v>6236</v>
      </c>
      <c r="H3">
        <v>99821</v>
      </c>
      <c r="I3" t="s">
        <v>6239</v>
      </c>
      <c r="J3" t="str">
        <f t="shared" ref="J3:J66" si="0">"ia.assorted_string like '%"&amp;H3&amp;"-"&amp;I3&amp;B3&amp;"%' or"</f>
        <v>ia.assorted_string like '%99821-00005-10-2024%' or</v>
      </c>
    </row>
    <row r="4" spans="1:10" x14ac:dyDescent="0.25">
      <c r="A4" s="18" t="s">
        <v>5898</v>
      </c>
      <c r="B4" t="s">
        <v>6236</v>
      </c>
      <c r="H4">
        <v>99821</v>
      </c>
      <c r="I4" t="s">
        <v>6240</v>
      </c>
      <c r="J4" t="str">
        <f t="shared" si="0"/>
        <v>ia.assorted_string like '%99821-00006-10-2024%' or</v>
      </c>
    </row>
    <row r="5" spans="1:10" x14ac:dyDescent="0.25">
      <c r="A5" s="19" t="s">
        <v>5899</v>
      </c>
      <c r="B5" t="s">
        <v>6236</v>
      </c>
      <c r="H5">
        <v>99821</v>
      </c>
      <c r="I5" t="s">
        <v>6241</v>
      </c>
      <c r="J5" t="str">
        <f t="shared" si="0"/>
        <v>ia.assorted_string like '%99821-00007-10-2024%' or</v>
      </c>
    </row>
    <row r="6" spans="1:10" x14ac:dyDescent="0.25">
      <c r="A6" s="18" t="s">
        <v>5900</v>
      </c>
      <c r="B6" t="s">
        <v>6236</v>
      </c>
      <c r="H6">
        <v>99821</v>
      </c>
      <c r="I6" t="s">
        <v>6242</v>
      </c>
      <c r="J6" t="str">
        <f t="shared" si="0"/>
        <v>ia.assorted_string like '%99821-00008-10-2024%' or</v>
      </c>
    </row>
    <row r="7" spans="1:10" x14ac:dyDescent="0.25">
      <c r="A7" s="19" t="s">
        <v>5901</v>
      </c>
      <c r="B7" t="s">
        <v>6236</v>
      </c>
      <c r="H7">
        <v>99821</v>
      </c>
      <c r="I7" t="s">
        <v>6243</v>
      </c>
      <c r="J7" t="str">
        <f t="shared" si="0"/>
        <v>ia.assorted_string like '%99821-00009-10-2024%' or</v>
      </c>
    </row>
    <row r="8" spans="1:10" x14ac:dyDescent="0.25">
      <c r="A8" s="18" t="s">
        <v>5902</v>
      </c>
      <c r="B8" t="s">
        <v>6236</v>
      </c>
      <c r="H8">
        <v>99821</v>
      </c>
      <c r="I8" t="s">
        <v>6244</v>
      </c>
      <c r="J8" t="str">
        <f t="shared" si="0"/>
        <v>ia.assorted_string like '%99821-00010-10-2024%' or</v>
      </c>
    </row>
    <row r="9" spans="1:10" x14ac:dyDescent="0.25">
      <c r="A9" s="19" t="s">
        <v>5903</v>
      </c>
      <c r="B9" t="s">
        <v>6236</v>
      </c>
      <c r="H9">
        <v>99821</v>
      </c>
      <c r="I9" t="s">
        <v>6245</v>
      </c>
      <c r="J9" t="str">
        <f t="shared" si="0"/>
        <v>ia.assorted_string like '%99821-00011-10-2024%' or</v>
      </c>
    </row>
    <row r="10" spans="1:10" x14ac:dyDescent="0.25">
      <c r="A10" s="18" t="s">
        <v>5904</v>
      </c>
      <c r="B10" t="s">
        <v>6236</v>
      </c>
      <c r="H10">
        <v>99821</v>
      </c>
      <c r="I10" t="s">
        <v>6246</v>
      </c>
      <c r="J10" t="str">
        <f t="shared" si="0"/>
        <v>ia.assorted_string like '%99821-00012-10-2024%' or</v>
      </c>
    </row>
    <row r="11" spans="1:10" x14ac:dyDescent="0.25">
      <c r="A11" s="19" t="s">
        <v>5905</v>
      </c>
      <c r="B11" t="s">
        <v>6236</v>
      </c>
      <c r="H11">
        <v>99821</v>
      </c>
      <c r="I11" t="s">
        <v>6247</v>
      </c>
      <c r="J11" t="str">
        <f t="shared" si="0"/>
        <v>ia.assorted_string like '%99821-00013-10-2024%' or</v>
      </c>
    </row>
    <row r="12" spans="1:10" x14ac:dyDescent="0.25">
      <c r="A12" s="18" t="s">
        <v>5906</v>
      </c>
      <c r="B12" t="s">
        <v>6236</v>
      </c>
      <c r="H12">
        <v>99821</v>
      </c>
      <c r="I12" t="s">
        <v>6248</v>
      </c>
      <c r="J12" t="str">
        <f t="shared" si="0"/>
        <v>ia.assorted_string like '%99821-00014-10-2024%' or</v>
      </c>
    </row>
    <row r="13" spans="1:10" x14ac:dyDescent="0.25">
      <c r="A13" s="19" t="s">
        <v>5907</v>
      </c>
      <c r="B13" t="s">
        <v>6236</v>
      </c>
      <c r="H13">
        <v>99821</v>
      </c>
      <c r="I13" t="s">
        <v>6249</v>
      </c>
      <c r="J13" t="str">
        <f t="shared" si="0"/>
        <v>ia.assorted_string like '%99821-00015-10-2024%' or</v>
      </c>
    </row>
    <row r="14" spans="1:10" x14ac:dyDescent="0.25">
      <c r="A14" s="18" t="s">
        <v>5908</v>
      </c>
      <c r="B14" t="s">
        <v>6236</v>
      </c>
      <c r="H14">
        <v>99821</v>
      </c>
      <c r="I14" t="s">
        <v>6250</v>
      </c>
      <c r="J14" t="str">
        <f t="shared" si="0"/>
        <v>ia.assorted_string like '%99821-00017-10-2024%' or</v>
      </c>
    </row>
    <row r="15" spans="1:10" x14ac:dyDescent="0.25">
      <c r="A15" s="19" t="s">
        <v>5909</v>
      </c>
      <c r="B15" t="s">
        <v>6236</v>
      </c>
      <c r="H15">
        <v>99821</v>
      </c>
      <c r="I15" t="s">
        <v>6251</v>
      </c>
      <c r="J15" t="str">
        <f t="shared" si="0"/>
        <v>ia.assorted_string like '%99821-00018-10-2024%' or</v>
      </c>
    </row>
    <row r="16" spans="1:10" x14ac:dyDescent="0.25">
      <c r="A16" s="18" t="s">
        <v>5910</v>
      </c>
      <c r="B16" t="s">
        <v>6236</v>
      </c>
      <c r="H16">
        <v>99821</v>
      </c>
      <c r="I16" t="s">
        <v>6252</v>
      </c>
      <c r="J16" t="str">
        <f t="shared" si="0"/>
        <v>ia.assorted_string like '%99821-00032-10-2024%' or</v>
      </c>
    </row>
    <row r="17" spans="1:10" x14ac:dyDescent="0.25">
      <c r="A17" s="19" t="s">
        <v>5911</v>
      </c>
      <c r="B17" t="s">
        <v>6236</v>
      </c>
      <c r="H17">
        <v>99821</v>
      </c>
      <c r="I17" t="s">
        <v>6253</v>
      </c>
      <c r="J17" t="str">
        <f t="shared" si="0"/>
        <v>ia.assorted_string like '%99821-00033-10-2024%' or</v>
      </c>
    </row>
    <row r="18" spans="1:10" x14ac:dyDescent="0.25">
      <c r="A18" s="18" t="s">
        <v>5912</v>
      </c>
      <c r="B18" t="s">
        <v>6236</v>
      </c>
      <c r="H18">
        <v>99821</v>
      </c>
      <c r="I18" t="s">
        <v>6254</v>
      </c>
      <c r="J18" t="str">
        <f t="shared" si="0"/>
        <v>ia.assorted_string like '%99821-00001-10-2024%' or</v>
      </c>
    </row>
    <row r="19" spans="1:10" x14ac:dyDescent="0.25">
      <c r="A19" s="19" t="s">
        <v>5913</v>
      </c>
      <c r="B19" t="s">
        <v>6236</v>
      </c>
      <c r="H19">
        <v>99821</v>
      </c>
      <c r="I19" t="s">
        <v>6255</v>
      </c>
      <c r="J19" t="str">
        <f t="shared" si="0"/>
        <v>ia.assorted_string like '%99821-00034-10-2024%' or</v>
      </c>
    </row>
    <row r="20" spans="1:10" x14ac:dyDescent="0.25">
      <c r="A20" s="18" t="s">
        <v>5914</v>
      </c>
      <c r="B20" t="s">
        <v>6236</v>
      </c>
      <c r="H20">
        <v>99821</v>
      </c>
      <c r="I20" t="s">
        <v>6256</v>
      </c>
      <c r="J20" t="str">
        <f t="shared" si="0"/>
        <v>ia.assorted_string like '%99821-00035-10-2024%' or</v>
      </c>
    </row>
    <row r="21" spans="1:10" x14ac:dyDescent="0.25">
      <c r="A21" s="19" t="s">
        <v>5915</v>
      </c>
      <c r="B21" t="s">
        <v>6236</v>
      </c>
      <c r="H21">
        <v>99821</v>
      </c>
      <c r="I21" t="s">
        <v>6257</v>
      </c>
      <c r="J21" t="str">
        <f t="shared" si="0"/>
        <v>ia.assorted_string like '%99821-00037-10-2024%' or</v>
      </c>
    </row>
    <row r="22" spans="1:10" x14ac:dyDescent="0.25">
      <c r="A22" s="18" t="s">
        <v>5916</v>
      </c>
      <c r="B22" t="s">
        <v>6236</v>
      </c>
      <c r="H22">
        <v>99821</v>
      </c>
      <c r="I22" t="s">
        <v>6258</v>
      </c>
      <c r="J22" t="str">
        <f t="shared" si="0"/>
        <v>ia.assorted_string like '%99821-00039-10-2024%' or</v>
      </c>
    </row>
    <row r="23" spans="1:10" x14ac:dyDescent="0.25">
      <c r="A23" s="19" t="s">
        <v>5917</v>
      </c>
      <c r="B23" t="s">
        <v>6236</v>
      </c>
      <c r="H23">
        <v>99821</v>
      </c>
      <c r="I23" t="s">
        <v>6259</v>
      </c>
      <c r="J23" t="str">
        <f t="shared" si="0"/>
        <v>ia.assorted_string like '%99821-00041-10-2024%' or</v>
      </c>
    </row>
    <row r="24" spans="1:10" x14ac:dyDescent="0.25">
      <c r="A24" s="18" t="s">
        <v>5918</v>
      </c>
      <c r="B24" t="s">
        <v>6236</v>
      </c>
      <c r="H24">
        <v>99821</v>
      </c>
      <c r="I24" t="s">
        <v>6260</v>
      </c>
      <c r="J24" t="str">
        <f t="shared" si="0"/>
        <v>ia.assorted_string like '%99821-00042-10-2024%' or</v>
      </c>
    </row>
    <row r="25" spans="1:10" x14ac:dyDescent="0.25">
      <c r="A25" s="19" t="s">
        <v>5919</v>
      </c>
      <c r="B25" t="s">
        <v>6236</v>
      </c>
      <c r="H25">
        <v>99821</v>
      </c>
      <c r="I25" t="s">
        <v>6261</v>
      </c>
      <c r="J25" t="str">
        <f t="shared" si="0"/>
        <v>ia.assorted_string like '%99821-00043-10-2024%' or</v>
      </c>
    </row>
    <row r="26" spans="1:10" x14ac:dyDescent="0.25">
      <c r="A26" s="18" t="s">
        <v>5920</v>
      </c>
      <c r="B26" t="s">
        <v>6236</v>
      </c>
      <c r="H26">
        <v>99821</v>
      </c>
      <c r="I26" t="s">
        <v>6262</v>
      </c>
      <c r="J26" t="str">
        <f t="shared" si="0"/>
        <v>ia.assorted_string like '%99821-00044-10-2024%' or</v>
      </c>
    </row>
    <row r="27" spans="1:10" x14ac:dyDescent="0.25">
      <c r="A27" s="19" t="s">
        <v>5921</v>
      </c>
      <c r="B27" t="s">
        <v>6236</v>
      </c>
      <c r="H27">
        <v>99821</v>
      </c>
      <c r="I27" t="s">
        <v>6263</v>
      </c>
      <c r="J27" t="str">
        <f t="shared" si="0"/>
        <v>ia.assorted_string like '%99821-00045-10-2024%' or</v>
      </c>
    </row>
    <row r="28" spans="1:10" x14ac:dyDescent="0.25">
      <c r="A28" s="18" t="s">
        <v>5922</v>
      </c>
      <c r="B28" t="s">
        <v>6236</v>
      </c>
      <c r="H28">
        <v>99821</v>
      </c>
      <c r="I28" t="s">
        <v>6264</v>
      </c>
      <c r="J28" t="str">
        <f t="shared" si="0"/>
        <v>ia.assorted_string like '%99821-00046-10-2024%' or</v>
      </c>
    </row>
    <row r="29" spans="1:10" x14ac:dyDescent="0.25">
      <c r="A29" s="19" t="s">
        <v>5923</v>
      </c>
      <c r="B29" t="s">
        <v>6236</v>
      </c>
      <c r="H29">
        <v>99821</v>
      </c>
      <c r="I29" t="s">
        <v>6265</v>
      </c>
      <c r="J29" t="str">
        <f t="shared" si="0"/>
        <v>ia.assorted_string like '%99821-00047-10-2024%' or</v>
      </c>
    </row>
    <row r="30" spans="1:10" x14ac:dyDescent="0.25">
      <c r="A30" s="18" t="s">
        <v>5924</v>
      </c>
      <c r="B30" t="s">
        <v>6236</v>
      </c>
      <c r="H30">
        <v>99821</v>
      </c>
      <c r="I30" t="s">
        <v>6266</v>
      </c>
      <c r="J30" t="str">
        <f t="shared" si="0"/>
        <v>ia.assorted_string like '%99821-00048-10-2024%' or</v>
      </c>
    </row>
    <row r="31" spans="1:10" x14ac:dyDescent="0.25">
      <c r="A31" s="19" t="s">
        <v>5925</v>
      </c>
      <c r="B31" t="s">
        <v>6236</v>
      </c>
      <c r="H31">
        <v>99821</v>
      </c>
      <c r="I31" t="s">
        <v>6267</v>
      </c>
      <c r="J31" t="str">
        <f t="shared" si="0"/>
        <v>ia.assorted_string like '%99821-00049-10-2024%' or</v>
      </c>
    </row>
    <row r="32" spans="1:10" x14ac:dyDescent="0.25">
      <c r="A32" s="18" t="s">
        <v>5926</v>
      </c>
      <c r="B32" t="s">
        <v>6236</v>
      </c>
      <c r="H32">
        <v>99821</v>
      </c>
      <c r="I32" t="s">
        <v>6268</v>
      </c>
      <c r="J32" t="str">
        <f t="shared" si="0"/>
        <v>ia.assorted_string like '%99821-00052-10-2024%' or</v>
      </c>
    </row>
    <row r="33" spans="1:10" x14ac:dyDescent="0.25">
      <c r="A33" s="19" t="s">
        <v>5927</v>
      </c>
      <c r="B33" t="s">
        <v>6236</v>
      </c>
      <c r="H33">
        <v>99821</v>
      </c>
      <c r="I33" t="s">
        <v>6269</v>
      </c>
      <c r="J33" t="str">
        <f t="shared" si="0"/>
        <v>ia.assorted_string like '%99821-00054-10-2024%' or</v>
      </c>
    </row>
    <row r="34" spans="1:10" x14ac:dyDescent="0.25">
      <c r="A34" s="18" t="s">
        <v>5928</v>
      </c>
      <c r="B34" t="s">
        <v>6236</v>
      </c>
      <c r="H34">
        <v>99821</v>
      </c>
      <c r="I34" t="s">
        <v>6270</v>
      </c>
      <c r="J34" t="str">
        <f t="shared" si="0"/>
        <v>ia.assorted_string like '%99821-00059-10-2024%' or</v>
      </c>
    </row>
    <row r="35" spans="1:10" x14ac:dyDescent="0.25">
      <c r="A35" s="19" t="s">
        <v>5929</v>
      </c>
      <c r="B35" t="s">
        <v>6236</v>
      </c>
      <c r="H35">
        <v>99821</v>
      </c>
      <c r="I35" t="s">
        <v>6271</v>
      </c>
      <c r="J35" t="str">
        <f t="shared" si="0"/>
        <v>ia.assorted_string like '%99821-00062-10-2024%' or</v>
      </c>
    </row>
    <row r="36" spans="1:10" x14ac:dyDescent="0.25">
      <c r="A36" s="18" t="s">
        <v>5930</v>
      </c>
      <c r="B36" t="s">
        <v>6236</v>
      </c>
      <c r="H36">
        <v>99821</v>
      </c>
      <c r="I36" t="s">
        <v>6272</v>
      </c>
      <c r="J36" t="str">
        <f t="shared" si="0"/>
        <v>ia.assorted_string like '%99821-00063-10-2024%' or</v>
      </c>
    </row>
    <row r="37" spans="1:10" x14ac:dyDescent="0.25">
      <c r="A37" s="19" t="s">
        <v>5931</v>
      </c>
      <c r="B37" t="s">
        <v>6236</v>
      </c>
      <c r="H37">
        <v>99821</v>
      </c>
      <c r="I37" t="s">
        <v>6273</v>
      </c>
      <c r="J37" t="str">
        <f t="shared" si="0"/>
        <v>ia.assorted_string like '%99821-00065-10-2024%' or</v>
      </c>
    </row>
    <row r="38" spans="1:10" x14ac:dyDescent="0.25">
      <c r="A38" s="18" t="s">
        <v>5932</v>
      </c>
      <c r="B38" t="s">
        <v>6236</v>
      </c>
      <c r="H38">
        <v>99821</v>
      </c>
      <c r="I38" t="s">
        <v>6274</v>
      </c>
      <c r="J38" t="str">
        <f t="shared" si="0"/>
        <v>ia.assorted_string like '%99821-00066-10-2024%' or</v>
      </c>
    </row>
    <row r="39" spans="1:10" x14ac:dyDescent="0.25">
      <c r="A39" s="19" t="s">
        <v>5933</v>
      </c>
      <c r="B39" t="s">
        <v>6236</v>
      </c>
      <c r="H39">
        <v>99821</v>
      </c>
      <c r="I39" t="s">
        <v>6275</v>
      </c>
      <c r="J39" t="str">
        <f t="shared" si="0"/>
        <v>ia.assorted_string like '%99821-00067-10-2024%' or</v>
      </c>
    </row>
    <row r="40" spans="1:10" x14ac:dyDescent="0.25">
      <c r="A40" s="18" t="s">
        <v>5934</v>
      </c>
      <c r="B40" t="s">
        <v>6236</v>
      </c>
      <c r="H40">
        <v>99821</v>
      </c>
      <c r="I40" t="s">
        <v>6276</v>
      </c>
      <c r="J40" t="str">
        <f t="shared" si="0"/>
        <v>ia.assorted_string like '%99821-00072-10-2024%' or</v>
      </c>
    </row>
    <row r="41" spans="1:10" x14ac:dyDescent="0.25">
      <c r="A41" s="19" t="s">
        <v>5935</v>
      </c>
      <c r="B41" t="s">
        <v>6236</v>
      </c>
      <c r="H41">
        <v>99821</v>
      </c>
      <c r="I41" t="s">
        <v>6277</v>
      </c>
      <c r="J41" t="str">
        <f t="shared" si="0"/>
        <v>ia.assorted_string like '%99821-00080-10-2024%' or</v>
      </c>
    </row>
    <row r="42" spans="1:10" x14ac:dyDescent="0.25">
      <c r="A42" s="18" t="s">
        <v>5936</v>
      </c>
      <c r="B42" t="s">
        <v>6236</v>
      </c>
      <c r="H42">
        <v>99821</v>
      </c>
      <c r="I42" t="s">
        <v>6278</v>
      </c>
      <c r="J42" t="str">
        <f t="shared" si="0"/>
        <v>ia.assorted_string like '%99821-00082-10-2024%' or</v>
      </c>
    </row>
    <row r="43" spans="1:10" x14ac:dyDescent="0.25">
      <c r="A43" s="19" t="s">
        <v>5937</v>
      </c>
      <c r="B43" t="s">
        <v>6236</v>
      </c>
      <c r="H43">
        <v>99821</v>
      </c>
      <c r="I43" t="s">
        <v>6279</v>
      </c>
      <c r="J43" t="str">
        <f t="shared" si="0"/>
        <v>ia.assorted_string like '%99821-00083-10-2024%' or</v>
      </c>
    </row>
    <row r="44" spans="1:10" x14ac:dyDescent="0.25">
      <c r="A44" s="18" t="s">
        <v>5938</v>
      </c>
      <c r="B44" t="s">
        <v>6236</v>
      </c>
      <c r="H44">
        <v>99821</v>
      </c>
      <c r="I44" t="s">
        <v>6280</v>
      </c>
      <c r="J44" t="str">
        <f t="shared" si="0"/>
        <v>ia.assorted_string like '%99821-00086-10-2024%' or</v>
      </c>
    </row>
    <row r="45" spans="1:10" x14ac:dyDescent="0.25">
      <c r="A45" s="19" t="s">
        <v>5939</v>
      </c>
      <c r="B45" t="s">
        <v>6236</v>
      </c>
      <c r="H45">
        <v>99821</v>
      </c>
      <c r="I45" t="s">
        <v>6281</v>
      </c>
      <c r="J45" t="str">
        <f t="shared" si="0"/>
        <v>ia.assorted_string like '%99821-00094-10-2024%' or</v>
      </c>
    </row>
    <row r="46" spans="1:10" x14ac:dyDescent="0.25">
      <c r="A46" s="18" t="s">
        <v>5940</v>
      </c>
      <c r="B46" t="s">
        <v>6236</v>
      </c>
      <c r="H46">
        <v>99821</v>
      </c>
      <c r="I46" t="s">
        <v>6282</v>
      </c>
      <c r="J46" t="str">
        <f t="shared" si="0"/>
        <v>ia.assorted_string like '%99821-00096-10-2024%' or</v>
      </c>
    </row>
    <row r="47" spans="1:10" x14ac:dyDescent="0.25">
      <c r="A47" s="19" t="s">
        <v>5941</v>
      </c>
      <c r="B47" t="s">
        <v>6236</v>
      </c>
      <c r="H47">
        <v>99821</v>
      </c>
      <c r="I47" t="s">
        <v>6283</v>
      </c>
      <c r="J47" t="str">
        <f t="shared" si="0"/>
        <v>ia.assorted_string like '%99821-00097-10-2024%' or</v>
      </c>
    </row>
    <row r="48" spans="1:10" x14ac:dyDescent="0.25">
      <c r="A48" s="18" t="s">
        <v>5942</v>
      </c>
      <c r="B48" t="s">
        <v>6236</v>
      </c>
      <c r="H48">
        <v>99821</v>
      </c>
      <c r="I48" t="s">
        <v>6284</v>
      </c>
      <c r="J48" t="str">
        <f t="shared" si="0"/>
        <v>ia.assorted_string like '%99821-00098-10-2024%' or</v>
      </c>
    </row>
    <row r="49" spans="1:10" x14ac:dyDescent="0.25">
      <c r="A49" s="19" t="s">
        <v>5943</v>
      </c>
      <c r="B49" t="s">
        <v>6236</v>
      </c>
      <c r="H49">
        <v>99821</v>
      </c>
      <c r="I49" t="s">
        <v>6285</v>
      </c>
      <c r="J49" t="str">
        <f t="shared" si="0"/>
        <v>ia.assorted_string like '%99821-00099-10-2024%' or</v>
      </c>
    </row>
    <row r="50" spans="1:10" x14ac:dyDescent="0.25">
      <c r="A50" s="18" t="s">
        <v>5944</v>
      </c>
      <c r="B50" t="s">
        <v>6236</v>
      </c>
      <c r="H50">
        <v>99821</v>
      </c>
      <c r="I50" t="s">
        <v>6286</v>
      </c>
      <c r="J50" t="str">
        <f t="shared" si="0"/>
        <v>ia.assorted_string like '%99821-00103-10-2024%' or</v>
      </c>
    </row>
    <row r="51" spans="1:10" x14ac:dyDescent="0.25">
      <c r="A51" s="19" t="s">
        <v>5945</v>
      </c>
      <c r="B51" t="s">
        <v>6236</v>
      </c>
      <c r="H51">
        <v>99821</v>
      </c>
      <c r="I51" t="s">
        <v>6287</v>
      </c>
      <c r="J51" t="str">
        <f t="shared" si="0"/>
        <v>ia.assorted_string like '%99821-00108-10-2024%' or</v>
      </c>
    </row>
    <row r="52" spans="1:10" x14ac:dyDescent="0.25">
      <c r="A52" s="18" t="s">
        <v>5946</v>
      </c>
      <c r="B52" t="s">
        <v>6236</v>
      </c>
      <c r="H52">
        <v>99821</v>
      </c>
      <c r="I52" t="s">
        <v>6288</v>
      </c>
      <c r="J52" t="str">
        <f t="shared" si="0"/>
        <v>ia.assorted_string like '%99821-00109-10-2024%' or</v>
      </c>
    </row>
    <row r="53" spans="1:10" x14ac:dyDescent="0.25">
      <c r="A53" s="19" t="s">
        <v>5947</v>
      </c>
      <c r="B53" t="s">
        <v>6236</v>
      </c>
      <c r="H53">
        <v>99821</v>
      </c>
      <c r="I53" t="s">
        <v>6289</v>
      </c>
      <c r="J53" t="str">
        <f t="shared" si="0"/>
        <v>ia.assorted_string like '%99821-00110-10-2024%' or</v>
      </c>
    </row>
    <row r="54" spans="1:10" x14ac:dyDescent="0.25">
      <c r="A54" s="18" t="s">
        <v>5948</v>
      </c>
      <c r="B54" t="s">
        <v>6236</v>
      </c>
      <c r="H54">
        <v>99821</v>
      </c>
      <c r="I54" t="s">
        <v>6290</v>
      </c>
      <c r="J54" t="str">
        <f t="shared" si="0"/>
        <v>ia.assorted_string like '%99821-00111-10-2024%' or</v>
      </c>
    </row>
    <row r="55" spans="1:10" x14ac:dyDescent="0.25">
      <c r="A55" s="19" t="s">
        <v>5949</v>
      </c>
      <c r="B55" t="s">
        <v>6236</v>
      </c>
      <c r="H55">
        <v>99821</v>
      </c>
      <c r="I55" t="s">
        <v>6291</v>
      </c>
      <c r="J55" t="str">
        <f t="shared" si="0"/>
        <v>ia.assorted_string like '%99821-00112-10-2024%' or</v>
      </c>
    </row>
    <row r="56" spans="1:10" x14ac:dyDescent="0.25">
      <c r="A56" s="18" t="s">
        <v>5950</v>
      </c>
      <c r="B56" t="s">
        <v>6236</v>
      </c>
      <c r="H56">
        <v>99821</v>
      </c>
      <c r="I56" t="s">
        <v>6292</v>
      </c>
      <c r="J56" t="str">
        <f t="shared" si="0"/>
        <v>ia.assorted_string like '%99821-00113-10-2024%' or</v>
      </c>
    </row>
    <row r="57" spans="1:10" x14ac:dyDescent="0.25">
      <c r="A57" s="19" t="s">
        <v>5951</v>
      </c>
      <c r="B57" t="s">
        <v>6236</v>
      </c>
      <c r="H57">
        <v>99821</v>
      </c>
      <c r="I57" t="s">
        <v>6293</v>
      </c>
      <c r="J57" t="str">
        <f t="shared" si="0"/>
        <v>ia.assorted_string like '%99821-00114-10-2024%' or</v>
      </c>
    </row>
    <row r="58" spans="1:10" x14ac:dyDescent="0.25">
      <c r="A58" s="18" t="s">
        <v>5952</v>
      </c>
      <c r="B58" t="s">
        <v>6236</v>
      </c>
      <c r="H58">
        <v>99821</v>
      </c>
      <c r="I58" t="s">
        <v>6294</v>
      </c>
      <c r="J58" t="str">
        <f t="shared" si="0"/>
        <v>ia.assorted_string like '%99821-00117-10-2024%' or</v>
      </c>
    </row>
    <row r="59" spans="1:10" x14ac:dyDescent="0.25">
      <c r="A59" s="19" t="s">
        <v>5953</v>
      </c>
      <c r="B59" t="s">
        <v>6236</v>
      </c>
      <c r="H59">
        <v>99821</v>
      </c>
      <c r="I59" t="s">
        <v>6295</v>
      </c>
      <c r="J59" t="str">
        <f t="shared" si="0"/>
        <v>ia.assorted_string like '%99821-00120-10-2024%' or</v>
      </c>
    </row>
    <row r="60" spans="1:10" x14ac:dyDescent="0.25">
      <c r="A60" s="18" t="s">
        <v>5954</v>
      </c>
      <c r="B60" t="s">
        <v>6236</v>
      </c>
      <c r="H60">
        <v>99821</v>
      </c>
      <c r="I60" t="s">
        <v>6296</v>
      </c>
      <c r="J60" t="str">
        <f t="shared" si="0"/>
        <v>ia.assorted_string like '%99821-00122-10-2024%' or</v>
      </c>
    </row>
    <row r="61" spans="1:10" x14ac:dyDescent="0.25">
      <c r="A61" s="19" t="s">
        <v>5955</v>
      </c>
      <c r="B61" t="s">
        <v>6236</v>
      </c>
      <c r="H61">
        <v>99821</v>
      </c>
      <c r="I61" t="s">
        <v>6297</v>
      </c>
      <c r="J61" t="str">
        <f t="shared" si="0"/>
        <v>ia.assorted_string like '%99821-00124-10-2024%' or</v>
      </c>
    </row>
    <row r="62" spans="1:10" x14ac:dyDescent="0.25">
      <c r="A62" s="20" t="s">
        <v>5890</v>
      </c>
      <c r="B62" t="s">
        <v>6237</v>
      </c>
      <c r="H62">
        <v>97805</v>
      </c>
      <c r="I62" t="s">
        <v>6298</v>
      </c>
      <c r="J62" t="str">
        <f t="shared" si="0"/>
        <v>ia.assorted_string like '%97805-00155-09-2024%' or</v>
      </c>
    </row>
    <row r="63" spans="1:10" x14ac:dyDescent="0.25">
      <c r="A63" s="21" t="s">
        <v>5891</v>
      </c>
      <c r="B63" t="s">
        <v>6237</v>
      </c>
      <c r="H63">
        <v>97805</v>
      </c>
      <c r="I63" t="s">
        <v>6299</v>
      </c>
      <c r="J63" t="str">
        <f t="shared" si="0"/>
        <v>ia.assorted_string like '%97805-00226-09-2024%' or</v>
      </c>
    </row>
    <row r="64" spans="1:10" x14ac:dyDescent="0.25">
      <c r="A64" s="20" t="s">
        <v>5892</v>
      </c>
      <c r="B64" t="s">
        <v>6237</v>
      </c>
      <c r="H64">
        <v>97805</v>
      </c>
      <c r="I64" t="s">
        <v>6300</v>
      </c>
      <c r="J64" t="str">
        <f t="shared" si="0"/>
        <v>ia.assorted_string like '%97805-00292-09-2024%' or</v>
      </c>
    </row>
    <row r="65" spans="1:10" x14ac:dyDescent="0.25">
      <c r="A65" s="21" t="s">
        <v>5893</v>
      </c>
      <c r="B65" t="s">
        <v>6237</v>
      </c>
      <c r="H65">
        <v>97805</v>
      </c>
      <c r="I65" t="s">
        <v>6301</v>
      </c>
      <c r="J65" t="str">
        <f t="shared" si="0"/>
        <v>ia.assorted_string like '%97805-00314-09-2024%' or</v>
      </c>
    </row>
    <row r="66" spans="1:10" x14ac:dyDescent="0.25">
      <c r="A66" s="20" t="s">
        <v>5894</v>
      </c>
      <c r="B66" t="s">
        <v>6237</v>
      </c>
      <c r="H66">
        <v>97805</v>
      </c>
      <c r="I66" t="s">
        <v>6302</v>
      </c>
      <c r="J66" t="str">
        <f t="shared" si="0"/>
        <v>ia.assorted_string like '%97805-00058-09-2024%' or</v>
      </c>
    </row>
    <row r="67" spans="1:10" x14ac:dyDescent="0.25">
      <c r="A67" s="21" t="s">
        <v>5895</v>
      </c>
      <c r="B67" t="s">
        <v>6237</v>
      </c>
      <c r="H67">
        <v>97805</v>
      </c>
      <c r="I67" t="s">
        <v>6303</v>
      </c>
      <c r="J67" t="str">
        <f t="shared" ref="J67:J130" si="1">"ia.assorted_string like '%"&amp;H67&amp;"-"&amp;I67&amp;B67&amp;"%' or"</f>
        <v>ia.assorted_string like '%97805-00057-09-2024%' or</v>
      </c>
    </row>
    <row r="68" spans="1:10" x14ac:dyDescent="0.25">
      <c r="A68" s="18" t="s">
        <v>5956</v>
      </c>
      <c r="B68" t="s">
        <v>6236</v>
      </c>
      <c r="H68">
        <v>99821</v>
      </c>
      <c r="I68" t="s">
        <v>6304</v>
      </c>
      <c r="J68" t="str">
        <f t="shared" si="1"/>
        <v>ia.assorted_string like '%99821-00004-10-2024%' or</v>
      </c>
    </row>
    <row r="69" spans="1:10" x14ac:dyDescent="0.25">
      <c r="A69" s="19" t="s">
        <v>5957</v>
      </c>
      <c r="B69" t="s">
        <v>6236</v>
      </c>
      <c r="H69">
        <v>99821</v>
      </c>
      <c r="I69" t="s">
        <v>6305</v>
      </c>
      <c r="J69" t="str">
        <f t="shared" si="1"/>
        <v>ia.assorted_string like '%99821-00137-10-2024%' or</v>
      </c>
    </row>
    <row r="70" spans="1:10" x14ac:dyDescent="0.25">
      <c r="A70" s="18" t="s">
        <v>5958</v>
      </c>
      <c r="B70" t="s">
        <v>6236</v>
      </c>
      <c r="H70">
        <v>99821</v>
      </c>
      <c r="I70" t="s">
        <v>6306</v>
      </c>
      <c r="J70" t="str">
        <f t="shared" si="1"/>
        <v>ia.assorted_string like '%99821-00138-10-2024%' or</v>
      </c>
    </row>
    <row r="71" spans="1:10" x14ac:dyDescent="0.25">
      <c r="A71" s="19" t="s">
        <v>5959</v>
      </c>
      <c r="B71" t="s">
        <v>6236</v>
      </c>
      <c r="H71">
        <v>99821</v>
      </c>
      <c r="I71" t="s">
        <v>6307</v>
      </c>
      <c r="J71" t="str">
        <f t="shared" si="1"/>
        <v>ia.assorted_string like '%99821-00139-10-2024%' or</v>
      </c>
    </row>
    <row r="72" spans="1:10" x14ac:dyDescent="0.25">
      <c r="A72" s="18" t="s">
        <v>5960</v>
      </c>
      <c r="B72" t="s">
        <v>6236</v>
      </c>
      <c r="H72">
        <v>99821</v>
      </c>
      <c r="I72" t="s">
        <v>6308</v>
      </c>
      <c r="J72" t="str">
        <f t="shared" si="1"/>
        <v>ia.assorted_string like '%99821-00141-10-2024%' or</v>
      </c>
    </row>
    <row r="73" spans="1:10" x14ac:dyDescent="0.25">
      <c r="A73" s="19" t="s">
        <v>5961</v>
      </c>
      <c r="B73" t="s">
        <v>6236</v>
      </c>
      <c r="H73">
        <v>99821</v>
      </c>
      <c r="I73" t="s">
        <v>6309</v>
      </c>
      <c r="J73" t="str">
        <f t="shared" si="1"/>
        <v>ia.assorted_string like '%99821-00142-10-2024%' or</v>
      </c>
    </row>
    <row r="74" spans="1:10" x14ac:dyDescent="0.25">
      <c r="A74" s="18" t="s">
        <v>5962</v>
      </c>
      <c r="B74" t="s">
        <v>6236</v>
      </c>
      <c r="H74">
        <v>99821</v>
      </c>
      <c r="I74" t="s">
        <v>6310</v>
      </c>
      <c r="J74" t="str">
        <f t="shared" si="1"/>
        <v>ia.assorted_string like '%99821-00143-10-2024%' or</v>
      </c>
    </row>
    <row r="75" spans="1:10" x14ac:dyDescent="0.25">
      <c r="A75" s="19" t="s">
        <v>5963</v>
      </c>
      <c r="B75" t="s">
        <v>6236</v>
      </c>
      <c r="H75">
        <v>99821</v>
      </c>
      <c r="I75" t="s">
        <v>6311</v>
      </c>
      <c r="J75" t="str">
        <f t="shared" si="1"/>
        <v>ia.assorted_string like '%99821-00144-10-2024%' or</v>
      </c>
    </row>
    <row r="76" spans="1:10" x14ac:dyDescent="0.25">
      <c r="A76" s="18" t="s">
        <v>5964</v>
      </c>
      <c r="B76" t="s">
        <v>6236</v>
      </c>
      <c r="H76">
        <v>99821</v>
      </c>
      <c r="I76" t="s">
        <v>6312</v>
      </c>
      <c r="J76" t="str">
        <f t="shared" si="1"/>
        <v>ia.assorted_string like '%99821-00145-10-2024%' or</v>
      </c>
    </row>
    <row r="77" spans="1:10" x14ac:dyDescent="0.25">
      <c r="A77" s="19" t="s">
        <v>5965</v>
      </c>
      <c r="B77" t="s">
        <v>6236</v>
      </c>
      <c r="H77">
        <v>99821</v>
      </c>
      <c r="I77" t="s">
        <v>6313</v>
      </c>
      <c r="J77" t="str">
        <f t="shared" si="1"/>
        <v>ia.assorted_string like '%99821-00148-10-2024%' or</v>
      </c>
    </row>
    <row r="78" spans="1:10" x14ac:dyDescent="0.25">
      <c r="A78" s="18" t="s">
        <v>5966</v>
      </c>
      <c r="B78" t="s">
        <v>6236</v>
      </c>
      <c r="H78">
        <v>99821</v>
      </c>
      <c r="I78" t="s">
        <v>6314</v>
      </c>
      <c r="J78" t="str">
        <f t="shared" si="1"/>
        <v>ia.assorted_string like '%99821-00149-10-2024%' or</v>
      </c>
    </row>
    <row r="79" spans="1:10" x14ac:dyDescent="0.25">
      <c r="A79" s="19" t="s">
        <v>5967</v>
      </c>
      <c r="B79" t="s">
        <v>6236</v>
      </c>
      <c r="H79">
        <v>99821</v>
      </c>
      <c r="I79" t="s">
        <v>6315</v>
      </c>
      <c r="J79" t="str">
        <f t="shared" si="1"/>
        <v>ia.assorted_string like '%99821-00150-10-2024%' or</v>
      </c>
    </row>
    <row r="80" spans="1:10" x14ac:dyDescent="0.25">
      <c r="A80" s="18" t="s">
        <v>5968</v>
      </c>
      <c r="B80" t="s">
        <v>6236</v>
      </c>
      <c r="H80">
        <v>99821</v>
      </c>
      <c r="I80" t="s">
        <v>6316</v>
      </c>
      <c r="J80" t="str">
        <f t="shared" si="1"/>
        <v>ia.assorted_string like '%99821-00151-10-2024%' or</v>
      </c>
    </row>
    <row r="81" spans="1:10" x14ac:dyDescent="0.25">
      <c r="A81" s="19" t="s">
        <v>5969</v>
      </c>
      <c r="B81" t="s">
        <v>6236</v>
      </c>
      <c r="H81">
        <v>99821</v>
      </c>
      <c r="I81" t="s">
        <v>6317</v>
      </c>
      <c r="J81" t="str">
        <f t="shared" si="1"/>
        <v>ia.assorted_string like '%99821-00153-10-2024%' or</v>
      </c>
    </row>
    <row r="82" spans="1:10" x14ac:dyDescent="0.25">
      <c r="A82" s="18" t="s">
        <v>5970</v>
      </c>
      <c r="B82" t="s">
        <v>6236</v>
      </c>
      <c r="H82">
        <v>99821</v>
      </c>
      <c r="I82" t="s">
        <v>6318</v>
      </c>
      <c r="J82" t="str">
        <f t="shared" si="1"/>
        <v>ia.assorted_string like '%99821-00016-10-2024%' or</v>
      </c>
    </row>
    <row r="83" spans="1:10" x14ac:dyDescent="0.25">
      <c r="A83" s="19" t="s">
        <v>5971</v>
      </c>
      <c r="B83" t="s">
        <v>6236</v>
      </c>
      <c r="H83">
        <v>99821</v>
      </c>
      <c r="I83" t="s">
        <v>6319</v>
      </c>
      <c r="J83" t="str">
        <f t="shared" si="1"/>
        <v>ia.assorted_string like '%99821-00019-10-2024%' or</v>
      </c>
    </row>
    <row r="84" spans="1:10" x14ac:dyDescent="0.25">
      <c r="A84" s="18" t="s">
        <v>5972</v>
      </c>
      <c r="B84" t="s">
        <v>6236</v>
      </c>
      <c r="H84">
        <v>99821</v>
      </c>
      <c r="I84" t="s">
        <v>6320</v>
      </c>
      <c r="J84" t="str">
        <f t="shared" si="1"/>
        <v>ia.assorted_string like '%99821-00022-10-2024%' or</v>
      </c>
    </row>
    <row r="85" spans="1:10" x14ac:dyDescent="0.25">
      <c r="A85" s="19" t="s">
        <v>5973</v>
      </c>
      <c r="B85" t="s">
        <v>6236</v>
      </c>
      <c r="H85">
        <v>99821</v>
      </c>
      <c r="I85" t="s">
        <v>6321</v>
      </c>
      <c r="J85" t="str">
        <f t="shared" si="1"/>
        <v>ia.assorted_string like '%99821-00023-10-2024%' or</v>
      </c>
    </row>
    <row r="86" spans="1:10" x14ac:dyDescent="0.25">
      <c r="A86" s="18" t="s">
        <v>5974</v>
      </c>
      <c r="B86" t="s">
        <v>6236</v>
      </c>
      <c r="H86">
        <v>99821</v>
      </c>
      <c r="I86" t="s">
        <v>6322</v>
      </c>
      <c r="J86" t="str">
        <f t="shared" si="1"/>
        <v>ia.assorted_string like '%99821-00024-10-2024%' or</v>
      </c>
    </row>
    <row r="87" spans="1:10" x14ac:dyDescent="0.25">
      <c r="A87" s="19" t="s">
        <v>5975</v>
      </c>
      <c r="B87" t="s">
        <v>6236</v>
      </c>
      <c r="H87">
        <v>99821</v>
      </c>
      <c r="I87" t="s">
        <v>6323</v>
      </c>
      <c r="J87" t="str">
        <f t="shared" si="1"/>
        <v>ia.assorted_string like '%99821-00025-10-2024%' or</v>
      </c>
    </row>
    <row r="88" spans="1:10" x14ac:dyDescent="0.25">
      <c r="A88" s="18" t="s">
        <v>5976</v>
      </c>
      <c r="B88" t="s">
        <v>6236</v>
      </c>
      <c r="H88">
        <v>99821</v>
      </c>
      <c r="I88" t="s">
        <v>6324</v>
      </c>
      <c r="J88" t="str">
        <f t="shared" si="1"/>
        <v>ia.assorted_string like '%99821-00161-10-2024%' or</v>
      </c>
    </row>
    <row r="89" spans="1:10" x14ac:dyDescent="0.25">
      <c r="A89" s="19" t="s">
        <v>5977</v>
      </c>
      <c r="B89" t="s">
        <v>6236</v>
      </c>
      <c r="H89">
        <v>99821</v>
      </c>
      <c r="I89" t="s">
        <v>6325</v>
      </c>
      <c r="J89" t="str">
        <f t="shared" si="1"/>
        <v>ia.assorted_string like '%99821-00027-10-2024%' or</v>
      </c>
    </row>
    <row r="90" spans="1:10" x14ac:dyDescent="0.25">
      <c r="A90" s="18" t="s">
        <v>5978</v>
      </c>
      <c r="B90" t="s">
        <v>6236</v>
      </c>
      <c r="H90">
        <v>99821</v>
      </c>
      <c r="I90" t="s">
        <v>6326</v>
      </c>
      <c r="J90" t="str">
        <f t="shared" si="1"/>
        <v>ia.assorted_string like '%99821-00162-10-2024%' or</v>
      </c>
    </row>
    <row r="91" spans="1:10" x14ac:dyDescent="0.25">
      <c r="A91" s="19" t="s">
        <v>5979</v>
      </c>
      <c r="B91" t="s">
        <v>6236</v>
      </c>
      <c r="H91">
        <v>99821</v>
      </c>
      <c r="I91" t="s">
        <v>6327</v>
      </c>
      <c r="J91" t="str">
        <f t="shared" si="1"/>
        <v>ia.assorted_string like '%99821-00028-10-2024%' or</v>
      </c>
    </row>
    <row r="92" spans="1:10" x14ac:dyDescent="0.25">
      <c r="A92" s="18" t="s">
        <v>5980</v>
      </c>
      <c r="B92" t="s">
        <v>6236</v>
      </c>
      <c r="H92">
        <v>99821</v>
      </c>
      <c r="I92" t="s">
        <v>6328</v>
      </c>
      <c r="J92" t="str">
        <f t="shared" si="1"/>
        <v>ia.assorted_string like '%99821-00164-10-2024%' or</v>
      </c>
    </row>
    <row r="93" spans="1:10" x14ac:dyDescent="0.25">
      <c r="A93" s="19" t="s">
        <v>5981</v>
      </c>
      <c r="B93" t="s">
        <v>6236</v>
      </c>
      <c r="H93">
        <v>99821</v>
      </c>
      <c r="I93" t="s">
        <v>6329</v>
      </c>
      <c r="J93" t="str">
        <f t="shared" si="1"/>
        <v>ia.assorted_string like '%99821-00165-10-2024%' or</v>
      </c>
    </row>
    <row r="94" spans="1:10" x14ac:dyDescent="0.25">
      <c r="A94" s="18" t="s">
        <v>5982</v>
      </c>
      <c r="B94" t="s">
        <v>6236</v>
      </c>
      <c r="H94">
        <v>99821</v>
      </c>
      <c r="I94" t="s">
        <v>6330</v>
      </c>
      <c r="J94" t="str">
        <f t="shared" si="1"/>
        <v>ia.assorted_string like '%99821-00029-10-2024%' or</v>
      </c>
    </row>
    <row r="95" spans="1:10" x14ac:dyDescent="0.25">
      <c r="A95" s="19" t="s">
        <v>5983</v>
      </c>
      <c r="B95" t="s">
        <v>6236</v>
      </c>
      <c r="H95">
        <v>99821</v>
      </c>
      <c r="I95" t="s">
        <v>6331</v>
      </c>
      <c r="J95" t="str">
        <f t="shared" si="1"/>
        <v>ia.assorted_string like '%99821-00030-10-2024%' or</v>
      </c>
    </row>
    <row r="96" spans="1:10" x14ac:dyDescent="0.25">
      <c r="A96" s="18" t="s">
        <v>5984</v>
      </c>
      <c r="B96" t="s">
        <v>6236</v>
      </c>
      <c r="H96">
        <v>99821</v>
      </c>
      <c r="I96" t="s">
        <v>6332</v>
      </c>
      <c r="J96" t="str">
        <f t="shared" si="1"/>
        <v>ia.assorted_string like '%99821-00036-10-2024%' or</v>
      </c>
    </row>
    <row r="97" spans="1:10" x14ac:dyDescent="0.25">
      <c r="A97" s="19" t="s">
        <v>5985</v>
      </c>
      <c r="B97" t="s">
        <v>6236</v>
      </c>
      <c r="H97">
        <v>99821</v>
      </c>
      <c r="I97" t="s">
        <v>6333</v>
      </c>
      <c r="J97" t="str">
        <f t="shared" si="1"/>
        <v>ia.assorted_string like '%99821-00038-10-2024%' or</v>
      </c>
    </row>
    <row r="98" spans="1:10" x14ac:dyDescent="0.25">
      <c r="A98" s="18" t="s">
        <v>5986</v>
      </c>
      <c r="B98" t="s">
        <v>6236</v>
      </c>
      <c r="H98">
        <v>99821</v>
      </c>
      <c r="I98" t="s">
        <v>6334</v>
      </c>
      <c r="J98" t="str">
        <f t="shared" si="1"/>
        <v>ia.assorted_string like '%99821-00169-10-2024%' or</v>
      </c>
    </row>
    <row r="99" spans="1:10" x14ac:dyDescent="0.25">
      <c r="A99" s="19" t="s">
        <v>5987</v>
      </c>
      <c r="B99" t="s">
        <v>6236</v>
      </c>
      <c r="H99">
        <v>99821</v>
      </c>
      <c r="I99" t="s">
        <v>6335</v>
      </c>
      <c r="J99" t="str">
        <f t="shared" si="1"/>
        <v>ia.assorted_string like '%99821-00170-10-2024%' or</v>
      </c>
    </row>
    <row r="100" spans="1:10" x14ac:dyDescent="0.25">
      <c r="A100" s="18" t="s">
        <v>5988</v>
      </c>
      <c r="B100" t="s">
        <v>6236</v>
      </c>
      <c r="H100">
        <v>99821</v>
      </c>
      <c r="I100" t="s">
        <v>6336</v>
      </c>
      <c r="J100" t="str">
        <f t="shared" si="1"/>
        <v>ia.assorted_string like '%99821-00040-10-2024%' or</v>
      </c>
    </row>
    <row r="101" spans="1:10" x14ac:dyDescent="0.25">
      <c r="A101" s="19" t="s">
        <v>5989</v>
      </c>
      <c r="B101" t="s">
        <v>6236</v>
      </c>
      <c r="H101">
        <v>99821</v>
      </c>
      <c r="I101" t="s">
        <v>6337</v>
      </c>
      <c r="J101" t="str">
        <f t="shared" si="1"/>
        <v>ia.assorted_string like '%99821-00053-10-2024%' or</v>
      </c>
    </row>
    <row r="102" spans="1:10" x14ac:dyDescent="0.25">
      <c r="A102" s="18" t="s">
        <v>5990</v>
      </c>
      <c r="B102" t="s">
        <v>6236</v>
      </c>
      <c r="H102">
        <v>99821</v>
      </c>
      <c r="I102" t="s">
        <v>6338</v>
      </c>
      <c r="J102" t="str">
        <f t="shared" si="1"/>
        <v>ia.assorted_string like '%99821-00055-10-2024%' or</v>
      </c>
    </row>
    <row r="103" spans="1:10" x14ac:dyDescent="0.25">
      <c r="A103" s="19" t="s">
        <v>5991</v>
      </c>
      <c r="B103" t="s">
        <v>6236</v>
      </c>
      <c r="H103">
        <v>99821</v>
      </c>
      <c r="I103" t="s">
        <v>6339</v>
      </c>
      <c r="J103" t="str">
        <f t="shared" si="1"/>
        <v>ia.assorted_string like '%99821-00173-10-2024%' or</v>
      </c>
    </row>
    <row r="104" spans="1:10" x14ac:dyDescent="0.25">
      <c r="A104" s="18" t="s">
        <v>5992</v>
      </c>
      <c r="B104" t="s">
        <v>6236</v>
      </c>
      <c r="H104">
        <v>99821</v>
      </c>
      <c r="I104" t="s">
        <v>6340</v>
      </c>
      <c r="J104" t="str">
        <f t="shared" si="1"/>
        <v>ia.assorted_string like '%99821-00056-10-2024%' or</v>
      </c>
    </row>
    <row r="105" spans="1:10" x14ac:dyDescent="0.25">
      <c r="A105" s="19" t="s">
        <v>5993</v>
      </c>
      <c r="B105" t="s">
        <v>6236</v>
      </c>
      <c r="H105">
        <v>99821</v>
      </c>
      <c r="I105" t="s">
        <v>6303</v>
      </c>
      <c r="J105" t="str">
        <f t="shared" si="1"/>
        <v>ia.assorted_string like '%99821-00057-10-2024%' or</v>
      </c>
    </row>
    <row r="106" spans="1:10" x14ac:dyDescent="0.25">
      <c r="A106" s="18" t="s">
        <v>5994</v>
      </c>
      <c r="B106" t="s">
        <v>6236</v>
      </c>
      <c r="H106">
        <v>99821</v>
      </c>
      <c r="I106" t="s">
        <v>6341</v>
      </c>
      <c r="J106" t="str">
        <f t="shared" si="1"/>
        <v>ia.assorted_string like '%99821-00060-10-2024%' or</v>
      </c>
    </row>
    <row r="107" spans="1:10" x14ac:dyDescent="0.25">
      <c r="A107" s="19" t="s">
        <v>5995</v>
      </c>
      <c r="B107" t="s">
        <v>6236</v>
      </c>
      <c r="H107">
        <v>99821</v>
      </c>
      <c r="I107" t="s">
        <v>6342</v>
      </c>
      <c r="J107" t="str">
        <f t="shared" si="1"/>
        <v>ia.assorted_string like '%99821-00061-10-2024%' or</v>
      </c>
    </row>
    <row r="108" spans="1:10" x14ac:dyDescent="0.25">
      <c r="A108" s="18" t="s">
        <v>5996</v>
      </c>
      <c r="B108" t="s">
        <v>6236</v>
      </c>
      <c r="H108">
        <v>99821</v>
      </c>
      <c r="I108" t="s">
        <v>6343</v>
      </c>
      <c r="J108" t="str">
        <f t="shared" si="1"/>
        <v>ia.assorted_string like '%99821-00064-10-2024%' or</v>
      </c>
    </row>
    <row r="109" spans="1:10" x14ac:dyDescent="0.25">
      <c r="A109" s="19" t="s">
        <v>5997</v>
      </c>
      <c r="B109" t="s">
        <v>6236</v>
      </c>
      <c r="H109">
        <v>99821</v>
      </c>
      <c r="I109" t="s">
        <v>6344</v>
      </c>
      <c r="J109" t="str">
        <f t="shared" si="1"/>
        <v>ia.assorted_string like '%99821-00068-10-2024%' or</v>
      </c>
    </row>
    <row r="110" spans="1:10" x14ac:dyDescent="0.25">
      <c r="A110" s="18" t="s">
        <v>5998</v>
      </c>
      <c r="B110" t="s">
        <v>6236</v>
      </c>
      <c r="H110">
        <v>99821</v>
      </c>
      <c r="I110" t="s">
        <v>6345</v>
      </c>
      <c r="J110" t="str">
        <f t="shared" si="1"/>
        <v>ia.assorted_string like '%99821-00181-10-2024%' or</v>
      </c>
    </row>
    <row r="111" spans="1:10" x14ac:dyDescent="0.25">
      <c r="A111" s="19" t="s">
        <v>5999</v>
      </c>
      <c r="B111" t="s">
        <v>6236</v>
      </c>
      <c r="H111">
        <v>99821</v>
      </c>
      <c r="I111" t="s">
        <v>6346</v>
      </c>
      <c r="J111" t="str">
        <f t="shared" si="1"/>
        <v>ia.assorted_string like '%99821-00069-10-2024%' or</v>
      </c>
    </row>
    <row r="112" spans="1:10" x14ac:dyDescent="0.25">
      <c r="A112" s="18" t="s">
        <v>6000</v>
      </c>
      <c r="B112" t="s">
        <v>6236</v>
      </c>
      <c r="H112">
        <v>99821</v>
      </c>
      <c r="I112" t="s">
        <v>6347</v>
      </c>
      <c r="J112" t="str">
        <f t="shared" si="1"/>
        <v>ia.assorted_string like '%99821-00184-10-2024%' or</v>
      </c>
    </row>
    <row r="113" spans="1:10" x14ac:dyDescent="0.25">
      <c r="A113" s="19" t="s">
        <v>6001</v>
      </c>
      <c r="B113" t="s">
        <v>6236</v>
      </c>
      <c r="H113">
        <v>99821</v>
      </c>
      <c r="I113" t="s">
        <v>6348</v>
      </c>
      <c r="J113" t="str">
        <f t="shared" si="1"/>
        <v>ia.assorted_string like '%99821-00070-10-2024%' or</v>
      </c>
    </row>
    <row r="114" spans="1:10" x14ac:dyDescent="0.25">
      <c r="A114" s="18" t="s">
        <v>6002</v>
      </c>
      <c r="B114" t="s">
        <v>6236</v>
      </c>
      <c r="H114">
        <v>99821</v>
      </c>
      <c r="I114" t="s">
        <v>6349</v>
      </c>
      <c r="J114" t="str">
        <f t="shared" si="1"/>
        <v>ia.assorted_string like '%99821-00186-10-2024%' or</v>
      </c>
    </row>
    <row r="115" spans="1:10" x14ac:dyDescent="0.25">
      <c r="A115" s="19" t="s">
        <v>6003</v>
      </c>
      <c r="B115" t="s">
        <v>6236</v>
      </c>
      <c r="H115">
        <v>99821</v>
      </c>
      <c r="I115" t="s">
        <v>6350</v>
      </c>
      <c r="J115" t="str">
        <f t="shared" si="1"/>
        <v>ia.assorted_string like '%99821-00187-10-2024%' or</v>
      </c>
    </row>
    <row r="116" spans="1:10" x14ac:dyDescent="0.25">
      <c r="A116" s="18" t="s">
        <v>6004</v>
      </c>
      <c r="B116" t="s">
        <v>6236</v>
      </c>
      <c r="H116">
        <v>99821</v>
      </c>
      <c r="I116" t="s">
        <v>6351</v>
      </c>
      <c r="J116" t="str">
        <f t="shared" si="1"/>
        <v>ia.assorted_string like '%99821-00188-10-2024%' or</v>
      </c>
    </row>
    <row r="117" spans="1:10" x14ac:dyDescent="0.25">
      <c r="A117" s="19" t="s">
        <v>6005</v>
      </c>
      <c r="B117" t="s">
        <v>6236</v>
      </c>
      <c r="H117">
        <v>99821</v>
      </c>
      <c r="I117" t="s">
        <v>6352</v>
      </c>
      <c r="J117" t="str">
        <f t="shared" si="1"/>
        <v>ia.assorted_string like '%99821-00189-10-2024%' or</v>
      </c>
    </row>
    <row r="118" spans="1:10" x14ac:dyDescent="0.25">
      <c r="A118" s="18" t="s">
        <v>6006</v>
      </c>
      <c r="B118" t="s">
        <v>6236</v>
      </c>
      <c r="H118">
        <v>99821</v>
      </c>
      <c r="I118" t="s">
        <v>6353</v>
      </c>
      <c r="J118" t="str">
        <f t="shared" si="1"/>
        <v>ia.assorted_string like '%99821-00071-10-2024%' or</v>
      </c>
    </row>
    <row r="119" spans="1:10" x14ac:dyDescent="0.25">
      <c r="A119" s="19" t="s">
        <v>6007</v>
      </c>
      <c r="B119" t="s">
        <v>6236</v>
      </c>
      <c r="H119">
        <v>99821</v>
      </c>
      <c r="I119" t="s">
        <v>6354</v>
      </c>
      <c r="J119" t="str">
        <f t="shared" si="1"/>
        <v>ia.assorted_string like '%99821-00073-10-2024%' or</v>
      </c>
    </row>
    <row r="120" spans="1:10" x14ac:dyDescent="0.25">
      <c r="A120" s="18" t="s">
        <v>6008</v>
      </c>
      <c r="B120" t="s">
        <v>6236</v>
      </c>
      <c r="H120">
        <v>99821</v>
      </c>
      <c r="I120" t="s">
        <v>6355</v>
      </c>
      <c r="J120" t="str">
        <f t="shared" si="1"/>
        <v>ia.assorted_string like '%99821-00190-10-2024%' or</v>
      </c>
    </row>
    <row r="121" spans="1:10" x14ac:dyDescent="0.25">
      <c r="A121" s="19" t="s">
        <v>6009</v>
      </c>
      <c r="B121" t="s">
        <v>6236</v>
      </c>
      <c r="H121">
        <v>99821</v>
      </c>
      <c r="I121" t="s">
        <v>6356</v>
      </c>
      <c r="J121" t="str">
        <f t="shared" si="1"/>
        <v>ia.assorted_string like '%99821-00191-10-2024%' or</v>
      </c>
    </row>
    <row r="122" spans="1:10" x14ac:dyDescent="0.25">
      <c r="A122" s="18" t="s">
        <v>6010</v>
      </c>
      <c r="B122" t="s">
        <v>6236</v>
      </c>
      <c r="H122">
        <v>99821</v>
      </c>
      <c r="I122" t="s">
        <v>6357</v>
      </c>
      <c r="J122" t="str">
        <f t="shared" si="1"/>
        <v>ia.assorted_string like '%99821-00074-10-2024%' or</v>
      </c>
    </row>
    <row r="123" spans="1:10" x14ac:dyDescent="0.25">
      <c r="A123" s="19" t="s">
        <v>6011</v>
      </c>
      <c r="B123" t="s">
        <v>6236</v>
      </c>
      <c r="H123">
        <v>99821</v>
      </c>
      <c r="I123" t="s">
        <v>6358</v>
      </c>
      <c r="J123" t="str">
        <f t="shared" si="1"/>
        <v>ia.assorted_string like '%99821-00075-10-2024%' or</v>
      </c>
    </row>
    <row r="124" spans="1:10" x14ac:dyDescent="0.25">
      <c r="A124" s="18" t="s">
        <v>6012</v>
      </c>
      <c r="B124" t="s">
        <v>6236</v>
      </c>
      <c r="H124">
        <v>99821</v>
      </c>
      <c r="I124" t="s">
        <v>6359</v>
      </c>
      <c r="J124" t="str">
        <f t="shared" si="1"/>
        <v>ia.assorted_string like '%99821-00076-10-2024%' or</v>
      </c>
    </row>
    <row r="125" spans="1:10" x14ac:dyDescent="0.25">
      <c r="A125" s="19" t="s">
        <v>6013</v>
      </c>
      <c r="B125" t="s">
        <v>6236</v>
      </c>
      <c r="H125">
        <v>99821</v>
      </c>
      <c r="I125" t="s">
        <v>6360</v>
      </c>
      <c r="J125" t="str">
        <f t="shared" si="1"/>
        <v>ia.assorted_string like '%99821-00077-10-2024%' or</v>
      </c>
    </row>
    <row r="126" spans="1:10" x14ac:dyDescent="0.25">
      <c r="A126" s="18" t="s">
        <v>6014</v>
      </c>
      <c r="B126" t="s">
        <v>6236</v>
      </c>
      <c r="H126">
        <v>99821</v>
      </c>
      <c r="I126" t="s">
        <v>6361</v>
      </c>
      <c r="J126" t="str">
        <f t="shared" si="1"/>
        <v>ia.assorted_string like '%99821-00078-10-2024%' or</v>
      </c>
    </row>
    <row r="127" spans="1:10" x14ac:dyDescent="0.25">
      <c r="A127" s="19" t="s">
        <v>6015</v>
      </c>
      <c r="B127" t="s">
        <v>6236</v>
      </c>
      <c r="H127">
        <v>99821</v>
      </c>
      <c r="I127" t="s">
        <v>6362</v>
      </c>
      <c r="J127" t="str">
        <f t="shared" si="1"/>
        <v>ia.assorted_string like '%99821-00079-10-2024%' or</v>
      </c>
    </row>
    <row r="128" spans="1:10" x14ac:dyDescent="0.25">
      <c r="A128" s="18" t="s">
        <v>6016</v>
      </c>
      <c r="B128" t="s">
        <v>6236</v>
      </c>
      <c r="H128">
        <v>99821</v>
      </c>
      <c r="I128" t="s">
        <v>6363</v>
      </c>
      <c r="J128" t="str">
        <f t="shared" si="1"/>
        <v>ia.assorted_string like '%99821-00081-10-2024%' or</v>
      </c>
    </row>
    <row r="129" spans="1:10" x14ac:dyDescent="0.25">
      <c r="A129" s="19" t="s">
        <v>6017</v>
      </c>
      <c r="B129" t="s">
        <v>6236</v>
      </c>
      <c r="H129">
        <v>99821</v>
      </c>
      <c r="I129" t="s">
        <v>6364</v>
      </c>
      <c r="J129" t="str">
        <f t="shared" si="1"/>
        <v>ia.assorted_string like '%99821-00084-10-2024%' or</v>
      </c>
    </row>
    <row r="130" spans="1:10" x14ac:dyDescent="0.25">
      <c r="A130" s="18" t="s">
        <v>6018</v>
      </c>
      <c r="B130" t="s">
        <v>6236</v>
      </c>
      <c r="H130">
        <v>99821</v>
      </c>
      <c r="I130" t="s">
        <v>6365</v>
      </c>
      <c r="J130" t="str">
        <f t="shared" si="1"/>
        <v>ia.assorted_string like '%99821-00085-10-2024%' or</v>
      </c>
    </row>
    <row r="131" spans="1:10" x14ac:dyDescent="0.25">
      <c r="A131" s="19" t="s">
        <v>6019</v>
      </c>
      <c r="B131" t="s">
        <v>6236</v>
      </c>
      <c r="H131">
        <v>99821</v>
      </c>
      <c r="I131" t="s">
        <v>6366</v>
      </c>
      <c r="J131" t="str">
        <f t="shared" ref="J131:J194" si="2">"ia.assorted_string like '%"&amp;H131&amp;"-"&amp;I131&amp;B131&amp;"%' or"</f>
        <v>ia.assorted_string like '%99821-00087-10-2024%' or</v>
      </c>
    </row>
    <row r="132" spans="1:10" x14ac:dyDescent="0.25">
      <c r="A132" s="18" t="s">
        <v>6020</v>
      </c>
      <c r="B132" t="s">
        <v>6236</v>
      </c>
      <c r="H132">
        <v>99821</v>
      </c>
      <c r="I132" t="s">
        <v>6367</v>
      </c>
      <c r="J132" t="str">
        <f t="shared" si="2"/>
        <v>ia.assorted_string like '%99821-00088-10-2024%' or</v>
      </c>
    </row>
    <row r="133" spans="1:10" x14ac:dyDescent="0.25">
      <c r="A133" s="19" t="s">
        <v>6021</v>
      </c>
      <c r="B133" t="s">
        <v>6236</v>
      </c>
      <c r="H133">
        <v>99821</v>
      </c>
      <c r="I133" t="s">
        <v>6368</v>
      </c>
      <c r="J133" t="str">
        <f t="shared" si="2"/>
        <v>ia.assorted_string like '%99821-00200-10-2024%' or</v>
      </c>
    </row>
    <row r="134" spans="1:10" x14ac:dyDescent="0.25">
      <c r="A134" s="18" t="s">
        <v>6022</v>
      </c>
      <c r="B134" t="s">
        <v>6236</v>
      </c>
      <c r="H134">
        <v>99821</v>
      </c>
      <c r="I134" t="s">
        <v>6369</v>
      </c>
      <c r="J134" t="str">
        <f t="shared" si="2"/>
        <v>ia.assorted_string like '%99821-00201-10-2024%' or</v>
      </c>
    </row>
    <row r="135" spans="1:10" x14ac:dyDescent="0.25">
      <c r="A135" s="19" t="s">
        <v>6023</v>
      </c>
      <c r="B135" t="s">
        <v>6236</v>
      </c>
      <c r="H135">
        <v>99821</v>
      </c>
      <c r="I135" t="s">
        <v>6370</v>
      </c>
      <c r="J135" t="str">
        <f t="shared" si="2"/>
        <v>ia.assorted_string like '%99821-00202-10-2024%' or</v>
      </c>
    </row>
    <row r="136" spans="1:10" x14ac:dyDescent="0.25">
      <c r="A136" s="18" t="s">
        <v>6024</v>
      </c>
      <c r="B136" t="s">
        <v>6236</v>
      </c>
      <c r="H136">
        <v>99821</v>
      </c>
      <c r="I136" t="s">
        <v>6371</v>
      </c>
      <c r="J136" t="str">
        <f t="shared" si="2"/>
        <v>ia.assorted_string like '%99821-00090-10-2024%' or</v>
      </c>
    </row>
    <row r="137" spans="1:10" x14ac:dyDescent="0.25">
      <c r="A137" s="19" t="s">
        <v>6025</v>
      </c>
      <c r="B137" t="s">
        <v>6236</v>
      </c>
      <c r="H137">
        <v>99821</v>
      </c>
      <c r="I137" t="s">
        <v>6372</v>
      </c>
      <c r="J137" t="str">
        <f t="shared" si="2"/>
        <v>ia.assorted_string like '%99821-00092-10-2024%' or</v>
      </c>
    </row>
    <row r="138" spans="1:10" x14ac:dyDescent="0.25">
      <c r="A138" s="18" t="s">
        <v>6026</v>
      </c>
      <c r="B138" t="s">
        <v>6236</v>
      </c>
      <c r="H138">
        <v>99821</v>
      </c>
      <c r="I138" t="s">
        <v>6373</v>
      </c>
      <c r="J138" t="str">
        <f t="shared" si="2"/>
        <v>ia.assorted_string like '%99821-00205-10-2024%' or</v>
      </c>
    </row>
    <row r="139" spans="1:10" x14ac:dyDescent="0.25">
      <c r="A139" s="19" t="s">
        <v>6027</v>
      </c>
      <c r="B139" t="s">
        <v>6236</v>
      </c>
      <c r="H139">
        <v>99821</v>
      </c>
      <c r="I139" t="s">
        <v>6374</v>
      </c>
      <c r="J139" t="str">
        <f t="shared" si="2"/>
        <v>ia.assorted_string like '%99821-00100-10-2024%' or</v>
      </c>
    </row>
    <row r="140" spans="1:10" x14ac:dyDescent="0.25">
      <c r="A140" s="18" t="s">
        <v>6028</v>
      </c>
      <c r="B140" t="s">
        <v>6236</v>
      </c>
      <c r="H140">
        <v>99821</v>
      </c>
      <c r="I140" t="s">
        <v>6375</v>
      </c>
      <c r="J140" t="str">
        <f t="shared" si="2"/>
        <v>ia.assorted_string like '%99821-00101-10-2024%' or</v>
      </c>
    </row>
    <row r="141" spans="1:10" x14ac:dyDescent="0.25">
      <c r="A141" s="19" t="s">
        <v>6029</v>
      </c>
      <c r="B141" t="s">
        <v>6236</v>
      </c>
      <c r="H141">
        <v>99821</v>
      </c>
      <c r="I141" t="s">
        <v>6376</v>
      </c>
      <c r="J141" t="str">
        <f t="shared" si="2"/>
        <v>ia.assorted_string like '%99821-00209-10-2024%' or</v>
      </c>
    </row>
    <row r="142" spans="1:10" x14ac:dyDescent="0.25">
      <c r="A142" s="18" t="s">
        <v>6030</v>
      </c>
      <c r="B142" t="s">
        <v>6236</v>
      </c>
      <c r="H142">
        <v>99821</v>
      </c>
      <c r="I142" t="s">
        <v>6377</v>
      </c>
      <c r="J142" t="str">
        <f t="shared" si="2"/>
        <v>ia.assorted_string like '%99821-00210-10-2024%' or</v>
      </c>
    </row>
    <row r="143" spans="1:10" x14ac:dyDescent="0.25">
      <c r="A143" s="19" t="s">
        <v>6031</v>
      </c>
      <c r="B143" t="s">
        <v>6236</v>
      </c>
      <c r="H143">
        <v>99821</v>
      </c>
      <c r="I143" t="s">
        <v>6378</v>
      </c>
      <c r="J143" t="str">
        <f t="shared" si="2"/>
        <v>ia.assorted_string like '%99821-00365-10-2024%' or</v>
      </c>
    </row>
    <row r="144" spans="1:10" x14ac:dyDescent="0.25">
      <c r="A144" s="18" t="s">
        <v>6032</v>
      </c>
      <c r="B144" t="s">
        <v>6236</v>
      </c>
      <c r="H144">
        <v>99821</v>
      </c>
      <c r="I144" t="s">
        <v>6379</v>
      </c>
      <c r="J144" t="str">
        <f t="shared" si="2"/>
        <v>ia.assorted_string like '%99821-00104-10-2024%' or</v>
      </c>
    </row>
    <row r="145" spans="1:10" x14ac:dyDescent="0.25">
      <c r="A145" s="19" t="s">
        <v>6033</v>
      </c>
      <c r="B145" t="s">
        <v>6236</v>
      </c>
      <c r="H145">
        <v>99821</v>
      </c>
      <c r="I145" t="s">
        <v>6380</v>
      </c>
      <c r="J145" t="str">
        <f t="shared" si="2"/>
        <v>ia.assorted_string like '%99821-00105-10-2024%' or</v>
      </c>
    </row>
    <row r="146" spans="1:10" x14ac:dyDescent="0.25">
      <c r="A146" s="18" t="s">
        <v>6034</v>
      </c>
      <c r="B146" t="s">
        <v>6236</v>
      </c>
      <c r="H146">
        <v>99821</v>
      </c>
      <c r="I146" t="s">
        <v>6381</v>
      </c>
      <c r="J146" t="str">
        <f t="shared" si="2"/>
        <v>ia.assorted_string like '%99821-00106-10-2024%' or</v>
      </c>
    </row>
    <row r="147" spans="1:10" x14ac:dyDescent="0.25">
      <c r="A147" s="19" t="s">
        <v>6035</v>
      </c>
      <c r="B147" t="s">
        <v>6236</v>
      </c>
      <c r="H147">
        <v>99821</v>
      </c>
      <c r="I147" t="s">
        <v>6382</v>
      </c>
      <c r="J147" t="str">
        <f t="shared" si="2"/>
        <v>ia.assorted_string like '%99821-00107-10-2024%' or</v>
      </c>
    </row>
    <row r="148" spans="1:10" x14ac:dyDescent="0.25">
      <c r="A148" s="18" t="s">
        <v>6036</v>
      </c>
      <c r="B148" t="s">
        <v>6236</v>
      </c>
      <c r="H148">
        <v>99821</v>
      </c>
      <c r="I148" t="s">
        <v>6383</v>
      </c>
      <c r="J148" t="str">
        <f t="shared" si="2"/>
        <v>ia.assorted_string like '%99821-00115-10-2024%' or</v>
      </c>
    </row>
    <row r="149" spans="1:10" x14ac:dyDescent="0.25">
      <c r="A149" s="19" t="s">
        <v>6037</v>
      </c>
      <c r="B149" t="s">
        <v>6236</v>
      </c>
      <c r="H149">
        <v>99821</v>
      </c>
      <c r="I149" t="s">
        <v>6384</v>
      </c>
      <c r="J149" t="str">
        <f t="shared" si="2"/>
        <v>ia.assorted_string like '%99821-00116-10-2024%' or</v>
      </c>
    </row>
    <row r="150" spans="1:10" x14ac:dyDescent="0.25">
      <c r="A150" s="18" t="s">
        <v>6038</v>
      </c>
      <c r="B150" t="s">
        <v>6236</v>
      </c>
      <c r="H150">
        <v>99821</v>
      </c>
      <c r="I150" t="s">
        <v>6385</v>
      </c>
      <c r="J150" t="str">
        <f t="shared" si="2"/>
        <v>ia.assorted_string like '%99821-00118-10-2024%' or</v>
      </c>
    </row>
    <row r="151" spans="1:10" x14ac:dyDescent="0.25">
      <c r="A151" s="19" t="s">
        <v>6039</v>
      </c>
      <c r="B151" t="s">
        <v>6236</v>
      </c>
      <c r="H151">
        <v>99821</v>
      </c>
      <c r="I151" t="s">
        <v>6386</v>
      </c>
      <c r="J151" t="str">
        <f t="shared" si="2"/>
        <v>ia.assorted_string like '%99821-00121-10-2024%' or</v>
      </c>
    </row>
    <row r="152" spans="1:10" x14ac:dyDescent="0.25">
      <c r="A152" s="18" t="s">
        <v>6040</v>
      </c>
      <c r="B152" t="s">
        <v>6236</v>
      </c>
      <c r="H152">
        <v>99821</v>
      </c>
      <c r="I152" t="s">
        <v>6387</v>
      </c>
      <c r="J152" t="str">
        <f t="shared" si="2"/>
        <v>ia.assorted_string like '%99821-00123-10-2024%' or</v>
      </c>
    </row>
    <row r="153" spans="1:10" x14ac:dyDescent="0.25">
      <c r="A153" s="19" t="s">
        <v>6041</v>
      </c>
      <c r="B153" t="s">
        <v>6236</v>
      </c>
      <c r="H153">
        <v>99821</v>
      </c>
      <c r="I153" t="s">
        <v>6388</v>
      </c>
      <c r="J153" t="str">
        <f t="shared" si="2"/>
        <v>ia.assorted_string like '%99821-00126-10-2024%' or</v>
      </c>
    </row>
    <row r="154" spans="1:10" x14ac:dyDescent="0.25">
      <c r="A154" s="18" t="s">
        <v>6042</v>
      </c>
      <c r="B154" t="s">
        <v>6236</v>
      </c>
      <c r="H154">
        <v>99821</v>
      </c>
      <c r="I154" t="s">
        <v>6389</v>
      </c>
      <c r="J154" t="str">
        <f t="shared" si="2"/>
        <v>ia.assorted_string like '%99821-00127-10-2024%' or</v>
      </c>
    </row>
    <row r="155" spans="1:10" x14ac:dyDescent="0.25">
      <c r="A155" s="19" t="s">
        <v>6043</v>
      </c>
      <c r="B155" t="s">
        <v>6236</v>
      </c>
      <c r="H155">
        <v>99821</v>
      </c>
      <c r="I155" t="s">
        <v>6390</v>
      </c>
      <c r="J155" t="str">
        <f t="shared" si="2"/>
        <v>ia.assorted_string like '%99821-00128-10-2024%' or</v>
      </c>
    </row>
    <row r="156" spans="1:10" x14ac:dyDescent="0.25">
      <c r="A156" s="18" t="s">
        <v>6044</v>
      </c>
      <c r="B156" t="s">
        <v>6236</v>
      </c>
      <c r="H156">
        <v>99821</v>
      </c>
      <c r="I156" t="s">
        <v>6391</v>
      </c>
      <c r="J156" t="str">
        <f t="shared" si="2"/>
        <v>ia.assorted_string like '%99821-00130-10-2024%' or</v>
      </c>
    </row>
    <row r="157" spans="1:10" x14ac:dyDescent="0.25">
      <c r="A157" s="19" t="s">
        <v>6045</v>
      </c>
      <c r="B157" t="s">
        <v>6236</v>
      </c>
      <c r="H157">
        <v>99821</v>
      </c>
      <c r="I157" t="s">
        <v>6392</v>
      </c>
      <c r="J157" t="str">
        <f t="shared" si="2"/>
        <v>ia.assorted_string like '%99821-00131-10-2024%' or</v>
      </c>
    </row>
    <row r="158" spans="1:10" x14ac:dyDescent="0.25">
      <c r="A158" s="18" t="s">
        <v>6046</v>
      </c>
      <c r="B158" t="s">
        <v>6236</v>
      </c>
      <c r="H158">
        <v>99821</v>
      </c>
      <c r="I158" t="s">
        <v>6393</v>
      </c>
      <c r="J158" t="str">
        <f t="shared" si="2"/>
        <v>ia.assorted_string like '%99821-00132-10-2024%' or</v>
      </c>
    </row>
    <row r="159" spans="1:10" x14ac:dyDescent="0.25">
      <c r="A159" s="19" t="s">
        <v>6047</v>
      </c>
      <c r="B159" t="s">
        <v>6236</v>
      </c>
      <c r="H159">
        <v>99821</v>
      </c>
      <c r="I159" t="s">
        <v>6394</v>
      </c>
      <c r="J159" t="str">
        <f t="shared" si="2"/>
        <v>ia.assorted_string like '%99821-00224-10-2024%' or</v>
      </c>
    </row>
    <row r="160" spans="1:10" x14ac:dyDescent="0.25">
      <c r="A160" s="18" t="s">
        <v>6048</v>
      </c>
      <c r="B160" t="s">
        <v>6236</v>
      </c>
      <c r="H160">
        <v>99821</v>
      </c>
      <c r="I160" t="s">
        <v>6299</v>
      </c>
      <c r="J160" t="str">
        <f t="shared" si="2"/>
        <v>ia.assorted_string like '%99821-00226-10-2024%' or</v>
      </c>
    </row>
    <row r="161" spans="1:10" x14ac:dyDescent="0.25">
      <c r="A161" s="19" t="s">
        <v>6049</v>
      </c>
      <c r="B161" t="s">
        <v>6236</v>
      </c>
      <c r="H161">
        <v>99821</v>
      </c>
      <c r="I161" t="s">
        <v>6395</v>
      </c>
      <c r="J161" t="str">
        <f t="shared" si="2"/>
        <v>ia.assorted_string like '%99821-00133-10-2024%' or</v>
      </c>
    </row>
    <row r="162" spans="1:10" x14ac:dyDescent="0.25">
      <c r="A162" s="18" t="s">
        <v>6050</v>
      </c>
      <c r="B162" t="s">
        <v>6236</v>
      </c>
      <c r="H162">
        <v>99821</v>
      </c>
      <c r="I162" t="s">
        <v>6396</v>
      </c>
      <c r="J162" t="str">
        <f t="shared" si="2"/>
        <v>ia.assorted_string like '%99821-00228-10-2024%' or</v>
      </c>
    </row>
    <row r="163" spans="1:10" x14ac:dyDescent="0.25">
      <c r="A163" s="19" t="s">
        <v>6051</v>
      </c>
      <c r="B163" t="s">
        <v>6236</v>
      </c>
      <c r="H163">
        <v>99821</v>
      </c>
      <c r="I163" t="s">
        <v>6397</v>
      </c>
      <c r="J163" t="str">
        <f t="shared" si="2"/>
        <v>ia.assorted_string like '%99821-00135-10-2024%' or</v>
      </c>
    </row>
    <row r="164" spans="1:10" x14ac:dyDescent="0.25">
      <c r="A164" s="18" t="s">
        <v>6052</v>
      </c>
      <c r="B164" t="s">
        <v>6236</v>
      </c>
      <c r="H164">
        <v>99821</v>
      </c>
      <c r="I164" t="s">
        <v>6398</v>
      </c>
      <c r="J164" t="str">
        <f t="shared" si="2"/>
        <v>ia.assorted_string like '%99821-00136-10-2024%' or</v>
      </c>
    </row>
    <row r="165" spans="1:10" x14ac:dyDescent="0.25">
      <c r="A165" s="19" t="s">
        <v>6053</v>
      </c>
      <c r="B165" t="s">
        <v>6236</v>
      </c>
      <c r="H165">
        <v>99821</v>
      </c>
      <c r="I165" t="s">
        <v>6399</v>
      </c>
      <c r="J165" t="str">
        <f t="shared" si="2"/>
        <v>ia.assorted_string like '%99821-00140-10-2024%' or</v>
      </c>
    </row>
    <row r="166" spans="1:10" x14ac:dyDescent="0.25">
      <c r="A166" s="18" t="s">
        <v>6054</v>
      </c>
      <c r="B166" t="s">
        <v>6236</v>
      </c>
      <c r="H166">
        <v>99821</v>
      </c>
      <c r="I166" t="s">
        <v>6400</v>
      </c>
      <c r="J166" t="str">
        <f t="shared" si="2"/>
        <v>ia.assorted_string like '%99821-00146-10-2024%' or</v>
      </c>
    </row>
    <row r="167" spans="1:10" x14ac:dyDescent="0.25">
      <c r="A167" s="19" t="s">
        <v>6055</v>
      </c>
      <c r="B167" t="s">
        <v>6236</v>
      </c>
      <c r="H167">
        <v>99821</v>
      </c>
      <c r="I167" t="s">
        <v>6401</v>
      </c>
      <c r="J167" t="str">
        <f t="shared" si="2"/>
        <v>ia.assorted_string like '%99821-00234-10-2024%' or</v>
      </c>
    </row>
    <row r="168" spans="1:10" x14ac:dyDescent="0.25">
      <c r="A168" s="18" t="s">
        <v>6056</v>
      </c>
      <c r="B168" t="s">
        <v>6236</v>
      </c>
      <c r="H168">
        <v>99821</v>
      </c>
      <c r="I168" t="s">
        <v>6402</v>
      </c>
      <c r="J168" t="str">
        <f t="shared" si="2"/>
        <v>ia.assorted_string like '%99821-00235-10-2024%' or</v>
      </c>
    </row>
    <row r="169" spans="1:10" x14ac:dyDescent="0.25">
      <c r="A169" s="19" t="s">
        <v>6057</v>
      </c>
      <c r="B169" t="s">
        <v>6236</v>
      </c>
      <c r="H169">
        <v>99821</v>
      </c>
      <c r="I169" t="s">
        <v>6403</v>
      </c>
      <c r="J169" t="str">
        <f t="shared" si="2"/>
        <v>ia.assorted_string like '%99821-00236-10-2024%' or</v>
      </c>
    </row>
    <row r="170" spans="1:10" x14ac:dyDescent="0.25">
      <c r="A170" s="18" t="s">
        <v>6058</v>
      </c>
      <c r="B170" t="s">
        <v>6236</v>
      </c>
      <c r="H170">
        <v>99821</v>
      </c>
      <c r="I170" t="s">
        <v>6404</v>
      </c>
      <c r="J170" t="str">
        <f t="shared" si="2"/>
        <v>ia.assorted_string like '%99821-00237-10-2024%' or</v>
      </c>
    </row>
    <row r="171" spans="1:10" x14ac:dyDescent="0.25">
      <c r="A171" s="19" t="s">
        <v>6059</v>
      </c>
      <c r="B171" t="s">
        <v>6236</v>
      </c>
      <c r="H171">
        <v>99821</v>
      </c>
      <c r="I171" t="s">
        <v>6298</v>
      </c>
      <c r="J171" t="str">
        <f t="shared" si="2"/>
        <v>ia.assorted_string like '%99821-00155-10-2024%' or</v>
      </c>
    </row>
    <row r="172" spans="1:10" x14ac:dyDescent="0.25">
      <c r="A172" s="18" t="s">
        <v>6060</v>
      </c>
      <c r="B172" t="s">
        <v>6236</v>
      </c>
      <c r="H172">
        <v>99821</v>
      </c>
      <c r="I172" t="s">
        <v>6405</v>
      </c>
      <c r="J172" t="str">
        <f t="shared" si="2"/>
        <v>ia.assorted_string like '%99821-00240-10-2024%' or</v>
      </c>
    </row>
    <row r="173" spans="1:10" x14ac:dyDescent="0.25">
      <c r="A173" s="19" t="s">
        <v>6061</v>
      </c>
      <c r="B173" t="s">
        <v>6236</v>
      </c>
      <c r="H173">
        <v>99821</v>
      </c>
      <c r="I173" t="s">
        <v>6406</v>
      </c>
      <c r="J173" t="str">
        <f t="shared" si="2"/>
        <v>ia.assorted_string like '%99821-00156-10-2024%' or</v>
      </c>
    </row>
    <row r="174" spans="1:10" x14ac:dyDescent="0.25">
      <c r="A174" s="18" t="s">
        <v>6062</v>
      </c>
      <c r="B174" t="s">
        <v>6236</v>
      </c>
      <c r="H174">
        <v>99821</v>
      </c>
      <c r="I174" t="s">
        <v>6407</v>
      </c>
      <c r="J174" t="str">
        <f t="shared" si="2"/>
        <v>ia.assorted_string like '%99821-00158-10-2024%' or</v>
      </c>
    </row>
    <row r="175" spans="1:10" x14ac:dyDescent="0.25">
      <c r="A175" s="19" t="s">
        <v>6063</v>
      </c>
      <c r="B175" t="s">
        <v>6236</v>
      </c>
      <c r="H175">
        <v>99821</v>
      </c>
      <c r="I175" t="s">
        <v>6408</v>
      </c>
      <c r="J175" t="str">
        <f t="shared" si="2"/>
        <v>ia.assorted_string like '%99821-00243-10-2024%' or</v>
      </c>
    </row>
    <row r="176" spans="1:10" x14ac:dyDescent="0.25">
      <c r="A176" s="18" t="s">
        <v>6064</v>
      </c>
      <c r="B176" t="s">
        <v>6236</v>
      </c>
      <c r="H176">
        <v>99821</v>
      </c>
      <c r="I176" t="s">
        <v>6409</v>
      </c>
      <c r="J176" t="str">
        <f t="shared" si="2"/>
        <v>ia.assorted_string like '%99821-00244-10-2024%' or</v>
      </c>
    </row>
    <row r="177" spans="1:10" x14ac:dyDescent="0.25">
      <c r="A177" s="19" t="s">
        <v>6065</v>
      </c>
      <c r="B177" t="s">
        <v>6236</v>
      </c>
      <c r="H177">
        <v>99821</v>
      </c>
      <c r="I177" t="s">
        <v>6410</v>
      </c>
      <c r="J177" t="str">
        <f t="shared" si="2"/>
        <v>ia.assorted_string like '%99821-00160-10-2024%' or</v>
      </c>
    </row>
    <row r="178" spans="1:10" x14ac:dyDescent="0.25">
      <c r="A178" s="18" t="s">
        <v>6066</v>
      </c>
      <c r="B178" t="s">
        <v>6236</v>
      </c>
      <c r="H178">
        <v>99821</v>
      </c>
      <c r="I178" t="s">
        <v>6411</v>
      </c>
      <c r="J178" t="str">
        <f t="shared" si="2"/>
        <v>ia.assorted_string like '%99821-00246-10-2024%' or</v>
      </c>
    </row>
    <row r="179" spans="1:10" x14ac:dyDescent="0.25">
      <c r="A179" s="19" t="s">
        <v>6067</v>
      </c>
      <c r="B179" t="s">
        <v>6236</v>
      </c>
      <c r="H179">
        <v>99821</v>
      </c>
      <c r="I179" t="s">
        <v>6412</v>
      </c>
      <c r="J179" t="str">
        <f t="shared" si="2"/>
        <v>ia.assorted_string like '%99821-00249-10-2024%' or</v>
      </c>
    </row>
    <row r="180" spans="1:10" x14ac:dyDescent="0.25">
      <c r="A180" s="18" t="s">
        <v>6068</v>
      </c>
      <c r="B180" t="s">
        <v>6236</v>
      </c>
      <c r="H180">
        <v>99821</v>
      </c>
      <c r="I180" t="s">
        <v>6413</v>
      </c>
      <c r="J180" t="str">
        <f t="shared" si="2"/>
        <v>ia.assorted_string like '%99821-00250-10-2024%' or</v>
      </c>
    </row>
    <row r="181" spans="1:10" x14ac:dyDescent="0.25">
      <c r="A181" s="19" t="s">
        <v>6069</v>
      </c>
      <c r="B181" t="s">
        <v>6236</v>
      </c>
      <c r="H181">
        <v>99821</v>
      </c>
      <c r="I181" t="s">
        <v>6414</v>
      </c>
      <c r="J181" t="str">
        <f t="shared" si="2"/>
        <v>ia.assorted_string like '%99821-00163-10-2024%' or</v>
      </c>
    </row>
    <row r="182" spans="1:10" x14ac:dyDescent="0.25">
      <c r="A182" s="18" t="s">
        <v>6070</v>
      </c>
      <c r="B182" t="s">
        <v>6236</v>
      </c>
      <c r="H182">
        <v>99821</v>
      </c>
      <c r="I182" t="s">
        <v>6415</v>
      </c>
      <c r="J182" t="str">
        <f t="shared" si="2"/>
        <v>ia.assorted_string like '%99821-00166-10-2024%' or</v>
      </c>
    </row>
    <row r="183" spans="1:10" x14ac:dyDescent="0.25">
      <c r="A183" s="19" t="s">
        <v>6071</v>
      </c>
      <c r="B183" t="s">
        <v>6236</v>
      </c>
      <c r="H183">
        <v>99821</v>
      </c>
      <c r="I183" t="s">
        <v>6416</v>
      </c>
      <c r="J183" t="str">
        <f t="shared" si="2"/>
        <v>ia.assorted_string like '%99821-00167-10-2024%' or</v>
      </c>
    </row>
    <row r="184" spans="1:10" x14ac:dyDescent="0.25">
      <c r="A184" s="18" t="s">
        <v>6072</v>
      </c>
      <c r="B184" t="s">
        <v>6236</v>
      </c>
      <c r="H184">
        <v>99821</v>
      </c>
      <c r="I184" t="s">
        <v>6417</v>
      </c>
      <c r="J184" t="str">
        <f t="shared" si="2"/>
        <v>ia.assorted_string like '%99821-00168-10-2024%' or</v>
      </c>
    </row>
    <row r="185" spans="1:10" x14ac:dyDescent="0.25">
      <c r="A185" s="19" t="s">
        <v>6073</v>
      </c>
      <c r="B185" t="s">
        <v>6236</v>
      </c>
      <c r="H185">
        <v>99821</v>
      </c>
      <c r="I185" t="s">
        <v>6418</v>
      </c>
      <c r="J185" t="str">
        <f t="shared" si="2"/>
        <v>ia.assorted_string like '%99821-00171-10-2024%' or</v>
      </c>
    </row>
    <row r="186" spans="1:10" x14ac:dyDescent="0.25">
      <c r="A186" s="18" t="s">
        <v>6074</v>
      </c>
      <c r="B186" t="s">
        <v>6236</v>
      </c>
      <c r="H186">
        <v>99821</v>
      </c>
      <c r="I186" t="s">
        <v>6419</v>
      </c>
      <c r="J186" t="str">
        <f t="shared" si="2"/>
        <v>ia.assorted_string like '%99821-00172-10-2024%' or</v>
      </c>
    </row>
    <row r="187" spans="1:10" x14ac:dyDescent="0.25">
      <c r="A187" s="19" t="s">
        <v>6075</v>
      </c>
      <c r="B187" t="s">
        <v>6236</v>
      </c>
      <c r="H187">
        <v>99821</v>
      </c>
      <c r="I187" t="s">
        <v>6420</v>
      </c>
      <c r="J187" t="str">
        <f t="shared" si="2"/>
        <v>ia.assorted_string like '%99821-00175-10-2024%' or</v>
      </c>
    </row>
    <row r="188" spans="1:10" x14ac:dyDescent="0.25">
      <c r="A188" s="18" t="s">
        <v>6076</v>
      </c>
      <c r="B188" t="s">
        <v>6236</v>
      </c>
      <c r="H188">
        <v>99821</v>
      </c>
      <c r="I188" t="s">
        <v>6421</v>
      </c>
      <c r="J188" t="str">
        <f t="shared" si="2"/>
        <v>ia.assorted_string like '%99821-00260-10-2024%' or</v>
      </c>
    </row>
    <row r="189" spans="1:10" x14ac:dyDescent="0.25">
      <c r="A189" s="19" t="s">
        <v>6077</v>
      </c>
      <c r="B189" t="s">
        <v>6236</v>
      </c>
      <c r="H189">
        <v>99821</v>
      </c>
      <c r="I189" t="s">
        <v>6422</v>
      </c>
      <c r="J189" t="str">
        <f t="shared" si="2"/>
        <v>ia.assorted_string like '%99821-00261-10-2024%' or</v>
      </c>
    </row>
    <row r="190" spans="1:10" x14ac:dyDescent="0.25">
      <c r="A190" s="18" t="s">
        <v>6078</v>
      </c>
      <c r="B190" t="s">
        <v>6236</v>
      </c>
      <c r="H190">
        <v>99821</v>
      </c>
      <c r="I190" t="s">
        <v>6423</v>
      </c>
      <c r="J190" t="str">
        <f t="shared" si="2"/>
        <v>ia.assorted_string like '%99821-00177-10-2024%' or</v>
      </c>
    </row>
    <row r="191" spans="1:10" x14ac:dyDescent="0.25">
      <c r="A191" s="19" t="s">
        <v>6079</v>
      </c>
      <c r="B191" t="s">
        <v>6236</v>
      </c>
      <c r="H191">
        <v>99821</v>
      </c>
      <c r="I191" t="s">
        <v>6424</v>
      </c>
      <c r="J191" t="str">
        <f t="shared" si="2"/>
        <v>ia.assorted_string like '%99821-00178-10-2024%' or</v>
      </c>
    </row>
    <row r="192" spans="1:10" x14ac:dyDescent="0.25">
      <c r="A192" s="18" t="s">
        <v>6080</v>
      </c>
      <c r="B192" t="s">
        <v>6236</v>
      </c>
      <c r="H192">
        <v>99821</v>
      </c>
      <c r="I192" t="s">
        <v>6425</v>
      </c>
      <c r="J192" t="str">
        <f t="shared" si="2"/>
        <v>ia.assorted_string like '%99821-00179-10-2024%' or</v>
      </c>
    </row>
    <row r="193" spans="1:10" x14ac:dyDescent="0.25">
      <c r="A193" s="19" t="s">
        <v>6081</v>
      </c>
      <c r="B193" t="s">
        <v>6236</v>
      </c>
      <c r="H193">
        <v>99821</v>
      </c>
      <c r="I193" t="s">
        <v>6426</v>
      </c>
      <c r="J193" t="str">
        <f t="shared" si="2"/>
        <v>ia.assorted_string like '%99821-00180-10-2024%' or</v>
      </c>
    </row>
    <row r="194" spans="1:10" x14ac:dyDescent="0.25">
      <c r="A194" s="18" t="s">
        <v>6082</v>
      </c>
      <c r="B194" t="s">
        <v>6236</v>
      </c>
      <c r="H194">
        <v>99821</v>
      </c>
      <c r="I194" t="s">
        <v>6427</v>
      </c>
      <c r="J194" t="str">
        <f t="shared" si="2"/>
        <v>ia.assorted_string like '%99821-00182-10-2024%' or</v>
      </c>
    </row>
    <row r="195" spans="1:10" x14ac:dyDescent="0.25">
      <c r="A195" s="19" t="s">
        <v>6083</v>
      </c>
      <c r="B195" t="s">
        <v>6236</v>
      </c>
      <c r="H195">
        <v>99821</v>
      </c>
      <c r="I195" t="s">
        <v>6428</v>
      </c>
      <c r="J195" t="str">
        <f t="shared" ref="J195:J258" si="3">"ia.assorted_string like '%"&amp;H195&amp;"-"&amp;I195&amp;B195&amp;"%' or"</f>
        <v>ia.assorted_string like '%99821-00269-10-2024%' or</v>
      </c>
    </row>
    <row r="196" spans="1:10" x14ac:dyDescent="0.25">
      <c r="A196" s="18" t="s">
        <v>6084</v>
      </c>
      <c r="B196" t="s">
        <v>6236</v>
      </c>
      <c r="H196">
        <v>99821</v>
      </c>
      <c r="I196" t="s">
        <v>6429</v>
      </c>
      <c r="J196" t="str">
        <f t="shared" si="3"/>
        <v>ia.assorted_string like '%99821-00272-10-2024%' or</v>
      </c>
    </row>
    <row r="197" spans="1:10" x14ac:dyDescent="0.25">
      <c r="A197" s="19" t="s">
        <v>6085</v>
      </c>
      <c r="B197" t="s">
        <v>6236</v>
      </c>
      <c r="H197">
        <v>99821</v>
      </c>
      <c r="I197" t="s">
        <v>6430</v>
      </c>
      <c r="J197" t="str">
        <f t="shared" si="3"/>
        <v>ia.assorted_string like '%99821-00192-10-2024%' or</v>
      </c>
    </row>
    <row r="198" spans="1:10" x14ac:dyDescent="0.25">
      <c r="A198" s="18" t="s">
        <v>6086</v>
      </c>
      <c r="B198" t="s">
        <v>6236</v>
      </c>
      <c r="H198">
        <v>99821</v>
      </c>
      <c r="I198" t="s">
        <v>6431</v>
      </c>
      <c r="J198" t="str">
        <f t="shared" si="3"/>
        <v>ia.assorted_string like '%99821-00193-10-2024%' or</v>
      </c>
    </row>
    <row r="199" spans="1:10" x14ac:dyDescent="0.25">
      <c r="A199" s="19" t="s">
        <v>6087</v>
      </c>
      <c r="B199" t="s">
        <v>6236</v>
      </c>
      <c r="H199">
        <v>99821</v>
      </c>
      <c r="I199" t="s">
        <v>6432</v>
      </c>
      <c r="J199" t="str">
        <f t="shared" si="3"/>
        <v>ia.assorted_string like '%99821-00194-10-2024%' or</v>
      </c>
    </row>
    <row r="200" spans="1:10" x14ac:dyDescent="0.25">
      <c r="A200" s="18" t="s">
        <v>6088</v>
      </c>
      <c r="B200" t="s">
        <v>6236</v>
      </c>
      <c r="H200">
        <v>99821</v>
      </c>
      <c r="I200" t="s">
        <v>6433</v>
      </c>
      <c r="J200" t="str">
        <f t="shared" si="3"/>
        <v>ia.assorted_string like '%99821-00278-10-2024%' or</v>
      </c>
    </row>
    <row r="201" spans="1:10" x14ac:dyDescent="0.25">
      <c r="A201" s="19" t="s">
        <v>6089</v>
      </c>
      <c r="B201" t="s">
        <v>6236</v>
      </c>
      <c r="H201">
        <v>99821</v>
      </c>
      <c r="I201" t="s">
        <v>6434</v>
      </c>
      <c r="J201" t="str">
        <f t="shared" si="3"/>
        <v>ia.assorted_string like '%99821-00279-10-2024%' or</v>
      </c>
    </row>
    <row r="202" spans="1:10" x14ac:dyDescent="0.25">
      <c r="A202" s="18" t="s">
        <v>6090</v>
      </c>
      <c r="B202" t="s">
        <v>6236</v>
      </c>
      <c r="H202">
        <v>99821</v>
      </c>
      <c r="I202" t="s">
        <v>6435</v>
      </c>
      <c r="J202" t="str">
        <f t="shared" si="3"/>
        <v>ia.assorted_string like '%99821-00280-10-2024%' or</v>
      </c>
    </row>
    <row r="203" spans="1:10" x14ac:dyDescent="0.25">
      <c r="A203" s="19" t="s">
        <v>6091</v>
      </c>
      <c r="B203" t="s">
        <v>6236</v>
      </c>
      <c r="H203">
        <v>99821</v>
      </c>
      <c r="I203" t="s">
        <v>6436</v>
      </c>
      <c r="J203" t="str">
        <f t="shared" si="3"/>
        <v>ia.assorted_string like '%99821-00281-10-2024%' or</v>
      </c>
    </row>
    <row r="204" spans="1:10" x14ac:dyDescent="0.25">
      <c r="A204" s="18" t="s">
        <v>6092</v>
      </c>
      <c r="B204" t="s">
        <v>6236</v>
      </c>
      <c r="H204">
        <v>99821</v>
      </c>
      <c r="I204" t="s">
        <v>6437</v>
      </c>
      <c r="J204" t="str">
        <f t="shared" si="3"/>
        <v>ia.assorted_string like '%99821-00282-10-2024%' or</v>
      </c>
    </row>
    <row r="205" spans="1:10" x14ac:dyDescent="0.25">
      <c r="A205" s="19" t="s">
        <v>6093</v>
      </c>
      <c r="B205" t="s">
        <v>6236</v>
      </c>
      <c r="H205">
        <v>99821</v>
      </c>
      <c r="I205" t="s">
        <v>6438</v>
      </c>
      <c r="J205" t="str">
        <f t="shared" si="3"/>
        <v>ia.assorted_string like '%99821-00283-10-2024%' or</v>
      </c>
    </row>
    <row r="206" spans="1:10" x14ac:dyDescent="0.25">
      <c r="A206" s="18" t="s">
        <v>6094</v>
      </c>
      <c r="B206" t="s">
        <v>6236</v>
      </c>
      <c r="H206">
        <v>99821</v>
      </c>
      <c r="I206" t="s">
        <v>6439</v>
      </c>
      <c r="J206" t="str">
        <f t="shared" si="3"/>
        <v>ia.assorted_string like '%99821-00284-10-2024%' or</v>
      </c>
    </row>
    <row r="207" spans="1:10" x14ac:dyDescent="0.25">
      <c r="A207" s="19" t="s">
        <v>6095</v>
      </c>
      <c r="B207" t="s">
        <v>6236</v>
      </c>
      <c r="H207">
        <v>99821</v>
      </c>
      <c r="I207" t="s">
        <v>6440</v>
      </c>
      <c r="J207" t="str">
        <f t="shared" si="3"/>
        <v>ia.assorted_string like '%99821-00195-10-2024%' or</v>
      </c>
    </row>
    <row r="208" spans="1:10" x14ac:dyDescent="0.25">
      <c r="A208" s="18" t="s">
        <v>6096</v>
      </c>
      <c r="B208" t="s">
        <v>6236</v>
      </c>
      <c r="H208">
        <v>99821</v>
      </c>
      <c r="I208" t="s">
        <v>6441</v>
      </c>
      <c r="J208" t="str">
        <f t="shared" si="3"/>
        <v>ia.assorted_string like '%99821-00198-10-2024%' or</v>
      </c>
    </row>
    <row r="209" spans="1:10" x14ac:dyDescent="0.25">
      <c r="A209" s="19" t="s">
        <v>6097</v>
      </c>
      <c r="B209" t="s">
        <v>6236</v>
      </c>
      <c r="H209">
        <v>99821</v>
      </c>
      <c r="I209" t="s">
        <v>6442</v>
      </c>
      <c r="J209" t="str">
        <f t="shared" si="3"/>
        <v>ia.assorted_string like '%99821-00289-10-2024%' or</v>
      </c>
    </row>
    <row r="210" spans="1:10" x14ac:dyDescent="0.25">
      <c r="A210" s="18" t="s">
        <v>6098</v>
      </c>
      <c r="B210" t="s">
        <v>6236</v>
      </c>
      <c r="H210">
        <v>99821</v>
      </c>
      <c r="I210" t="s">
        <v>6443</v>
      </c>
      <c r="J210" t="str">
        <f t="shared" si="3"/>
        <v>ia.assorted_string like '%99821-00290-10-2024%' or</v>
      </c>
    </row>
    <row r="211" spans="1:10" x14ac:dyDescent="0.25">
      <c r="A211" s="19" t="s">
        <v>6099</v>
      </c>
      <c r="B211" t="s">
        <v>6236</v>
      </c>
      <c r="H211">
        <v>99821</v>
      </c>
      <c r="I211" t="s">
        <v>6444</v>
      </c>
      <c r="J211" t="str">
        <f t="shared" si="3"/>
        <v>ia.assorted_string like '%99821-00199-10-2024%' or</v>
      </c>
    </row>
    <row r="212" spans="1:10" x14ac:dyDescent="0.25">
      <c r="A212" s="18" t="s">
        <v>6100</v>
      </c>
      <c r="B212" t="s">
        <v>6236</v>
      </c>
      <c r="H212">
        <v>99821</v>
      </c>
      <c r="I212" t="s">
        <v>6300</v>
      </c>
      <c r="J212" t="str">
        <f t="shared" si="3"/>
        <v>ia.assorted_string like '%99821-00292-10-2024%' or</v>
      </c>
    </row>
    <row r="213" spans="1:10" x14ac:dyDescent="0.25">
      <c r="A213" s="19" t="s">
        <v>6101</v>
      </c>
      <c r="B213" t="s">
        <v>6236</v>
      </c>
      <c r="H213">
        <v>99821</v>
      </c>
      <c r="I213" t="s">
        <v>6445</v>
      </c>
      <c r="J213" t="str">
        <f t="shared" si="3"/>
        <v>ia.assorted_string like '%99821-00203-10-2024%' or</v>
      </c>
    </row>
    <row r="214" spans="1:10" x14ac:dyDescent="0.25">
      <c r="A214" s="18" t="s">
        <v>6102</v>
      </c>
      <c r="B214" t="s">
        <v>6236</v>
      </c>
      <c r="H214">
        <v>99821</v>
      </c>
      <c r="I214" t="s">
        <v>6446</v>
      </c>
      <c r="J214" t="str">
        <f t="shared" si="3"/>
        <v>ia.assorted_string like '%99821-00204-10-2024%' or</v>
      </c>
    </row>
    <row r="215" spans="1:10" x14ac:dyDescent="0.25">
      <c r="A215" s="19" t="s">
        <v>6103</v>
      </c>
      <c r="B215" t="s">
        <v>6236</v>
      </c>
      <c r="H215">
        <v>99821</v>
      </c>
      <c r="I215" t="s">
        <v>6447</v>
      </c>
      <c r="J215" t="str">
        <f t="shared" si="3"/>
        <v>ia.assorted_string like '%99821-00206-10-2024%' or</v>
      </c>
    </row>
    <row r="216" spans="1:10" x14ac:dyDescent="0.25">
      <c r="A216" s="18" t="s">
        <v>6104</v>
      </c>
      <c r="B216" t="s">
        <v>6236</v>
      </c>
      <c r="H216">
        <v>99821</v>
      </c>
      <c r="I216" t="s">
        <v>6448</v>
      </c>
      <c r="J216" t="str">
        <f t="shared" si="3"/>
        <v>ia.assorted_string like '%99821-00207-10-2024%' or</v>
      </c>
    </row>
    <row r="217" spans="1:10" x14ac:dyDescent="0.25">
      <c r="A217" s="19" t="s">
        <v>6105</v>
      </c>
      <c r="B217" t="s">
        <v>6236</v>
      </c>
      <c r="H217">
        <v>99821</v>
      </c>
      <c r="I217" t="s">
        <v>6449</v>
      </c>
      <c r="J217" t="str">
        <f t="shared" si="3"/>
        <v>ia.assorted_string like '%99821-00208-10-2024%' or</v>
      </c>
    </row>
    <row r="218" spans="1:10" x14ac:dyDescent="0.25">
      <c r="A218" s="18" t="s">
        <v>6106</v>
      </c>
      <c r="B218" t="s">
        <v>6236</v>
      </c>
      <c r="H218">
        <v>99821</v>
      </c>
      <c r="I218" t="s">
        <v>6450</v>
      </c>
      <c r="J218" t="str">
        <f t="shared" si="3"/>
        <v>ia.assorted_string like '%99821-00211-10-2024%' or</v>
      </c>
    </row>
    <row r="219" spans="1:10" x14ac:dyDescent="0.25">
      <c r="A219" s="19" t="s">
        <v>6107</v>
      </c>
      <c r="B219" t="s">
        <v>6236</v>
      </c>
      <c r="H219">
        <v>99821</v>
      </c>
      <c r="I219" t="s">
        <v>6451</v>
      </c>
      <c r="J219" t="str">
        <f t="shared" si="3"/>
        <v>ia.assorted_string like '%99821-00298-10-2024%' or</v>
      </c>
    </row>
    <row r="220" spans="1:10" x14ac:dyDescent="0.25">
      <c r="A220" s="18" t="s">
        <v>6108</v>
      </c>
      <c r="B220" t="s">
        <v>6236</v>
      </c>
      <c r="H220">
        <v>99821</v>
      </c>
      <c r="I220" t="s">
        <v>6452</v>
      </c>
      <c r="J220" t="str">
        <f t="shared" si="3"/>
        <v>ia.assorted_string like '%99821-00213-10-2024%' or</v>
      </c>
    </row>
    <row r="221" spans="1:10" x14ac:dyDescent="0.25">
      <c r="A221" s="19" t="s">
        <v>6109</v>
      </c>
      <c r="B221" t="s">
        <v>6236</v>
      </c>
      <c r="H221">
        <v>99821</v>
      </c>
      <c r="I221" t="s">
        <v>6453</v>
      </c>
      <c r="J221" t="str">
        <f t="shared" si="3"/>
        <v>ia.assorted_string like '%99821-00299-10-2024%' or</v>
      </c>
    </row>
    <row r="222" spans="1:10" x14ac:dyDescent="0.25">
      <c r="A222" s="18" t="s">
        <v>6110</v>
      </c>
      <c r="B222" t="s">
        <v>6236</v>
      </c>
      <c r="H222">
        <v>99821</v>
      </c>
      <c r="I222" t="s">
        <v>6454</v>
      </c>
      <c r="J222" t="str">
        <f t="shared" si="3"/>
        <v>ia.assorted_string like '%99821-00300-10-2024%' or</v>
      </c>
    </row>
    <row r="223" spans="1:10" x14ac:dyDescent="0.25">
      <c r="A223" s="19" t="s">
        <v>6111</v>
      </c>
      <c r="B223" t="s">
        <v>6236</v>
      </c>
      <c r="H223">
        <v>99821</v>
      </c>
      <c r="I223" t="s">
        <v>6455</v>
      </c>
      <c r="J223" t="str">
        <f t="shared" si="3"/>
        <v>ia.assorted_string like '%99821-00302-10-2024%' or</v>
      </c>
    </row>
    <row r="224" spans="1:10" x14ac:dyDescent="0.25">
      <c r="A224" s="18" t="s">
        <v>6112</v>
      </c>
      <c r="B224" t="s">
        <v>6236</v>
      </c>
      <c r="H224">
        <v>99821</v>
      </c>
      <c r="I224" t="s">
        <v>6456</v>
      </c>
      <c r="J224" t="str">
        <f t="shared" si="3"/>
        <v>ia.assorted_string like '%99821-00303-10-2024%' or</v>
      </c>
    </row>
    <row r="225" spans="1:10" x14ac:dyDescent="0.25">
      <c r="A225" s="19" t="s">
        <v>6113</v>
      </c>
      <c r="B225" t="s">
        <v>6236</v>
      </c>
      <c r="H225">
        <v>99821</v>
      </c>
      <c r="I225" t="s">
        <v>6457</v>
      </c>
      <c r="J225" t="str">
        <f t="shared" si="3"/>
        <v>ia.assorted_string like '%99821-00304-10-2024%' or</v>
      </c>
    </row>
    <row r="226" spans="1:10" x14ac:dyDescent="0.25">
      <c r="A226" s="18" t="s">
        <v>6114</v>
      </c>
      <c r="B226" t="s">
        <v>6236</v>
      </c>
      <c r="H226">
        <v>99821</v>
      </c>
      <c r="I226" t="s">
        <v>6458</v>
      </c>
      <c r="J226" t="str">
        <f t="shared" si="3"/>
        <v>ia.assorted_string like '%99821-00214-10-2024%' or</v>
      </c>
    </row>
    <row r="227" spans="1:10" x14ac:dyDescent="0.25">
      <c r="A227" s="19" t="s">
        <v>6115</v>
      </c>
      <c r="B227" t="s">
        <v>6236</v>
      </c>
      <c r="H227">
        <v>99821</v>
      </c>
      <c r="I227" t="s">
        <v>6459</v>
      </c>
      <c r="J227" t="str">
        <f t="shared" si="3"/>
        <v>ia.assorted_string like '%99821-00306-10-2024%' or</v>
      </c>
    </row>
    <row r="228" spans="1:10" x14ac:dyDescent="0.25">
      <c r="A228" s="18" t="s">
        <v>6116</v>
      </c>
      <c r="B228" t="s">
        <v>6236</v>
      </c>
      <c r="H228">
        <v>99821</v>
      </c>
      <c r="I228" t="s">
        <v>6460</v>
      </c>
      <c r="J228" t="str">
        <f t="shared" si="3"/>
        <v>ia.assorted_string like '%99821-00307-10-2024%' or</v>
      </c>
    </row>
    <row r="229" spans="1:10" x14ac:dyDescent="0.25">
      <c r="A229" s="19" t="s">
        <v>6117</v>
      </c>
      <c r="B229" t="s">
        <v>6236</v>
      </c>
      <c r="H229">
        <v>99821</v>
      </c>
      <c r="I229" t="s">
        <v>6461</v>
      </c>
      <c r="J229" t="str">
        <f t="shared" si="3"/>
        <v>ia.assorted_string like '%99821-00308-10-2024%' or</v>
      </c>
    </row>
    <row r="230" spans="1:10" x14ac:dyDescent="0.25">
      <c r="A230" s="18" t="s">
        <v>6118</v>
      </c>
      <c r="B230" t="s">
        <v>6236</v>
      </c>
      <c r="H230">
        <v>99821</v>
      </c>
      <c r="I230" t="s">
        <v>6462</v>
      </c>
      <c r="J230" t="str">
        <f t="shared" si="3"/>
        <v>ia.assorted_string like '%99821-00216-10-2024%' or</v>
      </c>
    </row>
    <row r="231" spans="1:10" x14ac:dyDescent="0.25">
      <c r="A231" s="19" t="s">
        <v>6119</v>
      </c>
      <c r="B231" t="s">
        <v>6236</v>
      </c>
      <c r="H231">
        <v>99821</v>
      </c>
      <c r="I231" t="s">
        <v>6463</v>
      </c>
      <c r="J231" t="str">
        <f t="shared" si="3"/>
        <v>ia.assorted_string like '%99821-00310-10-2024%' or</v>
      </c>
    </row>
    <row r="232" spans="1:10" x14ac:dyDescent="0.25">
      <c r="A232" s="18" t="s">
        <v>6120</v>
      </c>
      <c r="B232" t="s">
        <v>6236</v>
      </c>
      <c r="H232">
        <v>99821</v>
      </c>
      <c r="I232" t="s">
        <v>6464</v>
      </c>
      <c r="J232" t="str">
        <f t="shared" si="3"/>
        <v>ia.assorted_string like '%99821-00217-10-2024%' or</v>
      </c>
    </row>
    <row r="233" spans="1:10" x14ac:dyDescent="0.25">
      <c r="A233" s="19" t="s">
        <v>6121</v>
      </c>
      <c r="B233" t="s">
        <v>6236</v>
      </c>
      <c r="H233">
        <v>99821</v>
      </c>
      <c r="I233" t="s">
        <v>6465</v>
      </c>
      <c r="J233" t="str">
        <f t="shared" si="3"/>
        <v>ia.assorted_string like '%99821-00218-10-2024%' or</v>
      </c>
    </row>
    <row r="234" spans="1:10" x14ac:dyDescent="0.25">
      <c r="A234" s="18" t="s">
        <v>6122</v>
      </c>
      <c r="B234" t="s">
        <v>6236</v>
      </c>
      <c r="H234">
        <v>99821</v>
      </c>
      <c r="I234" t="s">
        <v>6466</v>
      </c>
      <c r="J234" t="str">
        <f t="shared" si="3"/>
        <v>ia.assorted_string like '%99821-00219-10-2024%' or</v>
      </c>
    </row>
    <row r="235" spans="1:10" x14ac:dyDescent="0.25">
      <c r="A235" s="19" t="s">
        <v>6123</v>
      </c>
      <c r="B235" t="s">
        <v>6236</v>
      </c>
      <c r="H235">
        <v>99821</v>
      </c>
      <c r="I235" t="s">
        <v>6467</v>
      </c>
      <c r="J235" t="str">
        <f t="shared" si="3"/>
        <v>ia.assorted_string like '%99821-00221-10-2024%' or</v>
      </c>
    </row>
    <row r="236" spans="1:10" x14ac:dyDescent="0.25">
      <c r="A236" s="18" t="s">
        <v>6124</v>
      </c>
      <c r="B236" t="s">
        <v>6236</v>
      </c>
      <c r="H236">
        <v>99821</v>
      </c>
      <c r="I236" t="s">
        <v>6468</v>
      </c>
      <c r="J236" t="str">
        <f t="shared" si="3"/>
        <v>ia.assorted_string like '%99821-00222-10-2024%' or</v>
      </c>
    </row>
    <row r="237" spans="1:10" x14ac:dyDescent="0.25">
      <c r="A237" s="19" t="s">
        <v>6125</v>
      </c>
      <c r="B237" t="s">
        <v>6236</v>
      </c>
      <c r="H237">
        <v>99821</v>
      </c>
      <c r="I237" t="s">
        <v>6469</v>
      </c>
      <c r="J237" t="str">
        <f t="shared" si="3"/>
        <v>ia.assorted_string like '%99821-00223-10-2024%' or</v>
      </c>
    </row>
    <row r="238" spans="1:10" x14ac:dyDescent="0.25">
      <c r="A238" s="18" t="s">
        <v>6126</v>
      </c>
      <c r="B238" t="s">
        <v>6236</v>
      </c>
      <c r="H238">
        <v>99821</v>
      </c>
      <c r="I238" t="s">
        <v>6470</v>
      </c>
      <c r="J238" t="str">
        <f t="shared" si="3"/>
        <v>ia.assorted_string like '%99821-00319-10-2024%' or</v>
      </c>
    </row>
    <row r="239" spans="1:10" x14ac:dyDescent="0.25">
      <c r="A239" s="19" t="s">
        <v>6127</v>
      </c>
      <c r="B239" t="s">
        <v>6236</v>
      </c>
      <c r="H239">
        <v>99821</v>
      </c>
      <c r="I239" t="s">
        <v>6471</v>
      </c>
      <c r="J239" t="str">
        <f t="shared" si="3"/>
        <v>ia.assorted_string like '%99821-00225-10-2024%' or</v>
      </c>
    </row>
    <row r="240" spans="1:10" x14ac:dyDescent="0.25">
      <c r="A240" s="18" t="s">
        <v>6128</v>
      </c>
      <c r="B240" t="s">
        <v>6236</v>
      </c>
      <c r="H240">
        <v>99821</v>
      </c>
      <c r="I240" t="s">
        <v>6472</v>
      </c>
      <c r="J240" t="str">
        <f t="shared" si="3"/>
        <v>ia.assorted_string like '%99821-00227-10-2024%' or</v>
      </c>
    </row>
    <row r="241" spans="1:10" x14ac:dyDescent="0.25">
      <c r="A241" s="19" t="s">
        <v>6129</v>
      </c>
      <c r="B241" t="s">
        <v>6236</v>
      </c>
      <c r="H241">
        <v>99821</v>
      </c>
      <c r="I241" t="s">
        <v>6473</v>
      </c>
      <c r="J241" t="str">
        <f t="shared" si="3"/>
        <v>ia.assorted_string like '%99821-00229-10-2024%' or</v>
      </c>
    </row>
    <row r="242" spans="1:10" x14ac:dyDescent="0.25">
      <c r="A242" s="18" t="s">
        <v>6130</v>
      </c>
      <c r="B242" t="s">
        <v>6236</v>
      </c>
      <c r="H242">
        <v>99821</v>
      </c>
      <c r="I242" t="s">
        <v>6474</v>
      </c>
      <c r="J242" t="str">
        <f t="shared" si="3"/>
        <v>ia.assorted_string like '%99821-00324-10-2024%' or</v>
      </c>
    </row>
    <row r="243" spans="1:10" x14ac:dyDescent="0.25">
      <c r="A243" s="19" t="s">
        <v>6131</v>
      </c>
      <c r="B243" t="s">
        <v>6236</v>
      </c>
      <c r="H243">
        <v>99821</v>
      </c>
      <c r="I243" t="s">
        <v>6475</v>
      </c>
      <c r="J243" t="str">
        <f t="shared" si="3"/>
        <v>ia.assorted_string like '%99821-00325-10-2024%' or</v>
      </c>
    </row>
    <row r="244" spans="1:10" x14ac:dyDescent="0.25">
      <c r="A244" s="18" t="s">
        <v>6132</v>
      </c>
      <c r="B244" t="s">
        <v>6236</v>
      </c>
      <c r="H244">
        <v>99821</v>
      </c>
      <c r="I244" t="s">
        <v>6476</v>
      </c>
      <c r="J244" t="str">
        <f t="shared" si="3"/>
        <v>ia.assorted_string like '%99821-00326-10-2024%' or</v>
      </c>
    </row>
    <row r="245" spans="1:10" x14ac:dyDescent="0.25">
      <c r="A245" s="19" t="s">
        <v>6133</v>
      </c>
      <c r="B245" t="s">
        <v>6236</v>
      </c>
      <c r="H245">
        <v>99821</v>
      </c>
      <c r="I245" t="s">
        <v>6477</v>
      </c>
      <c r="J245" t="str">
        <f t="shared" si="3"/>
        <v>ia.assorted_string like '%99821-00230-10-2024%' or</v>
      </c>
    </row>
    <row r="246" spans="1:10" x14ac:dyDescent="0.25">
      <c r="A246" s="18" t="s">
        <v>6134</v>
      </c>
      <c r="B246" t="s">
        <v>6236</v>
      </c>
      <c r="H246">
        <v>99821</v>
      </c>
      <c r="I246" t="s">
        <v>6478</v>
      </c>
      <c r="J246" t="str">
        <f t="shared" si="3"/>
        <v>ia.assorted_string like '%99821-00328-10-2024%' or</v>
      </c>
    </row>
    <row r="247" spans="1:10" x14ac:dyDescent="0.25">
      <c r="A247" s="19" t="s">
        <v>6135</v>
      </c>
      <c r="B247" t="s">
        <v>6236</v>
      </c>
      <c r="H247">
        <v>99821</v>
      </c>
      <c r="I247" t="s">
        <v>6479</v>
      </c>
      <c r="J247" t="str">
        <f t="shared" si="3"/>
        <v>ia.assorted_string like '%99821-00231-10-2024%' or</v>
      </c>
    </row>
    <row r="248" spans="1:10" x14ac:dyDescent="0.25">
      <c r="A248" s="18" t="s">
        <v>6136</v>
      </c>
      <c r="B248" t="s">
        <v>6236</v>
      </c>
      <c r="H248">
        <v>99821</v>
      </c>
      <c r="I248" t="s">
        <v>6480</v>
      </c>
      <c r="J248" t="str">
        <f t="shared" si="3"/>
        <v>ia.assorted_string like '%99821-00330-10-2024%' or</v>
      </c>
    </row>
    <row r="249" spans="1:10" x14ac:dyDescent="0.25">
      <c r="A249" s="19" t="s">
        <v>6137</v>
      </c>
      <c r="B249" t="s">
        <v>6236</v>
      </c>
      <c r="H249">
        <v>99821</v>
      </c>
      <c r="I249" t="s">
        <v>6481</v>
      </c>
      <c r="J249" t="str">
        <f t="shared" si="3"/>
        <v>ia.assorted_string like '%99821-00233-10-2024%' or</v>
      </c>
    </row>
    <row r="250" spans="1:10" x14ac:dyDescent="0.25">
      <c r="A250" s="18" t="s">
        <v>6138</v>
      </c>
      <c r="B250" t="s">
        <v>6236</v>
      </c>
      <c r="H250">
        <v>99821</v>
      </c>
      <c r="I250" t="s">
        <v>6482</v>
      </c>
      <c r="J250" t="str">
        <f t="shared" si="3"/>
        <v>ia.assorted_string like '%99821-00238-10-2024%' or</v>
      </c>
    </row>
    <row r="251" spans="1:10" x14ac:dyDescent="0.25">
      <c r="A251" s="19" t="s">
        <v>6139</v>
      </c>
      <c r="B251" t="s">
        <v>6236</v>
      </c>
      <c r="H251">
        <v>99821</v>
      </c>
      <c r="I251" t="s">
        <v>6483</v>
      </c>
      <c r="J251" t="str">
        <f t="shared" si="3"/>
        <v>ia.assorted_string like '%99821-00239-10-2024%' or</v>
      </c>
    </row>
    <row r="252" spans="1:10" x14ac:dyDescent="0.25">
      <c r="A252" s="18" t="s">
        <v>6140</v>
      </c>
      <c r="B252" t="s">
        <v>6236</v>
      </c>
      <c r="H252">
        <v>99821</v>
      </c>
      <c r="I252" t="s">
        <v>6484</v>
      </c>
      <c r="J252" t="str">
        <f t="shared" si="3"/>
        <v>ia.assorted_string like '%99821-00241-10-2024%' or</v>
      </c>
    </row>
    <row r="253" spans="1:10" x14ac:dyDescent="0.25">
      <c r="A253" s="19" t="s">
        <v>6141</v>
      </c>
      <c r="B253" t="s">
        <v>6236</v>
      </c>
      <c r="H253">
        <v>99821</v>
      </c>
      <c r="I253" t="s">
        <v>6485</v>
      </c>
      <c r="J253" t="str">
        <f t="shared" si="3"/>
        <v>ia.assorted_string like '%99821-00242-10-2024%' or</v>
      </c>
    </row>
    <row r="254" spans="1:10" x14ac:dyDescent="0.25">
      <c r="A254" s="18" t="s">
        <v>6142</v>
      </c>
      <c r="B254" t="s">
        <v>6236</v>
      </c>
      <c r="H254">
        <v>99821</v>
      </c>
      <c r="I254" t="s">
        <v>6486</v>
      </c>
      <c r="J254" t="str">
        <f t="shared" si="3"/>
        <v>ia.assorted_string like '%99821-00337-10-2024%' or</v>
      </c>
    </row>
    <row r="255" spans="1:10" x14ac:dyDescent="0.25">
      <c r="A255" s="19" t="s">
        <v>6143</v>
      </c>
      <c r="B255" t="s">
        <v>6236</v>
      </c>
      <c r="H255">
        <v>99821</v>
      </c>
      <c r="I255" t="s">
        <v>6487</v>
      </c>
      <c r="J255" t="str">
        <f t="shared" si="3"/>
        <v>ia.assorted_string like '%99821-00338-10-2024%' or</v>
      </c>
    </row>
    <row r="256" spans="1:10" x14ac:dyDescent="0.25">
      <c r="A256" s="18" t="s">
        <v>6144</v>
      </c>
      <c r="B256" t="s">
        <v>6236</v>
      </c>
      <c r="H256">
        <v>99821</v>
      </c>
      <c r="I256" t="s">
        <v>6488</v>
      </c>
      <c r="J256" t="str">
        <f t="shared" si="3"/>
        <v>ia.assorted_string like '%99821-00339-10-2024%' or</v>
      </c>
    </row>
    <row r="257" spans="1:10" x14ac:dyDescent="0.25">
      <c r="A257" s="19" t="s">
        <v>6145</v>
      </c>
      <c r="B257" t="s">
        <v>6236</v>
      </c>
      <c r="H257">
        <v>99821</v>
      </c>
      <c r="I257" t="s">
        <v>6489</v>
      </c>
      <c r="J257" t="str">
        <f t="shared" si="3"/>
        <v>ia.assorted_string like '%99821-00245-10-2024%' or</v>
      </c>
    </row>
    <row r="258" spans="1:10" x14ac:dyDescent="0.25">
      <c r="A258" s="18" t="s">
        <v>6146</v>
      </c>
      <c r="B258" t="s">
        <v>6236</v>
      </c>
      <c r="H258">
        <v>99821</v>
      </c>
      <c r="I258" t="s">
        <v>6490</v>
      </c>
      <c r="J258" t="str">
        <f t="shared" si="3"/>
        <v>ia.assorted_string like '%99821-00247-10-2024%' or</v>
      </c>
    </row>
    <row r="259" spans="1:10" x14ac:dyDescent="0.25">
      <c r="A259" s="19" t="s">
        <v>6147</v>
      </c>
      <c r="B259" t="s">
        <v>6236</v>
      </c>
      <c r="H259">
        <v>99821</v>
      </c>
      <c r="I259" t="s">
        <v>6491</v>
      </c>
      <c r="J259" t="str">
        <f t="shared" ref="J259:J322" si="4">"ia.assorted_string like '%"&amp;H259&amp;"-"&amp;I259&amp;B259&amp;"%' or"</f>
        <v>ia.assorted_string like '%99821-00342-10-2024%' or</v>
      </c>
    </row>
    <row r="260" spans="1:10" x14ac:dyDescent="0.25">
      <c r="A260" s="18" t="s">
        <v>6148</v>
      </c>
      <c r="B260" t="s">
        <v>6236</v>
      </c>
      <c r="H260">
        <v>99821</v>
      </c>
      <c r="I260" t="s">
        <v>6492</v>
      </c>
      <c r="J260" t="str">
        <f t="shared" si="4"/>
        <v>ia.assorted_string like '%99821-00343-10-2024%' or</v>
      </c>
    </row>
    <row r="261" spans="1:10" x14ac:dyDescent="0.25">
      <c r="A261" s="19" t="s">
        <v>6149</v>
      </c>
      <c r="B261" t="s">
        <v>6236</v>
      </c>
      <c r="H261">
        <v>99821</v>
      </c>
      <c r="I261" t="s">
        <v>6493</v>
      </c>
      <c r="J261" t="str">
        <f t="shared" si="4"/>
        <v>ia.assorted_string like '%99821-00344-10-2024%' or</v>
      </c>
    </row>
    <row r="262" spans="1:10" x14ac:dyDescent="0.25">
      <c r="A262" s="18" t="s">
        <v>6150</v>
      </c>
      <c r="B262" t="s">
        <v>6236</v>
      </c>
      <c r="H262">
        <v>99821</v>
      </c>
      <c r="I262" t="s">
        <v>6494</v>
      </c>
      <c r="J262" t="str">
        <f t="shared" si="4"/>
        <v>ia.assorted_string like '%99821-00248-10-2024%' or</v>
      </c>
    </row>
    <row r="263" spans="1:10" x14ac:dyDescent="0.25">
      <c r="A263" s="19" t="s">
        <v>6151</v>
      </c>
      <c r="B263" t="s">
        <v>6236</v>
      </c>
      <c r="H263">
        <v>99821</v>
      </c>
      <c r="I263" t="s">
        <v>6495</v>
      </c>
      <c r="J263" t="str">
        <f t="shared" si="4"/>
        <v>ia.assorted_string like '%99821-00251-10-2024%' or</v>
      </c>
    </row>
    <row r="264" spans="1:10" x14ac:dyDescent="0.25">
      <c r="A264" s="18" t="s">
        <v>6152</v>
      </c>
      <c r="B264" t="s">
        <v>6236</v>
      </c>
      <c r="H264">
        <v>99821</v>
      </c>
      <c r="I264" t="s">
        <v>6496</v>
      </c>
      <c r="J264" t="str">
        <f t="shared" si="4"/>
        <v>ia.assorted_string like '%99821-00252-10-2024%' or</v>
      </c>
    </row>
    <row r="265" spans="1:10" x14ac:dyDescent="0.25">
      <c r="A265" s="19" t="s">
        <v>6153</v>
      </c>
      <c r="B265" t="s">
        <v>6236</v>
      </c>
      <c r="H265">
        <v>99821</v>
      </c>
      <c r="I265" t="s">
        <v>6497</v>
      </c>
      <c r="J265" t="str">
        <f t="shared" si="4"/>
        <v>ia.assorted_string like '%99821-00253-10-2024%' or</v>
      </c>
    </row>
    <row r="266" spans="1:10" x14ac:dyDescent="0.25">
      <c r="A266" s="18" t="s">
        <v>6154</v>
      </c>
      <c r="B266" t="s">
        <v>6236</v>
      </c>
      <c r="H266">
        <v>99821</v>
      </c>
      <c r="I266" t="s">
        <v>6498</v>
      </c>
      <c r="J266" t="str">
        <f t="shared" si="4"/>
        <v>ia.assorted_string like '%99821-00254-10-2024%' or</v>
      </c>
    </row>
    <row r="267" spans="1:10" x14ac:dyDescent="0.25">
      <c r="A267" s="19" t="s">
        <v>6155</v>
      </c>
      <c r="B267" t="s">
        <v>6236</v>
      </c>
      <c r="H267">
        <v>99821</v>
      </c>
      <c r="I267" t="s">
        <v>6499</v>
      </c>
      <c r="J267" t="str">
        <f t="shared" si="4"/>
        <v>ia.assorted_string like '%99821-00255-10-2024%' or</v>
      </c>
    </row>
    <row r="268" spans="1:10" x14ac:dyDescent="0.25">
      <c r="A268" s="18" t="s">
        <v>6156</v>
      </c>
      <c r="B268" t="s">
        <v>6236</v>
      </c>
      <c r="H268">
        <v>99821</v>
      </c>
      <c r="I268" t="s">
        <v>6500</v>
      </c>
      <c r="J268" t="str">
        <f t="shared" si="4"/>
        <v>ia.assorted_string like '%99821-00256-10-2024%' or</v>
      </c>
    </row>
    <row r="269" spans="1:10" x14ac:dyDescent="0.25">
      <c r="A269" s="19" t="s">
        <v>6157</v>
      </c>
      <c r="B269" t="s">
        <v>6236</v>
      </c>
      <c r="H269">
        <v>99821</v>
      </c>
      <c r="I269" t="s">
        <v>6501</v>
      </c>
      <c r="J269" t="str">
        <f t="shared" si="4"/>
        <v>ia.assorted_string like '%99821-00257-10-2024%' or</v>
      </c>
    </row>
    <row r="270" spans="1:10" x14ac:dyDescent="0.25">
      <c r="A270" s="18" t="s">
        <v>6158</v>
      </c>
      <c r="B270" t="s">
        <v>6236</v>
      </c>
      <c r="H270">
        <v>99821</v>
      </c>
      <c r="I270" t="s">
        <v>6502</v>
      </c>
      <c r="J270" t="str">
        <f t="shared" si="4"/>
        <v>ia.assorted_string like '%99821-00258-10-2024%' or</v>
      </c>
    </row>
    <row r="271" spans="1:10" x14ac:dyDescent="0.25">
      <c r="A271" s="19" t="s">
        <v>6159</v>
      </c>
      <c r="B271" t="s">
        <v>6236</v>
      </c>
      <c r="H271">
        <v>99821</v>
      </c>
      <c r="I271" t="s">
        <v>6503</v>
      </c>
      <c r="J271" t="str">
        <f t="shared" si="4"/>
        <v>ia.assorted_string like '%99821-00259-10-2024%' or</v>
      </c>
    </row>
    <row r="272" spans="1:10" x14ac:dyDescent="0.25">
      <c r="A272" s="18" t="s">
        <v>6160</v>
      </c>
      <c r="B272" t="s">
        <v>6236</v>
      </c>
      <c r="H272">
        <v>99821</v>
      </c>
      <c r="I272" t="s">
        <v>6504</v>
      </c>
      <c r="J272" t="str">
        <f t="shared" si="4"/>
        <v>ia.assorted_string like '%99821-00356-10-2024%' or</v>
      </c>
    </row>
    <row r="273" spans="1:10" x14ac:dyDescent="0.25">
      <c r="A273" s="19" t="s">
        <v>6161</v>
      </c>
      <c r="B273" t="s">
        <v>6236</v>
      </c>
      <c r="H273">
        <v>99821</v>
      </c>
      <c r="I273" t="s">
        <v>6505</v>
      </c>
      <c r="J273" t="str">
        <f t="shared" si="4"/>
        <v>ia.assorted_string like '%99821-00262-10-2024%' or</v>
      </c>
    </row>
    <row r="274" spans="1:10" x14ac:dyDescent="0.25">
      <c r="A274" s="18" t="s">
        <v>6162</v>
      </c>
      <c r="B274" t="s">
        <v>6236</v>
      </c>
      <c r="H274">
        <v>99821</v>
      </c>
      <c r="I274" t="s">
        <v>6506</v>
      </c>
      <c r="J274" t="str">
        <f t="shared" si="4"/>
        <v>ia.assorted_string like '%99821-00263-10-2024%' or</v>
      </c>
    </row>
    <row r="275" spans="1:10" x14ac:dyDescent="0.25">
      <c r="A275" s="19" t="s">
        <v>6163</v>
      </c>
      <c r="B275" t="s">
        <v>6236</v>
      </c>
      <c r="H275">
        <v>99821</v>
      </c>
      <c r="I275" t="s">
        <v>6507</v>
      </c>
      <c r="J275" t="str">
        <f t="shared" si="4"/>
        <v>ia.assorted_string like '%99821-00359-10-2024%' or</v>
      </c>
    </row>
    <row r="276" spans="1:10" x14ac:dyDescent="0.25">
      <c r="A276" s="18" t="s">
        <v>6164</v>
      </c>
      <c r="B276" t="s">
        <v>6236</v>
      </c>
      <c r="H276">
        <v>99821</v>
      </c>
      <c r="I276" t="s">
        <v>6508</v>
      </c>
      <c r="J276" t="str">
        <f t="shared" si="4"/>
        <v>ia.assorted_string like '%99821-00360-10-2024%' or</v>
      </c>
    </row>
    <row r="277" spans="1:10" x14ac:dyDescent="0.25">
      <c r="A277" s="19" t="s">
        <v>6165</v>
      </c>
      <c r="B277" t="s">
        <v>6236</v>
      </c>
      <c r="H277">
        <v>99821</v>
      </c>
      <c r="I277" t="s">
        <v>6509</v>
      </c>
      <c r="J277" t="str">
        <f t="shared" si="4"/>
        <v>ia.assorted_string like '%99821-00361-10-2024%' or</v>
      </c>
    </row>
    <row r="278" spans="1:10" x14ac:dyDescent="0.25">
      <c r="A278" s="18" t="s">
        <v>6166</v>
      </c>
      <c r="B278" t="s">
        <v>6236</v>
      </c>
      <c r="H278">
        <v>99821</v>
      </c>
      <c r="I278" t="s">
        <v>6510</v>
      </c>
      <c r="J278" t="str">
        <f t="shared" si="4"/>
        <v>ia.assorted_string like '%99821-00362-10-2024%' or</v>
      </c>
    </row>
    <row r="279" spans="1:10" x14ac:dyDescent="0.25">
      <c r="A279" s="19" t="s">
        <v>6167</v>
      </c>
      <c r="B279" t="s">
        <v>6236</v>
      </c>
      <c r="H279">
        <v>99821</v>
      </c>
      <c r="I279" t="s">
        <v>6511</v>
      </c>
      <c r="J279" t="str">
        <f t="shared" si="4"/>
        <v>ia.assorted_string like '%99821-00265-10-2024%' or</v>
      </c>
    </row>
    <row r="280" spans="1:10" x14ac:dyDescent="0.25">
      <c r="A280" s="18" t="s">
        <v>6168</v>
      </c>
      <c r="B280" t="s">
        <v>6236</v>
      </c>
      <c r="H280">
        <v>99821</v>
      </c>
      <c r="I280" t="s">
        <v>6512</v>
      </c>
      <c r="J280" t="str">
        <f t="shared" si="4"/>
        <v>ia.assorted_string like '%99821-00364-10-2024%' or</v>
      </c>
    </row>
    <row r="281" spans="1:10" x14ac:dyDescent="0.25">
      <c r="A281" s="19" t="s">
        <v>6169</v>
      </c>
      <c r="B281" t="s">
        <v>6236</v>
      </c>
      <c r="H281">
        <v>99821</v>
      </c>
      <c r="I281" t="s">
        <v>6513</v>
      </c>
      <c r="J281" t="str">
        <f t="shared" si="4"/>
        <v>ia.assorted_string like '%99821-00363-10-2024%' or</v>
      </c>
    </row>
    <row r="282" spans="1:10" x14ac:dyDescent="0.25">
      <c r="A282" s="18" t="s">
        <v>6170</v>
      </c>
      <c r="B282" t="s">
        <v>6236</v>
      </c>
      <c r="H282">
        <v>99821</v>
      </c>
      <c r="I282" t="s">
        <v>6514</v>
      </c>
      <c r="J282" t="str">
        <f t="shared" si="4"/>
        <v>ia.assorted_string like '%99821-00266-10-2024%' or</v>
      </c>
    </row>
    <row r="283" spans="1:10" x14ac:dyDescent="0.25">
      <c r="A283" s="19" t="s">
        <v>6171</v>
      </c>
      <c r="B283" t="s">
        <v>6236</v>
      </c>
      <c r="H283">
        <v>99821</v>
      </c>
      <c r="I283" t="s">
        <v>6515</v>
      </c>
      <c r="J283" t="str">
        <f t="shared" si="4"/>
        <v>ia.assorted_string like '%99821-00358-10-2024%' or</v>
      </c>
    </row>
    <row r="284" spans="1:10" x14ac:dyDescent="0.25">
      <c r="A284" s="18" t="s">
        <v>6172</v>
      </c>
      <c r="B284" t="s">
        <v>6236</v>
      </c>
      <c r="H284">
        <v>99821</v>
      </c>
      <c r="I284" t="s">
        <v>6516</v>
      </c>
      <c r="J284" t="str">
        <f t="shared" si="4"/>
        <v>ia.assorted_string like '%99821-00267-10-2024%' or</v>
      </c>
    </row>
    <row r="285" spans="1:10" x14ac:dyDescent="0.25">
      <c r="A285" s="19" t="s">
        <v>6173</v>
      </c>
      <c r="B285" t="s">
        <v>6236</v>
      </c>
      <c r="H285">
        <v>99821</v>
      </c>
      <c r="I285" t="s">
        <v>6517</v>
      </c>
      <c r="J285" t="str">
        <f t="shared" si="4"/>
        <v>ia.assorted_string like '%99821-00357-10-2024%' or</v>
      </c>
    </row>
    <row r="286" spans="1:10" x14ac:dyDescent="0.25">
      <c r="A286" s="18" t="s">
        <v>6174</v>
      </c>
      <c r="B286" t="s">
        <v>6236</v>
      </c>
      <c r="H286">
        <v>99821</v>
      </c>
      <c r="I286" t="s">
        <v>6518</v>
      </c>
      <c r="J286" t="str">
        <f t="shared" si="4"/>
        <v>ia.assorted_string like '%99821-00355-10-2024%' or</v>
      </c>
    </row>
    <row r="287" spans="1:10" x14ac:dyDescent="0.25">
      <c r="A287" s="19" t="s">
        <v>6175</v>
      </c>
      <c r="B287" t="s">
        <v>6236</v>
      </c>
      <c r="H287">
        <v>99821</v>
      </c>
      <c r="I287" t="s">
        <v>6519</v>
      </c>
      <c r="J287" t="str">
        <f t="shared" si="4"/>
        <v>ia.assorted_string like '%99821-00268-10-2024%' or</v>
      </c>
    </row>
    <row r="288" spans="1:10" x14ac:dyDescent="0.25">
      <c r="A288" s="18" t="s">
        <v>6176</v>
      </c>
      <c r="B288" t="s">
        <v>6236</v>
      </c>
      <c r="H288">
        <v>99821</v>
      </c>
      <c r="I288" t="s">
        <v>6520</v>
      </c>
      <c r="J288" t="str">
        <f t="shared" si="4"/>
        <v>ia.assorted_string like '%99821-00270-10-2024%' or</v>
      </c>
    </row>
    <row r="289" spans="1:10" x14ac:dyDescent="0.25">
      <c r="A289" s="19" t="s">
        <v>6177</v>
      </c>
      <c r="B289" t="s">
        <v>6236</v>
      </c>
      <c r="H289">
        <v>99821</v>
      </c>
      <c r="I289" t="s">
        <v>6521</v>
      </c>
      <c r="J289" t="str">
        <f t="shared" si="4"/>
        <v>ia.assorted_string like '%99821-00271-10-2024%' or</v>
      </c>
    </row>
    <row r="290" spans="1:10" x14ac:dyDescent="0.25">
      <c r="A290" s="18" t="s">
        <v>6178</v>
      </c>
      <c r="B290" t="s">
        <v>6236</v>
      </c>
      <c r="H290">
        <v>99821</v>
      </c>
      <c r="I290" t="s">
        <v>6522</v>
      </c>
      <c r="J290" t="str">
        <f t="shared" si="4"/>
        <v>ia.assorted_string like '%99821-00273-10-2024%' or</v>
      </c>
    </row>
    <row r="291" spans="1:10" x14ac:dyDescent="0.25">
      <c r="A291" s="19" t="s">
        <v>6179</v>
      </c>
      <c r="B291" t="s">
        <v>6236</v>
      </c>
      <c r="H291">
        <v>99821</v>
      </c>
      <c r="I291" t="s">
        <v>6523</v>
      </c>
      <c r="J291" t="str">
        <f t="shared" si="4"/>
        <v>ia.assorted_string like '%99821-00354-10-2024%' or</v>
      </c>
    </row>
    <row r="292" spans="1:10" x14ac:dyDescent="0.25">
      <c r="A292" s="18" t="s">
        <v>6180</v>
      </c>
      <c r="B292" t="s">
        <v>6236</v>
      </c>
      <c r="H292">
        <v>99821</v>
      </c>
      <c r="I292" t="s">
        <v>6524</v>
      </c>
      <c r="J292" t="str">
        <f t="shared" si="4"/>
        <v>ia.assorted_string like '%99821-00274-10-2024%' or</v>
      </c>
    </row>
    <row r="293" spans="1:10" x14ac:dyDescent="0.25">
      <c r="A293" s="19" t="s">
        <v>6181</v>
      </c>
      <c r="B293" t="s">
        <v>6236</v>
      </c>
      <c r="H293">
        <v>99821</v>
      </c>
      <c r="I293" t="s">
        <v>6525</v>
      </c>
      <c r="J293" t="str">
        <f t="shared" si="4"/>
        <v>ia.assorted_string like '%99821-00275-10-2024%' or</v>
      </c>
    </row>
    <row r="294" spans="1:10" x14ac:dyDescent="0.25">
      <c r="A294" s="18" t="s">
        <v>6182</v>
      </c>
      <c r="B294" t="s">
        <v>6236</v>
      </c>
      <c r="H294">
        <v>99821</v>
      </c>
      <c r="I294" t="s">
        <v>6526</v>
      </c>
      <c r="J294" t="str">
        <f t="shared" si="4"/>
        <v>ia.assorted_string like '%99821-00276-10-2024%' or</v>
      </c>
    </row>
    <row r="295" spans="1:10" x14ac:dyDescent="0.25">
      <c r="A295" s="19" t="s">
        <v>6183</v>
      </c>
      <c r="B295" t="s">
        <v>6236</v>
      </c>
      <c r="H295">
        <v>99821</v>
      </c>
      <c r="I295" t="s">
        <v>6527</v>
      </c>
      <c r="J295" t="str">
        <f t="shared" si="4"/>
        <v>ia.assorted_string like '%99821-00353-10-2024%' or</v>
      </c>
    </row>
    <row r="296" spans="1:10" x14ac:dyDescent="0.25">
      <c r="A296" s="18" t="s">
        <v>6184</v>
      </c>
      <c r="B296" t="s">
        <v>6236</v>
      </c>
      <c r="H296">
        <v>99821</v>
      </c>
      <c r="I296" t="s">
        <v>6528</v>
      </c>
      <c r="J296" t="str">
        <f t="shared" si="4"/>
        <v>ia.assorted_string like '%99821-00285-10-2024%' or</v>
      </c>
    </row>
    <row r="297" spans="1:10" x14ac:dyDescent="0.25">
      <c r="A297" s="19" t="s">
        <v>6185</v>
      </c>
      <c r="B297" t="s">
        <v>6236</v>
      </c>
      <c r="H297">
        <v>99821</v>
      </c>
      <c r="I297" t="s">
        <v>6529</v>
      </c>
      <c r="J297" t="str">
        <f t="shared" si="4"/>
        <v>ia.assorted_string like '%99821-00352-10-2024%' or</v>
      </c>
    </row>
    <row r="298" spans="1:10" x14ac:dyDescent="0.25">
      <c r="A298" s="18" t="s">
        <v>6186</v>
      </c>
      <c r="B298" t="s">
        <v>6236</v>
      </c>
      <c r="H298">
        <v>99821</v>
      </c>
      <c r="I298" t="s">
        <v>6530</v>
      </c>
      <c r="J298" t="str">
        <f t="shared" si="4"/>
        <v>ia.assorted_string like '%99821-00286-10-2024%' or</v>
      </c>
    </row>
    <row r="299" spans="1:10" x14ac:dyDescent="0.25">
      <c r="A299" s="19" t="s">
        <v>6187</v>
      </c>
      <c r="B299" t="s">
        <v>6236</v>
      </c>
      <c r="H299">
        <v>99821</v>
      </c>
      <c r="I299" t="s">
        <v>6531</v>
      </c>
      <c r="J299" t="str">
        <f t="shared" si="4"/>
        <v>ia.assorted_string like '%99821-00287-10-2024%' or</v>
      </c>
    </row>
    <row r="300" spans="1:10" x14ac:dyDescent="0.25">
      <c r="A300" s="18" t="s">
        <v>6188</v>
      </c>
      <c r="B300" t="s">
        <v>6236</v>
      </c>
      <c r="H300">
        <v>99821</v>
      </c>
      <c r="I300" t="s">
        <v>6532</v>
      </c>
      <c r="J300" t="str">
        <f t="shared" si="4"/>
        <v>ia.assorted_string like '%99821-00288-10-2024%' or</v>
      </c>
    </row>
    <row r="301" spans="1:10" x14ac:dyDescent="0.25">
      <c r="A301" s="19" t="s">
        <v>6189</v>
      </c>
      <c r="B301" t="s">
        <v>6236</v>
      </c>
      <c r="H301">
        <v>99821</v>
      </c>
      <c r="I301" t="s">
        <v>6533</v>
      </c>
      <c r="J301" t="str">
        <f t="shared" si="4"/>
        <v>ia.assorted_string like '%99821-00293-10-2024%' or</v>
      </c>
    </row>
    <row r="302" spans="1:10" x14ac:dyDescent="0.25">
      <c r="A302" s="18" t="s">
        <v>6190</v>
      </c>
      <c r="B302" t="s">
        <v>6236</v>
      </c>
      <c r="H302">
        <v>99821</v>
      </c>
      <c r="I302" t="s">
        <v>6534</v>
      </c>
      <c r="J302" t="str">
        <f t="shared" si="4"/>
        <v>ia.assorted_string like '%99821-00351-10-2024%' or</v>
      </c>
    </row>
    <row r="303" spans="1:10" x14ac:dyDescent="0.25">
      <c r="A303" s="19" t="s">
        <v>6191</v>
      </c>
      <c r="B303" t="s">
        <v>6236</v>
      </c>
      <c r="H303">
        <v>99821</v>
      </c>
      <c r="I303" t="s">
        <v>6535</v>
      </c>
      <c r="J303" t="str">
        <f t="shared" si="4"/>
        <v>ia.assorted_string like '%99821-00294-10-2024%' or</v>
      </c>
    </row>
    <row r="304" spans="1:10" x14ac:dyDescent="0.25">
      <c r="A304" s="18" t="s">
        <v>6192</v>
      </c>
      <c r="B304" t="s">
        <v>6236</v>
      </c>
      <c r="H304">
        <v>99821</v>
      </c>
      <c r="I304" t="s">
        <v>6536</v>
      </c>
      <c r="J304" t="str">
        <f t="shared" si="4"/>
        <v>ia.assorted_string like '%99821-00350-10-2024%' or</v>
      </c>
    </row>
    <row r="305" spans="1:10" x14ac:dyDescent="0.25">
      <c r="A305" s="19" t="s">
        <v>6193</v>
      </c>
      <c r="B305" t="s">
        <v>6236</v>
      </c>
      <c r="H305">
        <v>99821</v>
      </c>
      <c r="I305" t="s">
        <v>6537</v>
      </c>
      <c r="J305" t="str">
        <f t="shared" si="4"/>
        <v>ia.assorted_string like '%99821-00349-10-2024%' or</v>
      </c>
    </row>
    <row r="306" spans="1:10" x14ac:dyDescent="0.25">
      <c r="A306" s="18" t="s">
        <v>6194</v>
      </c>
      <c r="B306" t="s">
        <v>6236</v>
      </c>
      <c r="H306">
        <v>99821</v>
      </c>
      <c r="I306" t="s">
        <v>6538</v>
      </c>
      <c r="J306" t="str">
        <f t="shared" si="4"/>
        <v>ia.assorted_string like '%99821-00295-10-2024%' or</v>
      </c>
    </row>
    <row r="307" spans="1:10" x14ac:dyDescent="0.25">
      <c r="A307" s="19" t="s">
        <v>6195</v>
      </c>
      <c r="B307" t="s">
        <v>6236</v>
      </c>
      <c r="H307">
        <v>99821</v>
      </c>
      <c r="I307" t="s">
        <v>6539</v>
      </c>
      <c r="J307" t="str">
        <f t="shared" si="4"/>
        <v>ia.assorted_string like '%99821-00296-10-2024%' or</v>
      </c>
    </row>
    <row r="308" spans="1:10" x14ac:dyDescent="0.25">
      <c r="A308" s="18" t="s">
        <v>6196</v>
      </c>
      <c r="B308" t="s">
        <v>6236</v>
      </c>
      <c r="H308">
        <v>99821</v>
      </c>
      <c r="I308" t="s">
        <v>6540</v>
      </c>
      <c r="J308" t="str">
        <f t="shared" si="4"/>
        <v>ia.assorted_string like '%99821-00297-10-2024%' or</v>
      </c>
    </row>
    <row r="309" spans="1:10" x14ac:dyDescent="0.25">
      <c r="A309" s="19" t="s">
        <v>6197</v>
      </c>
      <c r="B309" t="s">
        <v>6236</v>
      </c>
      <c r="H309">
        <v>99821</v>
      </c>
      <c r="I309" t="s">
        <v>6541</v>
      </c>
      <c r="J309" t="str">
        <f t="shared" si="4"/>
        <v>ia.assorted_string like '%99821-00348-10-2024%' or</v>
      </c>
    </row>
    <row r="310" spans="1:10" x14ac:dyDescent="0.25">
      <c r="A310" s="18" t="s">
        <v>6198</v>
      </c>
      <c r="B310" t="s">
        <v>6236</v>
      </c>
      <c r="H310">
        <v>99821</v>
      </c>
      <c r="I310" t="s">
        <v>6542</v>
      </c>
      <c r="J310" t="str">
        <f t="shared" si="4"/>
        <v>ia.assorted_string like '%99821-00347-10-2024%' or</v>
      </c>
    </row>
    <row r="311" spans="1:10" x14ac:dyDescent="0.25">
      <c r="A311" s="19" t="s">
        <v>6199</v>
      </c>
      <c r="B311" t="s">
        <v>6236</v>
      </c>
      <c r="H311">
        <v>99821</v>
      </c>
      <c r="I311" t="s">
        <v>6543</v>
      </c>
      <c r="J311" t="str">
        <f t="shared" si="4"/>
        <v>ia.assorted_string like '%99821-00346-10-2024%' or</v>
      </c>
    </row>
    <row r="312" spans="1:10" x14ac:dyDescent="0.25">
      <c r="A312" s="18" t="s">
        <v>6200</v>
      </c>
      <c r="B312" t="s">
        <v>6236</v>
      </c>
      <c r="H312">
        <v>99821</v>
      </c>
      <c r="I312" t="s">
        <v>6544</v>
      </c>
      <c r="J312" t="str">
        <f t="shared" si="4"/>
        <v>ia.assorted_string like '%99821-00301-10-2024%' or</v>
      </c>
    </row>
    <row r="313" spans="1:10" x14ac:dyDescent="0.25">
      <c r="A313" s="19" t="s">
        <v>6201</v>
      </c>
      <c r="B313" t="s">
        <v>6236</v>
      </c>
      <c r="H313">
        <v>99821</v>
      </c>
      <c r="I313" t="s">
        <v>6545</v>
      </c>
      <c r="J313" t="str">
        <f t="shared" si="4"/>
        <v>ia.assorted_string like '%99821-00341-10-2024%' or</v>
      </c>
    </row>
    <row r="314" spans="1:10" x14ac:dyDescent="0.25">
      <c r="A314" s="18" t="s">
        <v>6202</v>
      </c>
      <c r="B314" t="s">
        <v>6236</v>
      </c>
      <c r="H314">
        <v>99821</v>
      </c>
      <c r="I314" t="s">
        <v>6546</v>
      </c>
      <c r="J314" t="str">
        <f t="shared" si="4"/>
        <v>ia.assorted_string like '%99821-00340-10-2024%' or</v>
      </c>
    </row>
    <row r="315" spans="1:10" x14ac:dyDescent="0.25">
      <c r="A315" s="19" t="s">
        <v>6203</v>
      </c>
      <c r="B315" t="s">
        <v>6236</v>
      </c>
      <c r="H315">
        <v>99821</v>
      </c>
      <c r="I315" t="s">
        <v>6547</v>
      </c>
      <c r="J315" t="str">
        <f t="shared" si="4"/>
        <v>ia.assorted_string like '%99821-00305-10-2024%' or</v>
      </c>
    </row>
    <row r="316" spans="1:10" x14ac:dyDescent="0.25">
      <c r="A316" s="18" t="s">
        <v>6204</v>
      </c>
      <c r="B316" t="s">
        <v>6236</v>
      </c>
      <c r="H316">
        <v>99821</v>
      </c>
      <c r="I316" t="s">
        <v>6548</v>
      </c>
      <c r="J316" t="str">
        <f t="shared" si="4"/>
        <v>ia.assorted_string like '%99821-00336-10-2024%' or</v>
      </c>
    </row>
    <row r="317" spans="1:10" x14ac:dyDescent="0.25">
      <c r="A317" s="19" t="s">
        <v>6205</v>
      </c>
      <c r="B317" t="s">
        <v>6236</v>
      </c>
      <c r="H317">
        <v>99821</v>
      </c>
      <c r="I317" t="s">
        <v>6549</v>
      </c>
      <c r="J317" t="str">
        <f t="shared" si="4"/>
        <v>ia.assorted_string like '%99821-00335-10-2024%' or</v>
      </c>
    </row>
    <row r="318" spans="1:10" x14ac:dyDescent="0.25">
      <c r="A318" s="18" t="s">
        <v>6206</v>
      </c>
      <c r="B318" t="s">
        <v>6236</v>
      </c>
      <c r="H318">
        <v>99821</v>
      </c>
      <c r="I318" t="s">
        <v>6550</v>
      </c>
      <c r="J318" t="str">
        <f t="shared" si="4"/>
        <v>ia.assorted_string like '%99821-00309-10-2024%' or</v>
      </c>
    </row>
    <row r="319" spans="1:10" x14ac:dyDescent="0.25">
      <c r="A319" s="19" t="s">
        <v>6207</v>
      </c>
      <c r="B319" t="s">
        <v>6236</v>
      </c>
      <c r="H319">
        <v>99821</v>
      </c>
      <c r="I319" t="s">
        <v>6551</v>
      </c>
      <c r="J319" t="str">
        <f t="shared" si="4"/>
        <v>ia.assorted_string like '%99821-00311-10-2024%' or</v>
      </c>
    </row>
    <row r="320" spans="1:10" x14ac:dyDescent="0.25">
      <c r="A320" s="18" t="s">
        <v>6208</v>
      </c>
      <c r="B320" t="s">
        <v>6236</v>
      </c>
      <c r="H320">
        <v>99821</v>
      </c>
      <c r="I320" t="s">
        <v>6552</v>
      </c>
      <c r="J320" t="str">
        <f t="shared" si="4"/>
        <v>ia.assorted_string like '%99821-00312-10-2024%' or</v>
      </c>
    </row>
    <row r="321" spans="1:10" x14ac:dyDescent="0.25">
      <c r="A321" s="19" t="s">
        <v>6209</v>
      </c>
      <c r="B321" t="s">
        <v>6236</v>
      </c>
      <c r="H321">
        <v>99821</v>
      </c>
      <c r="I321" t="s">
        <v>6553</v>
      </c>
      <c r="J321" t="str">
        <f t="shared" si="4"/>
        <v>ia.assorted_string like '%99821-00313-10-2024%' or</v>
      </c>
    </row>
    <row r="322" spans="1:10" x14ac:dyDescent="0.25">
      <c r="A322" s="18" t="s">
        <v>6210</v>
      </c>
      <c r="B322" t="s">
        <v>6236</v>
      </c>
      <c r="H322">
        <v>99821</v>
      </c>
      <c r="I322" t="s">
        <v>6554</v>
      </c>
      <c r="J322" t="str">
        <f t="shared" si="4"/>
        <v>ia.assorted_string like '%99821-00334-10-2024%' or</v>
      </c>
    </row>
    <row r="323" spans="1:10" x14ac:dyDescent="0.25">
      <c r="A323" s="19" t="s">
        <v>6211</v>
      </c>
      <c r="B323" t="s">
        <v>6236</v>
      </c>
      <c r="H323">
        <v>99821</v>
      </c>
      <c r="I323" t="s">
        <v>6301</v>
      </c>
      <c r="J323" t="str">
        <f t="shared" ref="J323:J335" si="5">"ia.assorted_string like '%"&amp;H323&amp;"-"&amp;I323&amp;B323&amp;"%' or"</f>
        <v>ia.assorted_string like '%99821-00314-10-2024%' or</v>
      </c>
    </row>
    <row r="324" spans="1:10" x14ac:dyDescent="0.25">
      <c r="A324" s="18" t="s">
        <v>6212</v>
      </c>
      <c r="B324" t="s">
        <v>6236</v>
      </c>
      <c r="H324">
        <v>99821</v>
      </c>
      <c r="I324" t="s">
        <v>6555</v>
      </c>
      <c r="J324" t="str">
        <f t="shared" si="5"/>
        <v>ia.assorted_string like '%99821-00315-10-2024%' or</v>
      </c>
    </row>
    <row r="325" spans="1:10" x14ac:dyDescent="0.25">
      <c r="A325" s="19" t="s">
        <v>6213</v>
      </c>
      <c r="B325" t="s">
        <v>6236</v>
      </c>
      <c r="H325">
        <v>99821</v>
      </c>
      <c r="I325" t="s">
        <v>6556</v>
      </c>
      <c r="J325" t="str">
        <f t="shared" si="5"/>
        <v>ia.assorted_string like '%99821-00333-10-2024%' or</v>
      </c>
    </row>
    <row r="326" spans="1:10" x14ac:dyDescent="0.25">
      <c r="A326" s="18" t="s">
        <v>6214</v>
      </c>
      <c r="B326" t="s">
        <v>6236</v>
      </c>
      <c r="H326">
        <v>99821</v>
      </c>
      <c r="I326" t="s">
        <v>6557</v>
      </c>
      <c r="J326" t="str">
        <f t="shared" si="5"/>
        <v>ia.assorted_string like '%99821-00331-10-2024%' or</v>
      </c>
    </row>
    <row r="327" spans="1:10" x14ac:dyDescent="0.25">
      <c r="A327" s="19" t="s">
        <v>6215</v>
      </c>
      <c r="B327" t="s">
        <v>6236</v>
      </c>
      <c r="H327">
        <v>99821</v>
      </c>
      <c r="I327" t="s">
        <v>6558</v>
      </c>
      <c r="J327" t="str">
        <f t="shared" si="5"/>
        <v>ia.assorted_string like '%99821-00316-10-2024%' or</v>
      </c>
    </row>
    <row r="328" spans="1:10" x14ac:dyDescent="0.25">
      <c r="A328" s="18" t="s">
        <v>6216</v>
      </c>
      <c r="B328" t="s">
        <v>6236</v>
      </c>
      <c r="H328">
        <v>99821</v>
      </c>
      <c r="I328" t="s">
        <v>6559</v>
      </c>
      <c r="J328" t="str">
        <f t="shared" si="5"/>
        <v>ia.assorted_string like '%99821-00317-10-2024%' or</v>
      </c>
    </row>
    <row r="329" spans="1:10" x14ac:dyDescent="0.25">
      <c r="A329" s="19" t="s">
        <v>6217</v>
      </c>
      <c r="B329" t="s">
        <v>6236</v>
      </c>
      <c r="H329">
        <v>99821</v>
      </c>
      <c r="I329" t="s">
        <v>6560</v>
      </c>
      <c r="J329" t="str">
        <f t="shared" si="5"/>
        <v>ia.assorted_string like '%99821-00318-10-2024%' or</v>
      </c>
    </row>
    <row r="330" spans="1:10" x14ac:dyDescent="0.25">
      <c r="A330" s="18" t="s">
        <v>6218</v>
      </c>
      <c r="B330" t="s">
        <v>6236</v>
      </c>
      <c r="H330">
        <v>99821</v>
      </c>
      <c r="I330" t="s">
        <v>6561</v>
      </c>
      <c r="J330" t="str">
        <f t="shared" si="5"/>
        <v>ia.assorted_string like '%99821-00320-10-2024%' or</v>
      </c>
    </row>
    <row r="331" spans="1:10" x14ac:dyDescent="0.25">
      <c r="A331" s="19" t="s">
        <v>6219</v>
      </c>
      <c r="B331" t="s">
        <v>6236</v>
      </c>
      <c r="H331">
        <v>99821</v>
      </c>
      <c r="I331" t="s">
        <v>6562</v>
      </c>
      <c r="J331" t="str">
        <f t="shared" si="5"/>
        <v>ia.assorted_string like '%99821-00321-10-2024%' or</v>
      </c>
    </row>
    <row r="332" spans="1:10" x14ac:dyDescent="0.25">
      <c r="A332" s="18" t="s">
        <v>6220</v>
      </c>
      <c r="B332" t="s">
        <v>6236</v>
      </c>
      <c r="H332">
        <v>99821</v>
      </c>
      <c r="I332" t="s">
        <v>6563</v>
      </c>
      <c r="J332" t="str">
        <f t="shared" si="5"/>
        <v>ia.assorted_string like '%99821-00322-10-2024%' or</v>
      </c>
    </row>
    <row r="333" spans="1:10" x14ac:dyDescent="0.25">
      <c r="A333" s="19" t="s">
        <v>6221</v>
      </c>
      <c r="B333" t="s">
        <v>6236</v>
      </c>
      <c r="H333">
        <v>99821</v>
      </c>
      <c r="I333" t="s">
        <v>6564</v>
      </c>
      <c r="J333" t="str">
        <f t="shared" si="5"/>
        <v>ia.assorted_string like '%99821-00329-10-2024%' or</v>
      </c>
    </row>
    <row r="334" spans="1:10" x14ac:dyDescent="0.25">
      <c r="A334" s="18" t="s">
        <v>6222</v>
      </c>
      <c r="B334" t="s">
        <v>6236</v>
      </c>
      <c r="H334">
        <v>99821</v>
      </c>
      <c r="I334" t="s">
        <v>6565</v>
      </c>
      <c r="J334" t="str">
        <f t="shared" si="5"/>
        <v>ia.assorted_string like '%99821-00323-10-2024%' or</v>
      </c>
    </row>
    <row r="335" spans="1:10" x14ac:dyDescent="0.25">
      <c r="A335" s="19" t="s">
        <v>6223</v>
      </c>
      <c r="B335" t="s">
        <v>6236</v>
      </c>
      <c r="H335">
        <v>99821</v>
      </c>
      <c r="I335" t="s">
        <v>6566</v>
      </c>
      <c r="J335" t="str">
        <f t="shared" si="5"/>
        <v>ia.assorted_string like '%99821-00327-10-2024%' or</v>
      </c>
    </row>
  </sheetData>
  <autoFilter ref="H1:H335" xr:uid="{CFCADD27-9727-4796-ADBC-059D730E0674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DD16A-F668-4A58-8670-6045DABAA6DC}">
  <dimension ref="A1:C335"/>
  <sheetViews>
    <sheetView workbookViewId="0">
      <selection activeCell="D12" sqref="D12"/>
    </sheetView>
  </sheetViews>
  <sheetFormatPr defaultColWidth="7.85546875" defaultRowHeight="15" x14ac:dyDescent="0.25"/>
  <cols>
    <col min="1" max="1" width="3.140625" customWidth="1"/>
    <col min="2" max="2" width="43.28515625" bestFit="1" customWidth="1"/>
    <col min="3" max="3" width="13.85546875" customWidth="1"/>
  </cols>
  <sheetData>
    <row r="1" spans="1:3" s="22" customFormat="1" ht="12" x14ac:dyDescent="0.2">
      <c r="A1" s="22" t="s">
        <v>6567</v>
      </c>
      <c r="B1" s="22" t="s">
        <v>6568</v>
      </c>
      <c r="C1" s="22" t="s">
        <v>6569</v>
      </c>
    </row>
    <row r="2" spans="1:3" x14ac:dyDescent="0.25">
      <c r="A2">
        <v>1</v>
      </c>
      <c r="B2" t="s">
        <v>6196</v>
      </c>
      <c r="C2" t="s">
        <v>6570</v>
      </c>
    </row>
    <row r="3" spans="1:3" x14ac:dyDescent="0.25">
      <c r="A3">
        <v>2</v>
      </c>
      <c r="B3" t="s">
        <v>6200</v>
      </c>
      <c r="C3" t="s">
        <v>6571</v>
      </c>
    </row>
    <row r="4" spans="1:3" x14ac:dyDescent="0.25">
      <c r="A4">
        <v>3</v>
      </c>
      <c r="B4" t="s">
        <v>6203</v>
      </c>
      <c r="C4" t="s">
        <v>6572</v>
      </c>
    </row>
    <row r="5" spans="1:3" x14ac:dyDescent="0.25">
      <c r="A5">
        <v>4</v>
      </c>
      <c r="B5" t="s">
        <v>6117</v>
      </c>
      <c r="C5" t="s">
        <v>6573</v>
      </c>
    </row>
    <row r="6" spans="1:3" x14ac:dyDescent="0.25">
      <c r="A6">
        <v>5</v>
      </c>
      <c r="B6" t="s">
        <v>6214</v>
      </c>
      <c r="C6" t="s">
        <v>6574</v>
      </c>
    </row>
    <row r="7" spans="1:3" x14ac:dyDescent="0.25">
      <c r="A7">
        <v>6</v>
      </c>
      <c r="B7" t="s">
        <v>5996</v>
      </c>
      <c r="C7" t="s">
        <v>6575</v>
      </c>
    </row>
    <row r="8" spans="1:3" x14ac:dyDescent="0.25">
      <c r="A8">
        <v>7</v>
      </c>
      <c r="B8" t="s">
        <v>5933</v>
      </c>
      <c r="C8" t="s">
        <v>6576</v>
      </c>
    </row>
    <row r="9" spans="1:3" x14ac:dyDescent="0.25">
      <c r="A9">
        <v>8</v>
      </c>
      <c r="B9" t="s">
        <v>5958</v>
      </c>
      <c r="C9" t="s">
        <v>6577</v>
      </c>
    </row>
    <row r="10" spans="1:3" x14ac:dyDescent="0.25">
      <c r="A10">
        <v>9</v>
      </c>
      <c r="B10" t="s">
        <v>6074</v>
      </c>
      <c r="C10" t="s">
        <v>6578</v>
      </c>
    </row>
    <row r="11" spans="1:3" x14ac:dyDescent="0.25">
      <c r="A11">
        <v>10</v>
      </c>
      <c r="B11" t="s">
        <v>6031</v>
      </c>
      <c r="C11" t="s">
        <v>6579</v>
      </c>
    </row>
    <row r="12" spans="1:3" x14ac:dyDescent="0.25">
      <c r="A12">
        <v>11</v>
      </c>
      <c r="B12" t="s">
        <v>5954</v>
      </c>
      <c r="C12" t="s">
        <v>6580</v>
      </c>
    </row>
    <row r="13" spans="1:3" x14ac:dyDescent="0.25">
      <c r="A13">
        <v>12</v>
      </c>
      <c r="B13" t="s">
        <v>6040</v>
      </c>
      <c r="C13" t="s">
        <v>6581</v>
      </c>
    </row>
    <row r="14" spans="1:3" x14ac:dyDescent="0.25">
      <c r="A14">
        <v>13</v>
      </c>
      <c r="B14" t="s">
        <v>5955</v>
      </c>
      <c r="C14" t="s">
        <v>6582</v>
      </c>
    </row>
    <row r="15" spans="1:3" x14ac:dyDescent="0.25">
      <c r="A15">
        <v>14</v>
      </c>
      <c r="B15" t="s">
        <v>6041</v>
      </c>
      <c r="C15" t="s">
        <v>6583</v>
      </c>
    </row>
    <row r="16" spans="1:3" x14ac:dyDescent="0.25">
      <c r="A16">
        <v>15</v>
      </c>
      <c r="B16" t="s">
        <v>6042</v>
      </c>
      <c r="C16" t="s">
        <v>6584</v>
      </c>
    </row>
    <row r="17" spans="1:3" x14ac:dyDescent="0.25">
      <c r="A17">
        <v>16</v>
      </c>
      <c r="B17" t="s">
        <v>6043</v>
      </c>
      <c r="C17" t="s">
        <v>6585</v>
      </c>
    </row>
    <row r="18" spans="1:3" x14ac:dyDescent="0.25">
      <c r="A18">
        <v>17</v>
      </c>
      <c r="B18" t="s">
        <v>6044</v>
      </c>
      <c r="C18" t="s">
        <v>6586</v>
      </c>
    </row>
    <row r="19" spans="1:3" x14ac:dyDescent="0.25">
      <c r="A19">
        <v>18</v>
      </c>
      <c r="B19" t="s">
        <v>6046</v>
      </c>
      <c r="C19" t="s">
        <v>6587</v>
      </c>
    </row>
    <row r="20" spans="1:3" x14ac:dyDescent="0.25">
      <c r="A20">
        <v>19</v>
      </c>
      <c r="B20" t="s">
        <v>6049</v>
      </c>
      <c r="C20" t="s">
        <v>6588</v>
      </c>
    </row>
    <row r="21" spans="1:3" x14ac:dyDescent="0.25">
      <c r="A21">
        <v>20</v>
      </c>
      <c r="B21" t="s">
        <v>6051</v>
      </c>
      <c r="C21" t="s">
        <v>6589</v>
      </c>
    </row>
    <row r="22" spans="1:3" x14ac:dyDescent="0.25">
      <c r="A22">
        <v>21</v>
      </c>
      <c r="B22" t="s">
        <v>6052</v>
      </c>
      <c r="C22" t="s">
        <v>6590</v>
      </c>
    </row>
    <row r="23" spans="1:3" x14ac:dyDescent="0.25">
      <c r="A23">
        <v>22</v>
      </c>
      <c r="B23" t="s">
        <v>5957</v>
      </c>
      <c r="C23" t="s">
        <v>6591</v>
      </c>
    </row>
    <row r="24" spans="1:3" x14ac:dyDescent="0.25">
      <c r="A24">
        <v>23</v>
      </c>
      <c r="B24" t="s">
        <v>5959</v>
      </c>
      <c r="C24" t="s">
        <v>6592</v>
      </c>
    </row>
    <row r="25" spans="1:3" x14ac:dyDescent="0.25">
      <c r="A25">
        <v>24</v>
      </c>
      <c r="B25" t="s">
        <v>6053</v>
      </c>
      <c r="C25" t="s">
        <v>6593</v>
      </c>
    </row>
    <row r="26" spans="1:3" x14ac:dyDescent="0.25">
      <c r="A26">
        <v>25</v>
      </c>
      <c r="B26" t="s">
        <v>5960</v>
      </c>
      <c r="C26" t="s">
        <v>6594</v>
      </c>
    </row>
    <row r="27" spans="1:3" x14ac:dyDescent="0.25">
      <c r="A27">
        <v>26</v>
      </c>
      <c r="B27" t="s">
        <v>5962</v>
      </c>
      <c r="C27" t="s">
        <v>6595</v>
      </c>
    </row>
    <row r="28" spans="1:3" x14ac:dyDescent="0.25">
      <c r="A28">
        <v>27</v>
      </c>
      <c r="B28" t="s">
        <v>5963</v>
      </c>
      <c r="C28" t="s">
        <v>6596</v>
      </c>
    </row>
    <row r="29" spans="1:3" x14ac:dyDescent="0.25">
      <c r="A29">
        <v>28</v>
      </c>
      <c r="B29" t="s">
        <v>6054</v>
      </c>
      <c r="C29" t="s">
        <v>6597</v>
      </c>
    </row>
    <row r="30" spans="1:3" x14ac:dyDescent="0.25">
      <c r="A30">
        <v>29</v>
      </c>
      <c r="B30" t="s">
        <v>5966</v>
      </c>
      <c r="C30" t="s">
        <v>6598</v>
      </c>
    </row>
    <row r="31" spans="1:3" x14ac:dyDescent="0.25">
      <c r="A31">
        <v>30</v>
      </c>
      <c r="B31" t="s">
        <v>5967</v>
      </c>
      <c r="C31" t="s">
        <v>6599</v>
      </c>
    </row>
    <row r="32" spans="1:3" x14ac:dyDescent="0.25">
      <c r="A32">
        <v>31</v>
      </c>
      <c r="B32" t="s">
        <v>5968</v>
      </c>
      <c r="C32" t="s">
        <v>6600</v>
      </c>
    </row>
    <row r="33" spans="1:3" x14ac:dyDescent="0.25">
      <c r="A33">
        <v>32</v>
      </c>
      <c r="B33" t="s">
        <v>5969</v>
      </c>
      <c r="C33" t="s">
        <v>6601</v>
      </c>
    </row>
    <row r="34" spans="1:3" x14ac:dyDescent="0.25">
      <c r="A34">
        <v>33</v>
      </c>
      <c r="B34" t="s">
        <v>6059</v>
      </c>
      <c r="C34" t="s">
        <v>6602</v>
      </c>
    </row>
    <row r="35" spans="1:3" x14ac:dyDescent="0.25">
      <c r="A35">
        <v>34</v>
      </c>
      <c r="B35" t="s">
        <v>6061</v>
      </c>
      <c r="C35" t="s">
        <v>6603</v>
      </c>
    </row>
    <row r="36" spans="1:3" x14ac:dyDescent="0.25">
      <c r="A36">
        <v>35</v>
      </c>
      <c r="B36" t="s">
        <v>6065</v>
      </c>
      <c r="C36" t="s">
        <v>6604</v>
      </c>
    </row>
    <row r="37" spans="1:3" x14ac:dyDescent="0.25">
      <c r="A37">
        <v>36</v>
      </c>
      <c r="B37" t="s">
        <v>5978</v>
      </c>
      <c r="C37" t="s">
        <v>6605</v>
      </c>
    </row>
    <row r="38" spans="1:3" x14ac:dyDescent="0.25">
      <c r="A38">
        <v>37</v>
      </c>
      <c r="B38" t="s">
        <v>6069</v>
      </c>
      <c r="C38" t="s">
        <v>6606</v>
      </c>
    </row>
    <row r="39" spans="1:3" x14ac:dyDescent="0.25">
      <c r="A39">
        <v>38</v>
      </c>
      <c r="B39" t="s">
        <v>5980</v>
      </c>
      <c r="C39" t="s">
        <v>6607</v>
      </c>
    </row>
    <row r="40" spans="1:3" x14ac:dyDescent="0.25">
      <c r="A40">
        <v>39</v>
      </c>
      <c r="B40" t="s">
        <v>6070</v>
      </c>
      <c r="C40" t="s">
        <v>6608</v>
      </c>
    </row>
    <row r="41" spans="1:3" x14ac:dyDescent="0.25">
      <c r="A41">
        <v>40</v>
      </c>
      <c r="B41" t="s">
        <v>6071</v>
      </c>
      <c r="C41" t="s">
        <v>6609</v>
      </c>
    </row>
    <row r="42" spans="1:3" x14ac:dyDescent="0.25">
      <c r="A42">
        <v>41</v>
      </c>
      <c r="B42" t="s">
        <v>6072</v>
      </c>
      <c r="C42" t="s">
        <v>6610</v>
      </c>
    </row>
    <row r="43" spans="1:3" x14ac:dyDescent="0.25">
      <c r="A43">
        <v>42</v>
      </c>
      <c r="B43" t="s">
        <v>5987</v>
      </c>
      <c r="C43" t="s">
        <v>6611</v>
      </c>
    </row>
    <row r="44" spans="1:3" x14ac:dyDescent="0.25">
      <c r="A44">
        <v>43</v>
      </c>
      <c r="B44" t="s">
        <v>6073</v>
      </c>
      <c r="C44" t="s">
        <v>6612</v>
      </c>
    </row>
    <row r="45" spans="1:3" x14ac:dyDescent="0.25">
      <c r="A45">
        <v>44</v>
      </c>
      <c r="B45" t="s">
        <v>5991</v>
      </c>
      <c r="C45" t="s">
        <v>6613</v>
      </c>
    </row>
    <row r="46" spans="1:3" x14ac:dyDescent="0.25">
      <c r="A46">
        <v>45</v>
      </c>
      <c r="B46" t="s">
        <v>5965</v>
      </c>
      <c r="C46" t="s">
        <v>6614</v>
      </c>
    </row>
    <row r="47" spans="1:3" x14ac:dyDescent="0.25">
      <c r="A47">
        <v>46</v>
      </c>
      <c r="B47" t="s">
        <v>6075</v>
      </c>
      <c r="C47" t="s">
        <v>6615</v>
      </c>
    </row>
    <row r="48" spans="1:3" x14ac:dyDescent="0.25">
      <c r="A48">
        <v>47</v>
      </c>
      <c r="B48" t="s">
        <v>6078</v>
      </c>
      <c r="C48" t="s">
        <v>6616</v>
      </c>
    </row>
    <row r="49" spans="1:3" x14ac:dyDescent="0.25">
      <c r="A49">
        <v>48</v>
      </c>
      <c r="B49" t="s">
        <v>6079</v>
      </c>
      <c r="C49" t="s">
        <v>6617</v>
      </c>
    </row>
    <row r="50" spans="1:3" x14ac:dyDescent="0.25">
      <c r="A50">
        <v>49</v>
      </c>
      <c r="B50" t="s">
        <v>6080</v>
      </c>
      <c r="C50" t="s">
        <v>6618</v>
      </c>
    </row>
    <row r="51" spans="1:3" x14ac:dyDescent="0.25">
      <c r="A51">
        <v>50</v>
      </c>
      <c r="B51" t="s">
        <v>6081</v>
      </c>
      <c r="C51" t="s">
        <v>6619</v>
      </c>
    </row>
    <row r="52" spans="1:3" x14ac:dyDescent="0.25">
      <c r="A52">
        <v>51</v>
      </c>
      <c r="B52" t="s">
        <v>5998</v>
      </c>
      <c r="C52" t="s">
        <v>6620</v>
      </c>
    </row>
    <row r="53" spans="1:3" x14ac:dyDescent="0.25">
      <c r="A53">
        <v>52</v>
      </c>
      <c r="B53" t="s">
        <v>6082</v>
      </c>
      <c r="C53" t="s">
        <v>6621</v>
      </c>
    </row>
    <row r="54" spans="1:3" x14ac:dyDescent="0.25">
      <c r="A54">
        <v>53</v>
      </c>
      <c r="B54" t="s">
        <v>6002</v>
      </c>
      <c r="C54" t="s">
        <v>6622</v>
      </c>
    </row>
    <row r="55" spans="1:3" x14ac:dyDescent="0.25">
      <c r="A55">
        <v>54</v>
      </c>
      <c r="B55" t="s">
        <v>6004</v>
      </c>
      <c r="C55" t="s">
        <v>6623</v>
      </c>
    </row>
    <row r="56" spans="1:3" x14ac:dyDescent="0.25">
      <c r="A56">
        <v>55</v>
      </c>
      <c r="B56" t="s">
        <v>6005</v>
      </c>
      <c r="C56" t="s">
        <v>6624</v>
      </c>
    </row>
    <row r="57" spans="1:3" x14ac:dyDescent="0.25">
      <c r="A57">
        <v>56</v>
      </c>
      <c r="B57" t="s">
        <v>6008</v>
      </c>
      <c r="C57" t="s">
        <v>6625</v>
      </c>
    </row>
    <row r="58" spans="1:3" x14ac:dyDescent="0.25">
      <c r="A58">
        <v>57</v>
      </c>
      <c r="B58" t="s">
        <v>6085</v>
      </c>
      <c r="C58" t="s">
        <v>6626</v>
      </c>
    </row>
    <row r="59" spans="1:3" x14ac:dyDescent="0.25">
      <c r="A59">
        <v>58</v>
      </c>
      <c r="B59" t="s">
        <v>6086</v>
      </c>
      <c r="C59" t="s">
        <v>6627</v>
      </c>
    </row>
    <row r="60" spans="1:3" x14ac:dyDescent="0.25">
      <c r="A60">
        <v>59</v>
      </c>
      <c r="B60" t="s">
        <v>6087</v>
      </c>
      <c r="C60" t="s">
        <v>6628</v>
      </c>
    </row>
    <row r="61" spans="1:3" x14ac:dyDescent="0.25">
      <c r="A61">
        <v>60</v>
      </c>
      <c r="B61" t="s">
        <v>6099</v>
      </c>
      <c r="C61" t="s">
        <v>6629</v>
      </c>
    </row>
    <row r="62" spans="1:3" x14ac:dyDescent="0.25">
      <c r="A62">
        <v>61</v>
      </c>
      <c r="B62" t="s">
        <v>6021</v>
      </c>
      <c r="C62" t="s">
        <v>6630</v>
      </c>
    </row>
    <row r="63" spans="1:3" x14ac:dyDescent="0.25">
      <c r="A63">
        <v>62</v>
      </c>
      <c r="B63" t="s">
        <v>5901</v>
      </c>
      <c r="C63" t="s">
        <v>6631</v>
      </c>
    </row>
    <row r="64" spans="1:3" x14ac:dyDescent="0.25">
      <c r="A64">
        <v>63</v>
      </c>
      <c r="B64" t="s">
        <v>5905</v>
      </c>
      <c r="C64" t="s">
        <v>6632</v>
      </c>
    </row>
    <row r="65" spans="1:3" x14ac:dyDescent="0.25">
      <c r="A65">
        <v>64</v>
      </c>
      <c r="B65" t="s">
        <v>6022</v>
      </c>
      <c r="C65" t="s">
        <v>6633</v>
      </c>
    </row>
    <row r="66" spans="1:3" x14ac:dyDescent="0.25">
      <c r="A66">
        <v>65</v>
      </c>
      <c r="B66" t="s">
        <v>6023</v>
      </c>
      <c r="C66" t="s">
        <v>6634</v>
      </c>
    </row>
    <row r="67" spans="1:3" x14ac:dyDescent="0.25">
      <c r="A67">
        <v>66</v>
      </c>
      <c r="B67" t="s">
        <v>6101</v>
      </c>
      <c r="C67" t="s">
        <v>6635</v>
      </c>
    </row>
    <row r="68" spans="1:3" x14ac:dyDescent="0.25">
      <c r="A68">
        <v>67</v>
      </c>
      <c r="B68" t="s">
        <v>6102</v>
      </c>
      <c r="C68" t="s">
        <v>6636</v>
      </c>
    </row>
    <row r="69" spans="1:3" x14ac:dyDescent="0.25">
      <c r="A69">
        <v>68</v>
      </c>
      <c r="B69" t="s">
        <v>6026</v>
      </c>
      <c r="C69" t="s">
        <v>6637</v>
      </c>
    </row>
    <row r="70" spans="1:3" x14ac:dyDescent="0.25">
      <c r="A70">
        <v>69</v>
      </c>
      <c r="B70" t="s">
        <v>6103</v>
      </c>
      <c r="C70" t="s">
        <v>6638</v>
      </c>
    </row>
    <row r="71" spans="1:3" x14ac:dyDescent="0.25">
      <c r="A71">
        <v>70</v>
      </c>
      <c r="B71" t="s">
        <v>6104</v>
      </c>
      <c r="C71" t="s">
        <v>6639</v>
      </c>
    </row>
    <row r="72" spans="1:3" x14ac:dyDescent="0.25">
      <c r="A72">
        <v>71</v>
      </c>
      <c r="B72" t="s">
        <v>6105</v>
      </c>
      <c r="C72" t="s">
        <v>6640</v>
      </c>
    </row>
    <row r="73" spans="1:3" x14ac:dyDescent="0.25">
      <c r="A73">
        <v>72</v>
      </c>
      <c r="B73" t="s">
        <v>6029</v>
      </c>
      <c r="C73" t="s">
        <v>6641</v>
      </c>
    </row>
    <row r="74" spans="1:3" x14ac:dyDescent="0.25">
      <c r="A74">
        <v>73</v>
      </c>
      <c r="B74" t="s">
        <v>6106</v>
      </c>
      <c r="C74" t="s">
        <v>6642</v>
      </c>
    </row>
    <row r="75" spans="1:3" x14ac:dyDescent="0.25">
      <c r="A75">
        <v>74</v>
      </c>
      <c r="B75" t="s">
        <v>6114</v>
      </c>
      <c r="C75" t="s">
        <v>6643</v>
      </c>
    </row>
    <row r="76" spans="1:3" x14ac:dyDescent="0.25">
      <c r="A76">
        <v>75</v>
      </c>
      <c r="B76" t="s">
        <v>6118</v>
      </c>
      <c r="C76" t="s">
        <v>6644</v>
      </c>
    </row>
    <row r="77" spans="1:3" x14ac:dyDescent="0.25">
      <c r="A77">
        <v>76</v>
      </c>
      <c r="B77" t="s">
        <v>6121</v>
      </c>
      <c r="C77" t="s">
        <v>6645</v>
      </c>
    </row>
    <row r="78" spans="1:3" x14ac:dyDescent="0.25">
      <c r="A78">
        <v>77</v>
      </c>
      <c r="B78" t="s">
        <v>6122</v>
      </c>
      <c r="C78" t="s">
        <v>6646</v>
      </c>
    </row>
    <row r="79" spans="1:3" x14ac:dyDescent="0.25">
      <c r="A79">
        <v>78</v>
      </c>
      <c r="B79" t="s">
        <v>6124</v>
      </c>
      <c r="C79" t="s">
        <v>6647</v>
      </c>
    </row>
    <row r="80" spans="1:3" x14ac:dyDescent="0.25">
      <c r="A80">
        <v>79</v>
      </c>
      <c r="B80" t="s">
        <v>6125</v>
      </c>
      <c r="C80" t="s">
        <v>6648</v>
      </c>
    </row>
    <row r="81" spans="1:3" x14ac:dyDescent="0.25">
      <c r="A81">
        <v>80</v>
      </c>
      <c r="B81" t="s">
        <v>6127</v>
      </c>
      <c r="C81" t="s">
        <v>6649</v>
      </c>
    </row>
    <row r="82" spans="1:3" x14ac:dyDescent="0.25">
      <c r="A82">
        <v>81</v>
      </c>
      <c r="B82" t="s">
        <v>6048</v>
      </c>
      <c r="C82" t="s">
        <v>6650</v>
      </c>
    </row>
    <row r="83" spans="1:3" x14ac:dyDescent="0.25">
      <c r="A83">
        <v>82</v>
      </c>
      <c r="B83" t="s">
        <v>6128</v>
      </c>
      <c r="C83" t="s">
        <v>6651</v>
      </c>
    </row>
    <row r="84" spans="1:3" x14ac:dyDescent="0.25">
      <c r="A84">
        <v>83</v>
      </c>
      <c r="B84" t="s">
        <v>6050</v>
      </c>
      <c r="C84" t="s">
        <v>6652</v>
      </c>
    </row>
    <row r="85" spans="1:3" x14ac:dyDescent="0.25">
      <c r="A85">
        <v>84</v>
      </c>
      <c r="B85" t="s">
        <v>6129</v>
      </c>
      <c r="C85" t="s">
        <v>6653</v>
      </c>
    </row>
    <row r="86" spans="1:3" x14ac:dyDescent="0.25">
      <c r="A86">
        <v>85</v>
      </c>
      <c r="B86" t="s">
        <v>6133</v>
      </c>
      <c r="C86" t="s">
        <v>6654</v>
      </c>
    </row>
    <row r="87" spans="1:3" x14ac:dyDescent="0.25">
      <c r="A87">
        <v>86</v>
      </c>
      <c r="B87" t="s">
        <v>6135</v>
      </c>
      <c r="C87" t="s">
        <v>6655</v>
      </c>
    </row>
    <row r="88" spans="1:3" x14ac:dyDescent="0.25">
      <c r="A88">
        <v>87</v>
      </c>
      <c r="B88" t="s">
        <v>6137</v>
      </c>
      <c r="C88" t="s">
        <v>6656</v>
      </c>
    </row>
    <row r="89" spans="1:3" x14ac:dyDescent="0.25">
      <c r="A89">
        <v>88</v>
      </c>
      <c r="B89" t="s">
        <v>6055</v>
      </c>
      <c r="C89" t="s">
        <v>6657</v>
      </c>
    </row>
    <row r="90" spans="1:3" x14ac:dyDescent="0.25">
      <c r="A90">
        <v>89</v>
      </c>
      <c r="B90" t="s">
        <v>6057</v>
      </c>
      <c r="C90" t="s">
        <v>6658</v>
      </c>
    </row>
    <row r="91" spans="1:3" x14ac:dyDescent="0.25">
      <c r="A91">
        <v>90</v>
      </c>
      <c r="B91" t="s">
        <v>6058</v>
      </c>
      <c r="C91" t="s">
        <v>6659</v>
      </c>
    </row>
    <row r="92" spans="1:3" x14ac:dyDescent="0.25">
      <c r="A92">
        <v>91</v>
      </c>
      <c r="B92" t="s">
        <v>6139</v>
      </c>
      <c r="C92" t="s">
        <v>6660</v>
      </c>
    </row>
    <row r="93" spans="1:3" x14ac:dyDescent="0.25">
      <c r="A93">
        <v>92</v>
      </c>
      <c r="B93" t="s">
        <v>6060</v>
      </c>
      <c r="C93" t="s">
        <v>6661</v>
      </c>
    </row>
    <row r="94" spans="1:3" x14ac:dyDescent="0.25">
      <c r="A94">
        <v>93</v>
      </c>
      <c r="B94" t="s">
        <v>6140</v>
      </c>
      <c r="C94" t="s">
        <v>6662</v>
      </c>
    </row>
    <row r="95" spans="1:3" x14ac:dyDescent="0.25">
      <c r="A95">
        <v>94</v>
      </c>
      <c r="B95" t="s">
        <v>6063</v>
      </c>
      <c r="C95" t="s">
        <v>6663</v>
      </c>
    </row>
    <row r="96" spans="1:3" x14ac:dyDescent="0.25">
      <c r="A96">
        <v>95</v>
      </c>
      <c r="B96" t="s">
        <v>6064</v>
      </c>
      <c r="C96" t="s">
        <v>6664</v>
      </c>
    </row>
    <row r="97" spans="1:3" x14ac:dyDescent="0.25">
      <c r="A97">
        <v>96</v>
      </c>
      <c r="B97" t="s">
        <v>6145</v>
      </c>
      <c r="C97" t="s">
        <v>6665</v>
      </c>
    </row>
    <row r="98" spans="1:3" x14ac:dyDescent="0.25">
      <c r="A98">
        <v>97</v>
      </c>
      <c r="B98" t="s">
        <v>6146</v>
      </c>
      <c r="C98" t="s">
        <v>6666</v>
      </c>
    </row>
    <row r="99" spans="1:3" x14ac:dyDescent="0.25">
      <c r="A99">
        <v>98</v>
      </c>
      <c r="B99" t="s">
        <v>6150</v>
      </c>
      <c r="C99" t="s">
        <v>6667</v>
      </c>
    </row>
    <row r="100" spans="1:3" x14ac:dyDescent="0.25">
      <c r="A100">
        <v>99</v>
      </c>
      <c r="B100" t="s">
        <v>6068</v>
      </c>
      <c r="C100" t="s">
        <v>6668</v>
      </c>
    </row>
    <row r="101" spans="1:3" x14ac:dyDescent="0.25">
      <c r="A101">
        <v>100</v>
      </c>
      <c r="B101" t="s">
        <v>6151</v>
      </c>
      <c r="C101" t="s">
        <v>6669</v>
      </c>
    </row>
    <row r="102" spans="1:3" x14ac:dyDescent="0.25">
      <c r="A102">
        <v>101</v>
      </c>
      <c r="B102" t="s">
        <v>6167</v>
      </c>
      <c r="C102" t="s">
        <v>6670</v>
      </c>
    </row>
    <row r="103" spans="1:3" x14ac:dyDescent="0.25">
      <c r="A103">
        <v>102</v>
      </c>
      <c r="B103" t="s">
        <v>6170</v>
      </c>
      <c r="C103" t="s">
        <v>6671</v>
      </c>
    </row>
    <row r="104" spans="1:3" x14ac:dyDescent="0.25">
      <c r="A104">
        <v>103</v>
      </c>
      <c r="B104" t="s">
        <v>6172</v>
      </c>
      <c r="C104" t="s">
        <v>6672</v>
      </c>
    </row>
    <row r="105" spans="1:3" x14ac:dyDescent="0.25">
      <c r="A105">
        <v>104</v>
      </c>
      <c r="B105" t="s">
        <v>6175</v>
      </c>
      <c r="C105" t="s">
        <v>6673</v>
      </c>
    </row>
    <row r="106" spans="1:3" x14ac:dyDescent="0.25">
      <c r="A106">
        <v>105</v>
      </c>
      <c r="B106" t="s">
        <v>6176</v>
      </c>
      <c r="C106" t="s">
        <v>6674</v>
      </c>
    </row>
    <row r="107" spans="1:3" x14ac:dyDescent="0.25">
      <c r="A107">
        <v>106</v>
      </c>
      <c r="B107" t="s">
        <v>6177</v>
      </c>
      <c r="C107" t="s">
        <v>6675</v>
      </c>
    </row>
    <row r="108" spans="1:3" x14ac:dyDescent="0.25">
      <c r="A108">
        <v>107</v>
      </c>
      <c r="B108" t="s">
        <v>6084</v>
      </c>
      <c r="C108" t="s">
        <v>6676</v>
      </c>
    </row>
    <row r="109" spans="1:3" x14ac:dyDescent="0.25">
      <c r="A109">
        <v>108</v>
      </c>
      <c r="B109" t="s">
        <v>6180</v>
      </c>
      <c r="C109" t="s">
        <v>6677</v>
      </c>
    </row>
    <row r="110" spans="1:3" x14ac:dyDescent="0.25">
      <c r="A110">
        <v>109</v>
      </c>
      <c r="B110" t="s">
        <v>6181</v>
      </c>
      <c r="C110" t="s">
        <v>6678</v>
      </c>
    </row>
    <row r="111" spans="1:3" x14ac:dyDescent="0.25">
      <c r="A111">
        <v>110</v>
      </c>
      <c r="B111" t="s">
        <v>6182</v>
      </c>
      <c r="C111" t="s">
        <v>6679</v>
      </c>
    </row>
    <row r="112" spans="1:3" x14ac:dyDescent="0.25">
      <c r="A112">
        <v>111</v>
      </c>
      <c r="B112" t="s">
        <v>6088</v>
      </c>
      <c r="C112" t="s">
        <v>6680</v>
      </c>
    </row>
    <row r="113" spans="1:3" x14ac:dyDescent="0.25">
      <c r="A113">
        <v>112</v>
      </c>
      <c r="B113" t="s">
        <v>6089</v>
      </c>
      <c r="C113" t="s">
        <v>6681</v>
      </c>
    </row>
    <row r="114" spans="1:3" x14ac:dyDescent="0.25">
      <c r="A114">
        <v>113</v>
      </c>
      <c r="B114" t="s">
        <v>6091</v>
      </c>
      <c r="C114" t="s">
        <v>6682</v>
      </c>
    </row>
    <row r="115" spans="1:3" x14ac:dyDescent="0.25">
      <c r="A115">
        <v>114</v>
      </c>
      <c r="B115" t="s">
        <v>6092</v>
      </c>
      <c r="C115" t="s">
        <v>6683</v>
      </c>
    </row>
    <row r="116" spans="1:3" x14ac:dyDescent="0.25">
      <c r="A116">
        <v>115</v>
      </c>
      <c r="B116" t="s">
        <v>6093</v>
      </c>
      <c r="C116" t="s">
        <v>6684</v>
      </c>
    </row>
    <row r="117" spans="1:3" x14ac:dyDescent="0.25">
      <c r="A117">
        <v>116</v>
      </c>
      <c r="B117" t="s">
        <v>6152</v>
      </c>
      <c r="C117" t="s">
        <v>6685</v>
      </c>
    </row>
    <row r="118" spans="1:3" x14ac:dyDescent="0.25">
      <c r="A118">
        <v>117</v>
      </c>
      <c r="B118" t="s">
        <v>6153</v>
      </c>
      <c r="C118" t="s">
        <v>6686</v>
      </c>
    </row>
    <row r="119" spans="1:3" x14ac:dyDescent="0.25">
      <c r="A119">
        <v>118</v>
      </c>
      <c r="B119" t="s">
        <v>6154</v>
      </c>
      <c r="C119" t="s">
        <v>6687</v>
      </c>
    </row>
    <row r="120" spans="1:3" x14ac:dyDescent="0.25">
      <c r="A120">
        <v>119</v>
      </c>
      <c r="B120" t="s">
        <v>6155</v>
      </c>
      <c r="C120" t="s">
        <v>6688</v>
      </c>
    </row>
    <row r="121" spans="1:3" x14ac:dyDescent="0.25">
      <c r="A121">
        <v>120</v>
      </c>
      <c r="B121" t="s">
        <v>6156</v>
      </c>
      <c r="C121" t="s">
        <v>6689</v>
      </c>
    </row>
    <row r="122" spans="1:3" x14ac:dyDescent="0.25">
      <c r="A122">
        <v>121</v>
      </c>
      <c r="B122" t="s">
        <v>6157</v>
      </c>
      <c r="C122" t="s">
        <v>6690</v>
      </c>
    </row>
    <row r="123" spans="1:3" x14ac:dyDescent="0.25">
      <c r="A123">
        <v>122</v>
      </c>
      <c r="B123" t="s">
        <v>6159</v>
      </c>
      <c r="C123" t="s">
        <v>6691</v>
      </c>
    </row>
    <row r="124" spans="1:3" x14ac:dyDescent="0.25">
      <c r="A124">
        <v>123</v>
      </c>
      <c r="B124" t="s">
        <v>6076</v>
      </c>
      <c r="C124" t="s">
        <v>6692</v>
      </c>
    </row>
    <row r="125" spans="1:3" x14ac:dyDescent="0.25">
      <c r="A125">
        <v>124</v>
      </c>
      <c r="B125" t="s">
        <v>6077</v>
      </c>
      <c r="C125" t="s">
        <v>6693</v>
      </c>
    </row>
    <row r="126" spans="1:3" x14ac:dyDescent="0.25">
      <c r="A126">
        <v>125</v>
      </c>
      <c r="B126" t="s">
        <v>6162</v>
      </c>
      <c r="C126" t="s">
        <v>6694</v>
      </c>
    </row>
    <row r="127" spans="1:3" x14ac:dyDescent="0.25">
      <c r="A127">
        <v>126</v>
      </c>
      <c r="B127" t="s">
        <v>6184</v>
      </c>
      <c r="C127" t="s">
        <v>6695</v>
      </c>
    </row>
    <row r="128" spans="1:3" x14ac:dyDescent="0.25">
      <c r="A128">
        <v>127</v>
      </c>
      <c r="B128" t="s">
        <v>6186</v>
      </c>
      <c r="C128" t="s">
        <v>6696</v>
      </c>
    </row>
    <row r="129" spans="1:3" x14ac:dyDescent="0.25">
      <c r="A129">
        <v>128</v>
      </c>
      <c r="B129" t="s">
        <v>6187</v>
      </c>
      <c r="C129" t="s">
        <v>6697</v>
      </c>
    </row>
    <row r="130" spans="1:3" x14ac:dyDescent="0.25">
      <c r="A130">
        <v>129</v>
      </c>
      <c r="B130" t="s">
        <v>6188</v>
      </c>
      <c r="C130" t="s">
        <v>6698</v>
      </c>
    </row>
    <row r="131" spans="1:3" x14ac:dyDescent="0.25">
      <c r="A131">
        <v>130</v>
      </c>
      <c r="B131" t="s">
        <v>6097</v>
      </c>
      <c r="C131" t="s">
        <v>6699</v>
      </c>
    </row>
    <row r="132" spans="1:3" x14ac:dyDescent="0.25">
      <c r="A132">
        <v>131</v>
      </c>
      <c r="B132" t="s">
        <v>6098</v>
      </c>
      <c r="C132" t="s">
        <v>6700</v>
      </c>
    </row>
    <row r="133" spans="1:3" x14ac:dyDescent="0.25">
      <c r="A133">
        <v>132</v>
      </c>
      <c r="B133" t="s">
        <v>6100</v>
      </c>
      <c r="C133" t="s">
        <v>6701</v>
      </c>
    </row>
    <row r="134" spans="1:3" x14ac:dyDescent="0.25">
      <c r="A134">
        <v>133</v>
      </c>
      <c r="B134" t="s">
        <v>6189</v>
      </c>
      <c r="C134" t="s">
        <v>6702</v>
      </c>
    </row>
    <row r="135" spans="1:3" x14ac:dyDescent="0.25">
      <c r="A135">
        <v>134</v>
      </c>
      <c r="B135" t="s">
        <v>6194</v>
      </c>
      <c r="C135" t="s">
        <v>6703</v>
      </c>
    </row>
    <row r="136" spans="1:3" x14ac:dyDescent="0.25">
      <c r="A136">
        <v>135</v>
      </c>
      <c r="B136" t="s">
        <v>6195</v>
      </c>
      <c r="C136" t="s">
        <v>6704</v>
      </c>
    </row>
    <row r="137" spans="1:3" x14ac:dyDescent="0.25">
      <c r="A137">
        <v>136</v>
      </c>
      <c r="B137" t="s">
        <v>6107</v>
      </c>
      <c r="C137" t="s">
        <v>6705</v>
      </c>
    </row>
    <row r="138" spans="1:3" x14ac:dyDescent="0.25">
      <c r="A138">
        <v>137</v>
      </c>
      <c r="B138" t="s">
        <v>6109</v>
      </c>
      <c r="C138" t="s">
        <v>6706</v>
      </c>
    </row>
    <row r="139" spans="1:3" x14ac:dyDescent="0.25">
      <c r="A139">
        <v>138</v>
      </c>
      <c r="B139" t="s">
        <v>6110</v>
      </c>
      <c r="C139" t="s">
        <v>6707</v>
      </c>
    </row>
    <row r="140" spans="1:3" x14ac:dyDescent="0.25">
      <c r="A140">
        <v>139</v>
      </c>
      <c r="B140" t="s">
        <v>6111</v>
      </c>
      <c r="C140" t="s">
        <v>6708</v>
      </c>
    </row>
    <row r="141" spans="1:3" x14ac:dyDescent="0.25">
      <c r="A141">
        <v>140</v>
      </c>
      <c r="B141" t="s">
        <v>6112</v>
      </c>
      <c r="C141" t="s">
        <v>6709</v>
      </c>
    </row>
    <row r="142" spans="1:3" x14ac:dyDescent="0.25">
      <c r="A142">
        <v>141</v>
      </c>
      <c r="B142" t="s">
        <v>6113</v>
      </c>
      <c r="C142" t="s">
        <v>6710</v>
      </c>
    </row>
    <row r="143" spans="1:3" x14ac:dyDescent="0.25">
      <c r="A143">
        <v>142</v>
      </c>
      <c r="B143" t="s">
        <v>6115</v>
      </c>
      <c r="C143" t="s">
        <v>6711</v>
      </c>
    </row>
    <row r="144" spans="1:3" x14ac:dyDescent="0.25">
      <c r="A144">
        <v>143</v>
      </c>
      <c r="B144" t="s">
        <v>6116</v>
      </c>
      <c r="C144" t="s">
        <v>6712</v>
      </c>
    </row>
    <row r="145" spans="1:3" x14ac:dyDescent="0.25">
      <c r="A145">
        <v>144</v>
      </c>
      <c r="B145" t="s">
        <v>6206</v>
      </c>
      <c r="C145" t="s">
        <v>6713</v>
      </c>
    </row>
    <row r="146" spans="1:3" x14ac:dyDescent="0.25">
      <c r="A146">
        <v>145</v>
      </c>
      <c r="B146" t="s">
        <v>6119</v>
      </c>
      <c r="C146" t="s">
        <v>6714</v>
      </c>
    </row>
    <row r="147" spans="1:3" x14ac:dyDescent="0.25">
      <c r="A147">
        <v>146</v>
      </c>
      <c r="B147" t="s">
        <v>6207</v>
      </c>
      <c r="C147" t="s">
        <v>6715</v>
      </c>
    </row>
    <row r="148" spans="1:3" x14ac:dyDescent="0.25">
      <c r="A148">
        <v>147</v>
      </c>
      <c r="B148" t="s">
        <v>6208</v>
      </c>
      <c r="C148" t="s">
        <v>6716</v>
      </c>
    </row>
    <row r="149" spans="1:3" x14ac:dyDescent="0.25">
      <c r="A149">
        <v>148</v>
      </c>
      <c r="B149" t="s">
        <v>6209</v>
      </c>
      <c r="C149" t="s">
        <v>6717</v>
      </c>
    </row>
    <row r="150" spans="1:3" x14ac:dyDescent="0.25">
      <c r="A150">
        <v>149</v>
      </c>
      <c r="B150" t="s">
        <v>6211</v>
      </c>
      <c r="C150" t="s">
        <v>6718</v>
      </c>
    </row>
    <row r="151" spans="1:3" x14ac:dyDescent="0.25">
      <c r="A151">
        <v>150</v>
      </c>
      <c r="B151" t="s">
        <v>6212</v>
      </c>
      <c r="C151" t="s">
        <v>6719</v>
      </c>
    </row>
    <row r="152" spans="1:3" x14ac:dyDescent="0.25">
      <c r="A152">
        <v>151</v>
      </c>
      <c r="B152" t="s">
        <v>6215</v>
      </c>
      <c r="C152" t="s">
        <v>6720</v>
      </c>
    </row>
    <row r="153" spans="1:3" x14ac:dyDescent="0.25">
      <c r="A153">
        <v>152</v>
      </c>
      <c r="B153" t="s">
        <v>6216</v>
      </c>
      <c r="C153" t="s">
        <v>6721</v>
      </c>
    </row>
    <row r="154" spans="1:3" x14ac:dyDescent="0.25">
      <c r="A154">
        <v>153</v>
      </c>
      <c r="B154" t="s">
        <v>6217</v>
      </c>
      <c r="C154" t="s">
        <v>6722</v>
      </c>
    </row>
    <row r="155" spans="1:3" x14ac:dyDescent="0.25">
      <c r="A155">
        <v>154</v>
      </c>
      <c r="B155" t="s">
        <v>6126</v>
      </c>
      <c r="C155" t="s">
        <v>6723</v>
      </c>
    </row>
    <row r="156" spans="1:3" x14ac:dyDescent="0.25">
      <c r="A156">
        <v>155</v>
      </c>
      <c r="B156" t="s">
        <v>6219</v>
      </c>
      <c r="C156" t="s">
        <v>6724</v>
      </c>
    </row>
    <row r="157" spans="1:3" x14ac:dyDescent="0.25">
      <c r="A157">
        <v>156</v>
      </c>
      <c r="B157" t="s">
        <v>6220</v>
      </c>
      <c r="C157" t="s">
        <v>6725</v>
      </c>
    </row>
    <row r="158" spans="1:3" x14ac:dyDescent="0.25">
      <c r="A158">
        <v>157</v>
      </c>
      <c r="B158" t="s">
        <v>6222</v>
      </c>
      <c r="C158" t="s">
        <v>6726</v>
      </c>
    </row>
    <row r="159" spans="1:3" x14ac:dyDescent="0.25">
      <c r="A159">
        <v>158</v>
      </c>
      <c r="B159" t="s">
        <v>6131</v>
      </c>
      <c r="C159" t="s">
        <v>6727</v>
      </c>
    </row>
    <row r="160" spans="1:3" x14ac:dyDescent="0.25">
      <c r="A160">
        <v>159</v>
      </c>
      <c r="B160" t="s">
        <v>6132</v>
      </c>
      <c r="C160" t="s">
        <v>6728</v>
      </c>
    </row>
    <row r="161" spans="1:3" x14ac:dyDescent="0.25">
      <c r="A161">
        <v>160</v>
      </c>
      <c r="B161" t="s">
        <v>6134</v>
      </c>
      <c r="C161" t="s">
        <v>6729</v>
      </c>
    </row>
    <row r="162" spans="1:3" x14ac:dyDescent="0.25">
      <c r="A162">
        <v>161</v>
      </c>
      <c r="B162" t="s">
        <v>6221</v>
      </c>
      <c r="C162" t="s">
        <v>6730</v>
      </c>
    </row>
    <row r="163" spans="1:3" x14ac:dyDescent="0.25">
      <c r="A163">
        <v>162</v>
      </c>
      <c r="B163" t="s">
        <v>6136</v>
      </c>
      <c r="C163" t="s">
        <v>6731</v>
      </c>
    </row>
    <row r="164" spans="1:3" x14ac:dyDescent="0.25">
      <c r="A164">
        <v>163</v>
      </c>
      <c r="B164" t="s">
        <v>6213</v>
      </c>
      <c r="C164" t="s">
        <v>6732</v>
      </c>
    </row>
    <row r="165" spans="1:3" x14ac:dyDescent="0.25">
      <c r="A165">
        <v>164</v>
      </c>
      <c r="B165" t="s">
        <v>6164</v>
      </c>
      <c r="C165" t="s">
        <v>6733</v>
      </c>
    </row>
    <row r="166" spans="1:3" x14ac:dyDescent="0.25">
      <c r="A166">
        <v>165</v>
      </c>
      <c r="B166" t="s">
        <v>6165</v>
      </c>
      <c r="C166" t="s">
        <v>6734</v>
      </c>
    </row>
    <row r="167" spans="1:3" x14ac:dyDescent="0.25">
      <c r="A167">
        <v>166</v>
      </c>
      <c r="B167" t="s">
        <v>6166</v>
      </c>
      <c r="C167" t="s">
        <v>6735</v>
      </c>
    </row>
    <row r="168" spans="1:3" x14ac:dyDescent="0.25">
      <c r="A168">
        <v>167</v>
      </c>
      <c r="B168" t="s">
        <v>6169</v>
      </c>
      <c r="C168" t="s">
        <v>6736</v>
      </c>
    </row>
    <row r="169" spans="1:3" x14ac:dyDescent="0.25">
      <c r="A169">
        <v>168</v>
      </c>
      <c r="B169" t="s">
        <v>6168</v>
      </c>
      <c r="C169" t="s">
        <v>6737</v>
      </c>
    </row>
    <row r="170" spans="1:3" x14ac:dyDescent="0.25">
      <c r="A170">
        <v>169</v>
      </c>
      <c r="B170" t="s">
        <v>6210</v>
      </c>
      <c r="C170" t="s">
        <v>6738</v>
      </c>
    </row>
    <row r="171" spans="1:3" x14ac:dyDescent="0.25">
      <c r="A171">
        <v>170</v>
      </c>
      <c r="B171" t="s">
        <v>6205</v>
      </c>
      <c r="C171" t="s">
        <v>6739</v>
      </c>
    </row>
    <row r="172" spans="1:3" x14ac:dyDescent="0.25">
      <c r="A172">
        <v>171</v>
      </c>
      <c r="B172" t="s">
        <v>6204</v>
      </c>
      <c r="C172" t="s">
        <v>6740</v>
      </c>
    </row>
    <row r="173" spans="1:3" x14ac:dyDescent="0.25">
      <c r="A173">
        <v>172</v>
      </c>
      <c r="B173" t="s">
        <v>6142</v>
      </c>
      <c r="C173" t="s">
        <v>6741</v>
      </c>
    </row>
    <row r="174" spans="1:3" x14ac:dyDescent="0.25">
      <c r="A174">
        <v>173</v>
      </c>
      <c r="B174" t="s">
        <v>6143</v>
      </c>
      <c r="C174" t="s">
        <v>6742</v>
      </c>
    </row>
    <row r="175" spans="1:3" x14ac:dyDescent="0.25">
      <c r="A175">
        <v>174</v>
      </c>
      <c r="B175" t="s">
        <v>6144</v>
      </c>
      <c r="C175" t="s">
        <v>6743</v>
      </c>
    </row>
    <row r="176" spans="1:3" x14ac:dyDescent="0.25">
      <c r="A176">
        <v>175</v>
      </c>
      <c r="B176" t="s">
        <v>6202</v>
      </c>
      <c r="C176" t="s">
        <v>6744</v>
      </c>
    </row>
    <row r="177" spans="1:3" x14ac:dyDescent="0.25">
      <c r="A177">
        <v>176</v>
      </c>
      <c r="B177" t="s">
        <v>6201</v>
      </c>
      <c r="C177" t="s">
        <v>6745</v>
      </c>
    </row>
    <row r="178" spans="1:3" x14ac:dyDescent="0.25">
      <c r="A178">
        <v>177</v>
      </c>
      <c r="B178" t="s">
        <v>6147</v>
      </c>
      <c r="C178" t="s">
        <v>6746</v>
      </c>
    </row>
    <row r="179" spans="1:3" x14ac:dyDescent="0.25">
      <c r="A179">
        <v>178</v>
      </c>
      <c r="B179" t="s">
        <v>6149</v>
      </c>
      <c r="C179" t="s">
        <v>6747</v>
      </c>
    </row>
    <row r="180" spans="1:3" x14ac:dyDescent="0.25">
      <c r="A180">
        <v>179</v>
      </c>
      <c r="B180" t="s">
        <v>6198</v>
      </c>
      <c r="C180" t="s">
        <v>6748</v>
      </c>
    </row>
    <row r="181" spans="1:3" x14ac:dyDescent="0.25">
      <c r="A181">
        <v>180</v>
      </c>
      <c r="B181" t="s">
        <v>6197</v>
      </c>
      <c r="C181" t="s">
        <v>6749</v>
      </c>
    </row>
    <row r="182" spans="1:3" x14ac:dyDescent="0.25">
      <c r="A182">
        <v>181</v>
      </c>
      <c r="B182" t="s">
        <v>6193</v>
      </c>
      <c r="C182" t="s">
        <v>6750</v>
      </c>
    </row>
    <row r="183" spans="1:3" x14ac:dyDescent="0.25">
      <c r="A183">
        <v>182</v>
      </c>
      <c r="B183" t="s">
        <v>6190</v>
      </c>
      <c r="C183" t="s">
        <v>6751</v>
      </c>
    </row>
    <row r="184" spans="1:3" x14ac:dyDescent="0.25">
      <c r="A184">
        <v>183</v>
      </c>
      <c r="B184" t="s">
        <v>6185</v>
      </c>
      <c r="C184" t="s">
        <v>6752</v>
      </c>
    </row>
    <row r="185" spans="1:3" x14ac:dyDescent="0.25">
      <c r="A185">
        <v>184</v>
      </c>
      <c r="B185" t="s">
        <v>6183</v>
      </c>
      <c r="C185" t="s">
        <v>6753</v>
      </c>
    </row>
    <row r="186" spans="1:3" x14ac:dyDescent="0.25">
      <c r="A186">
        <v>185</v>
      </c>
      <c r="B186" t="s">
        <v>6174</v>
      </c>
      <c r="C186" t="s">
        <v>6754</v>
      </c>
    </row>
    <row r="187" spans="1:3" x14ac:dyDescent="0.25">
      <c r="A187">
        <v>186</v>
      </c>
      <c r="B187" t="s">
        <v>6160</v>
      </c>
      <c r="C187" t="s">
        <v>6755</v>
      </c>
    </row>
    <row r="188" spans="1:3" x14ac:dyDescent="0.25">
      <c r="A188">
        <v>187</v>
      </c>
      <c r="B188" t="s">
        <v>6171</v>
      </c>
      <c r="C188" t="s">
        <v>6756</v>
      </c>
    </row>
    <row r="189" spans="1:3" x14ac:dyDescent="0.25">
      <c r="A189">
        <v>188</v>
      </c>
      <c r="B189" t="s">
        <v>6163</v>
      </c>
      <c r="C189" t="s">
        <v>6757</v>
      </c>
    </row>
    <row r="190" spans="1:3" x14ac:dyDescent="0.25">
      <c r="A190">
        <v>189</v>
      </c>
      <c r="B190" t="s">
        <v>5896</v>
      </c>
      <c r="C190" t="s">
        <v>6758</v>
      </c>
    </row>
    <row r="191" spans="1:3" x14ac:dyDescent="0.25">
      <c r="A191">
        <v>190</v>
      </c>
      <c r="B191" t="s">
        <v>5956</v>
      </c>
      <c r="C191" t="s">
        <v>6759</v>
      </c>
    </row>
    <row r="192" spans="1:3" x14ac:dyDescent="0.25">
      <c r="A192">
        <v>191</v>
      </c>
      <c r="B192" t="s">
        <v>5897</v>
      </c>
      <c r="C192" t="s">
        <v>6760</v>
      </c>
    </row>
    <row r="193" spans="1:3" x14ac:dyDescent="0.25">
      <c r="A193">
        <v>192</v>
      </c>
      <c r="B193" t="s">
        <v>5898</v>
      </c>
      <c r="C193" t="s">
        <v>6761</v>
      </c>
    </row>
    <row r="194" spans="1:3" x14ac:dyDescent="0.25">
      <c r="A194">
        <v>193</v>
      </c>
      <c r="B194" t="s">
        <v>5899</v>
      </c>
      <c r="C194" t="s">
        <v>6762</v>
      </c>
    </row>
    <row r="195" spans="1:3" x14ac:dyDescent="0.25">
      <c r="A195">
        <v>194</v>
      </c>
      <c r="B195" t="s">
        <v>5900</v>
      </c>
      <c r="C195" t="s">
        <v>6763</v>
      </c>
    </row>
    <row r="196" spans="1:3" x14ac:dyDescent="0.25">
      <c r="A196">
        <v>195</v>
      </c>
      <c r="B196" t="s">
        <v>5902</v>
      </c>
      <c r="C196" t="s">
        <v>6764</v>
      </c>
    </row>
    <row r="197" spans="1:3" x14ac:dyDescent="0.25">
      <c r="A197">
        <v>196</v>
      </c>
      <c r="B197" t="s">
        <v>5903</v>
      </c>
      <c r="C197" t="s">
        <v>6765</v>
      </c>
    </row>
    <row r="198" spans="1:3" x14ac:dyDescent="0.25">
      <c r="A198">
        <v>197</v>
      </c>
      <c r="B198" t="s">
        <v>5904</v>
      </c>
      <c r="C198" t="s">
        <v>6766</v>
      </c>
    </row>
    <row r="199" spans="1:3" x14ac:dyDescent="0.25">
      <c r="A199">
        <v>198</v>
      </c>
      <c r="B199" t="s">
        <v>5906</v>
      </c>
      <c r="C199" t="s">
        <v>6767</v>
      </c>
    </row>
    <row r="200" spans="1:3" x14ac:dyDescent="0.25">
      <c r="A200">
        <v>199</v>
      </c>
      <c r="B200" t="s">
        <v>5907</v>
      </c>
      <c r="C200" t="s">
        <v>6768</v>
      </c>
    </row>
    <row r="201" spans="1:3" x14ac:dyDescent="0.25">
      <c r="A201">
        <v>200</v>
      </c>
      <c r="B201" t="s">
        <v>5970</v>
      </c>
      <c r="C201" t="s">
        <v>6769</v>
      </c>
    </row>
    <row r="202" spans="1:3" x14ac:dyDescent="0.25">
      <c r="A202">
        <v>201</v>
      </c>
      <c r="B202" t="s">
        <v>5909</v>
      </c>
      <c r="C202" t="s">
        <v>6770</v>
      </c>
    </row>
    <row r="203" spans="1:3" x14ac:dyDescent="0.25">
      <c r="A203">
        <v>202</v>
      </c>
      <c r="B203" t="s">
        <v>5971</v>
      </c>
      <c r="C203" t="s">
        <v>6771</v>
      </c>
    </row>
    <row r="204" spans="1:3" x14ac:dyDescent="0.25">
      <c r="A204">
        <v>203</v>
      </c>
      <c r="B204" t="s">
        <v>5972</v>
      </c>
      <c r="C204" t="s">
        <v>6772</v>
      </c>
    </row>
    <row r="205" spans="1:3" x14ac:dyDescent="0.25">
      <c r="A205">
        <v>204</v>
      </c>
      <c r="B205" t="s">
        <v>5973</v>
      </c>
      <c r="C205" t="s">
        <v>6773</v>
      </c>
    </row>
    <row r="206" spans="1:3" x14ac:dyDescent="0.25">
      <c r="A206">
        <v>205</v>
      </c>
      <c r="B206" t="s">
        <v>5974</v>
      </c>
      <c r="C206" t="s">
        <v>6774</v>
      </c>
    </row>
    <row r="207" spans="1:3" x14ac:dyDescent="0.25">
      <c r="A207">
        <v>206</v>
      </c>
      <c r="B207" t="s">
        <v>5975</v>
      </c>
      <c r="C207" t="s">
        <v>6775</v>
      </c>
    </row>
    <row r="208" spans="1:3" x14ac:dyDescent="0.25">
      <c r="A208">
        <v>207</v>
      </c>
      <c r="B208" t="s">
        <v>5979</v>
      </c>
      <c r="C208" t="s">
        <v>6776</v>
      </c>
    </row>
    <row r="209" spans="1:3" x14ac:dyDescent="0.25">
      <c r="A209">
        <v>208</v>
      </c>
      <c r="B209" t="s">
        <v>5982</v>
      </c>
      <c r="C209" t="s">
        <v>6777</v>
      </c>
    </row>
    <row r="210" spans="1:3" x14ac:dyDescent="0.25">
      <c r="A210">
        <v>209</v>
      </c>
      <c r="B210" t="s">
        <v>5910</v>
      </c>
      <c r="C210" t="s">
        <v>6778</v>
      </c>
    </row>
    <row r="211" spans="1:3" x14ac:dyDescent="0.25">
      <c r="A211">
        <v>210</v>
      </c>
      <c r="B211" t="s">
        <v>5911</v>
      </c>
      <c r="C211" t="s">
        <v>6779</v>
      </c>
    </row>
    <row r="212" spans="1:3" x14ac:dyDescent="0.25">
      <c r="A212">
        <v>211</v>
      </c>
      <c r="B212" t="s">
        <v>5914</v>
      </c>
      <c r="C212" t="s">
        <v>6780</v>
      </c>
    </row>
    <row r="213" spans="1:3" x14ac:dyDescent="0.25">
      <c r="A213">
        <v>212</v>
      </c>
      <c r="B213" t="s">
        <v>5984</v>
      </c>
      <c r="C213" t="s">
        <v>6781</v>
      </c>
    </row>
    <row r="214" spans="1:3" x14ac:dyDescent="0.25">
      <c r="A214">
        <v>213</v>
      </c>
      <c r="B214" t="s">
        <v>5915</v>
      </c>
      <c r="C214" t="s">
        <v>6782</v>
      </c>
    </row>
    <row r="215" spans="1:3" x14ac:dyDescent="0.25">
      <c r="A215">
        <v>214</v>
      </c>
      <c r="B215" t="s">
        <v>5916</v>
      </c>
      <c r="C215" t="s">
        <v>6783</v>
      </c>
    </row>
    <row r="216" spans="1:3" x14ac:dyDescent="0.25">
      <c r="A216">
        <v>215</v>
      </c>
      <c r="B216" t="s">
        <v>5988</v>
      </c>
      <c r="C216" t="s">
        <v>6784</v>
      </c>
    </row>
    <row r="217" spans="1:3" x14ac:dyDescent="0.25">
      <c r="A217">
        <v>216</v>
      </c>
      <c r="B217" t="s">
        <v>5918</v>
      </c>
      <c r="C217" t="s">
        <v>6785</v>
      </c>
    </row>
    <row r="218" spans="1:3" x14ac:dyDescent="0.25">
      <c r="A218">
        <v>217</v>
      </c>
      <c r="B218" t="s">
        <v>5919</v>
      </c>
      <c r="C218" t="s">
        <v>6786</v>
      </c>
    </row>
    <row r="219" spans="1:3" x14ac:dyDescent="0.25">
      <c r="A219">
        <v>218</v>
      </c>
      <c r="B219" t="s">
        <v>5920</v>
      </c>
      <c r="C219" t="s">
        <v>6787</v>
      </c>
    </row>
    <row r="220" spans="1:3" x14ac:dyDescent="0.25">
      <c r="A220">
        <v>219</v>
      </c>
      <c r="B220" t="s">
        <v>5921</v>
      </c>
      <c r="C220" t="s">
        <v>6788</v>
      </c>
    </row>
    <row r="221" spans="1:3" x14ac:dyDescent="0.25">
      <c r="A221">
        <v>220</v>
      </c>
      <c r="B221" t="s">
        <v>5922</v>
      </c>
      <c r="C221" t="s">
        <v>6789</v>
      </c>
    </row>
    <row r="222" spans="1:3" x14ac:dyDescent="0.25">
      <c r="A222">
        <v>221</v>
      </c>
      <c r="B222" t="s">
        <v>5923</v>
      </c>
      <c r="C222" t="s">
        <v>6790</v>
      </c>
    </row>
    <row r="223" spans="1:3" x14ac:dyDescent="0.25">
      <c r="A223">
        <v>222</v>
      </c>
      <c r="B223" t="s">
        <v>5924</v>
      </c>
      <c r="C223" t="s">
        <v>6791</v>
      </c>
    </row>
    <row r="224" spans="1:3" x14ac:dyDescent="0.25">
      <c r="A224">
        <v>223</v>
      </c>
      <c r="B224" t="s">
        <v>5925</v>
      </c>
      <c r="C224" t="s">
        <v>6792</v>
      </c>
    </row>
    <row r="225" spans="1:3" x14ac:dyDescent="0.25">
      <c r="A225">
        <v>224</v>
      </c>
      <c r="B225" t="s">
        <v>5926</v>
      </c>
      <c r="C225" t="s">
        <v>6793</v>
      </c>
    </row>
    <row r="226" spans="1:3" x14ac:dyDescent="0.25">
      <c r="A226">
        <v>225</v>
      </c>
      <c r="B226" t="s">
        <v>5927</v>
      </c>
      <c r="C226" t="s">
        <v>6794</v>
      </c>
    </row>
    <row r="227" spans="1:3" x14ac:dyDescent="0.25">
      <c r="A227">
        <v>226</v>
      </c>
      <c r="B227" t="s">
        <v>5990</v>
      </c>
      <c r="C227" t="s">
        <v>6795</v>
      </c>
    </row>
    <row r="228" spans="1:3" x14ac:dyDescent="0.25">
      <c r="A228">
        <v>227</v>
      </c>
      <c r="B228" t="s">
        <v>5993</v>
      </c>
      <c r="C228" t="s">
        <v>6796</v>
      </c>
    </row>
    <row r="229" spans="1:3" x14ac:dyDescent="0.25">
      <c r="A229">
        <v>228</v>
      </c>
      <c r="B229" t="s">
        <v>5928</v>
      </c>
      <c r="C229" t="s">
        <v>6797</v>
      </c>
    </row>
    <row r="230" spans="1:3" x14ac:dyDescent="0.25">
      <c r="A230">
        <v>229</v>
      </c>
      <c r="B230" t="s">
        <v>5995</v>
      </c>
      <c r="C230" t="s">
        <v>6798</v>
      </c>
    </row>
    <row r="231" spans="1:3" x14ac:dyDescent="0.25">
      <c r="A231">
        <v>230</v>
      </c>
      <c r="B231" t="s">
        <v>5929</v>
      </c>
      <c r="C231" t="s">
        <v>6799</v>
      </c>
    </row>
    <row r="232" spans="1:3" x14ac:dyDescent="0.25">
      <c r="A232">
        <v>231</v>
      </c>
      <c r="B232" t="s">
        <v>5930</v>
      </c>
      <c r="C232" t="s">
        <v>6800</v>
      </c>
    </row>
    <row r="233" spans="1:3" x14ac:dyDescent="0.25">
      <c r="A233">
        <v>232</v>
      </c>
      <c r="B233" t="s">
        <v>5931</v>
      </c>
      <c r="C233" t="s">
        <v>6801</v>
      </c>
    </row>
    <row r="234" spans="1:3" x14ac:dyDescent="0.25">
      <c r="A234">
        <v>233</v>
      </c>
      <c r="B234" t="s">
        <v>5932</v>
      </c>
      <c r="C234" t="s">
        <v>6802</v>
      </c>
    </row>
    <row r="235" spans="1:3" x14ac:dyDescent="0.25">
      <c r="A235">
        <v>234</v>
      </c>
      <c r="B235" t="s">
        <v>5997</v>
      </c>
      <c r="C235" t="s">
        <v>6803</v>
      </c>
    </row>
    <row r="236" spans="1:3" x14ac:dyDescent="0.25">
      <c r="A236">
        <v>235</v>
      </c>
      <c r="B236" t="s">
        <v>5999</v>
      </c>
      <c r="C236" t="s">
        <v>6804</v>
      </c>
    </row>
    <row r="237" spans="1:3" x14ac:dyDescent="0.25">
      <c r="A237">
        <v>236</v>
      </c>
      <c r="B237" t="s">
        <v>6001</v>
      </c>
      <c r="C237" t="s">
        <v>6805</v>
      </c>
    </row>
    <row r="238" spans="1:3" x14ac:dyDescent="0.25">
      <c r="A238">
        <v>237</v>
      </c>
      <c r="B238" t="s">
        <v>6006</v>
      </c>
      <c r="C238" t="s">
        <v>6806</v>
      </c>
    </row>
    <row r="239" spans="1:3" x14ac:dyDescent="0.25">
      <c r="A239">
        <v>238</v>
      </c>
      <c r="B239" t="s">
        <v>5934</v>
      </c>
      <c r="C239" t="s">
        <v>6807</v>
      </c>
    </row>
    <row r="240" spans="1:3" x14ac:dyDescent="0.25">
      <c r="A240">
        <v>239</v>
      </c>
      <c r="B240" t="s">
        <v>6007</v>
      </c>
      <c r="C240" t="s">
        <v>6808</v>
      </c>
    </row>
    <row r="241" spans="1:3" x14ac:dyDescent="0.25">
      <c r="A241">
        <v>240</v>
      </c>
      <c r="B241" t="s">
        <v>6010</v>
      </c>
      <c r="C241" t="s">
        <v>6809</v>
      </c>
    </row>
    <row r="242" spans="1:3" x14ac:dyDescent="0.25">
      <c r="A242">
        <v>241</v>
      </c>
      <c r="B242" t="s">
        <v>6011</v>
      </c>
      <c r="C242" t="s">
        <v>6810</v>
      </c>
    </row>
    <row r="243" spans="1:3" x14ac:dyDescent="0.25">
      <c r="A243">
        <v>242</v>
      </c>
      <c r="B243" t="s">
        <v>6012</v>
      </c>
      <c r="C243" t="s">
        <v>6811</v>
      </c>
    </row>
    <row r="244" spans="1:3" x14ac:dyDescent="0.25">
      <c r="A244">
        <v>243</v>
      </c>
      <c r="B244" t="s">
        <v>6013</v>
      </c>
      <c r="C244" t="s">
        <v>6812</v>
      </c>
    </row>
    <row r="245" spans="1:3" x14ac:dyDescent="0.25">
      <c r="A245">
        <v>244</v>
      </c>
      <c r="B245" t="s">
        <v>6014</v>
      </c>
      <c r="C245" t="s">
        <v>6813</v>
      </c>
    </row>
    <row r="246" spans="1:3" x14ac:dyDescent="0.25">
      <c r="A246">
        <v>245</v>
      </c>
      <c r="B246" t="s">
        <v>5935</v>
      </c>
      <c r="C246" t="s">
        <v>6814</v>
      </c>
    </row>
    <row r="247" spans="1:3" x14ac:dyDescent="0.25">
      <c r="A247">
        <v>246</v>
      </c>
      <c r="B247" t="s">
        <v>6016</v>
      </c>
      <c r="C247" t="s">
        <v>6815</v>
      </c>
    </row>
    <row r="248" spans="1:3" x14ac:dyDescent="0.25">
      <c r="A248">
        <v>247</v>
      </c>
      <c r="B248" t="s">
        <v>5937</v>
      </c>
      <c r="C248" t="s">
        <v>6816</v>
      </c>
    </row>
    <row r="249" spans="1:3" x14ac:dyDescent="0.25">
      <c r="A249">
        <v>248</v>
      </c>
      <c r="B249" t="s">
        <v>6017</v>
      </c>
      <c r="C249" t="s">
        <v>6817</v>
      </c>
    </row>
    <row r="250" spans="1:3" x14ac:dyDescent="0.25">
      <c r="A250">
        <v>249</v>
      </c>
      <c r="B250" t="s">
        <v>6018</v>
      </c>
      <c r="C250" t="s">
        <v>6818</v>
      </c>
    </row>
    <row r="251" spans="1:3" x14ac:dyDescent="0.25">
      <c r="A251">
        <v>250</v>
      </c>
      <c r="B251" t="s">
        <v>6019</v>
      </c>
      <c r="C251" t="s">
        <v>6819</v>
      </c>
    </row>
    <row r="252" spans="1:3" x14ac:dyDescent="0.25">
      <c r="A252">
        <v>251</v>
      </c>
      <c r="B252" t="s">
        <v>6020</v>
      </c>
      <c r="C252" t="s">
        <v>6820</v>
      </c>
    </row>
    <row r="253" spans="1:3" x14ac:dyDescent="0.25">
      <c r="A253">
        <v>252</v>
      </c>
      <c r="B253" t="s">
        <v>6025</v>
      </c>
      <c r="C253" t="s">
        <v>6821</v>
      </c>
    </row>
    <row r="254" spans="1:3" x14ac:dyDescent="0.25">
      <c r="A254">
        <v>253</v>
      </c>
      <c r="B254" t="s">
        <v>5939</v>
      </c>
      <c r="C254" t="s">
        <v>6822</v>
      </c>
    </row>
    <row r="255" spans="1:3" x14ac:dyDescent="0.25">
      <c r="A255">
        <v>254</v>
      </c>
      <c r="B255" t="s">
        <v>5940</v>
      </c>
      <c r="C255" t="s">
        <v>6823</v>
      </c>
    </row>
    <row r="256" spans="1:3" x14ac:dyDescent="0.25">
      <c r="A256">
        <v>255</v>
      </c>
      <c r="B256" t="s">
        <v>5941</v>
      </c>
      <c r="C256" t="s">
        <v>6824</v>
      </c>
    </row>
    <row r="257" spans="1:3" x14ac:dyDescent="0.25">
      <c r="A257">
        <v>256</v>
      </c>
      <c r="B257" t="s">
        <v>5942</v>
      </c>
      <c r="C257" t="s">
        <v>6825</v>
      </c>
    </row>
    <row r="258" spans="1:3" x14ac:dyDescent="0.25">
      <c r="A258">
        <v>257</v>
      </c>
      <c r="B258" t="s">
        <v>5943</v>
      </c>
      <c r="C258" t="s">
        <v>6826</v>
      </c>
    </row>
    <row r="259" spans="1:3" x14ac:dyDescent="0.25">
      <c r="A259">
        <v>258</v>
      </c>
      <c r="B259" t="s">
        <v>6027</v>
      </c>
      <c r="C259" t="s">
        <v>6827</v>
      </c>
    </row>
    <row r="260" spans="1:3" x14ac:dyDescent="0.25">
      <c r="A260">
        <v>259</v>
      </c>
      <c r="B260" t="s">
        <v>6028</v>
      </c>
      <c r="C260" t="s">
        <v>6828</v>
      </c>
    </row>
    <row r="261" spans="1:3" x14ac:dyDescent="0.25">
      <c r="A261">
        <v>260</v>
      </c>
      <c r="B261" t="s">
        <v>5944</v>
      </c>
      <c r="C261" t="s">
        <v>6829</v>
      </c>
    </row>
    <row r="262" spans="1:3" x14ac:dyDescent="0.25">
      <c r="A262">
        <v>261</v>
      </c>
      <c r="B262" t="s">
        <v>6032</v>
      </c>
      <c r="C262" t="s">
        <v>6830</v>
      </c>
    </row>
    <row r="263" spans="1:3" x14ac:dyDescent="0.25">
      <c r="A263">
        <v>262</v>
      </c>
      <c r="B263" t="s">
        <v>6034</v>
      </c>
      <c r="C263" t="s">
        <v>6831</v>
      </c>
    </row>
    <row r="264" spans="1:3" x14ac:dyDescent="0.25">
      <c r="A264">
        <v>263</v>
      </c>
      <c r="B264" t="s">
        <v>6035</v>
      </c>
      <c r="C264" t="s">
        <v>6832</v>
      </c>
    </row>
    <row r="265" spans="1:3" x14ac:dyDescent="0.25">
      <c r="A265">
        <v>264</v>
      </c>
      <c r="B265" t="s">
        <v>5946</v>
      </c>
      <c r="C265" t="s">
        <v>6833</v>
      </c>
    </row>
    <row r="266" spans="1:3" x14ac:dyDescent="0.25">
      <c r="A266">
        <v>265</v>
      </c>
      <c r="B266" t="s">
        <v>5947</v>
      </c>
      <c r="C266" t="s">
        <v>6834</v>
      </c>
    </row>
    <row r="267" spans="1:3" x14ac:dyDescent="0.25">
      <c r="A267">
        <v>266</v>
      </c>
      <c r="B267" t="s">
        <v>5948</v>
      </c>
      <c r="C267" t="s">
        <v>6835</v>
      </c>
    </row>
    <row r="268" spans="1:3" x14ac:dyDescent="0.25">
      <c r="A268">
        <v>267</v>
      </c>
      <c r="B268" t="s">
        <v>5950</v>
      </c>
      <c r="C268" t="s">
        <v>6836</v>
      </c>
    </row>
    <row r="269" spans="1:3" x14ac:dyDescent="0.25">
      <c r="A269">
        <v>268</v>
      </c>
      <c r="B269" t="s">
        <v>5951</v>
      </c>
      <c r="C269" t="s">
        <v>6837</v>
      </c>
    </row>
    <row r="270" spans="1:3" x14ac:dyDescent="0.25">
      <c r="A270">
        <v>269</v>
      </c>
      <c r="B270" t="s">
        <v>6036</v>
      </c>
      <c r="C270" t="s">
        <v>6838</v>
      </c>
    </row>
    <row r="271" spans="1:3" x14ac:dyDescent="0.25">
      <c r="A271">
        <v>270</v>
      </c>
      <c r="B271" t="s">
        <v>5952</v>
      </c>
      <c r="C271" t="s">
        <v>6839</v>
      </c>
    </row>
    <row r="272" spans="1:3" x14ac:dyDescent="0.25">
      <c r="A272">
        <v>271</v>
      </c>
      <c r="B272" t="s">
        <v>6038</v>
      </c>
      <c r="C272" t="s">
        <v>6840</v>
      </c>
    </row>
    <row r="273" spans="1:3" x14ac:dyDescent="0.25">
      <c r="A273">
        <v>272</v>
      </c>
      <c r="B273" t="s">
        <v>5953</v>
      </c>
      <c r="C273" t="s">
        <v>6841</v>
      </c>
    </row>
    <row r="274" spans="1:3" x14ac:dyDescent="0.25">
      <c r="A274">
        <v>273</v>
      </c>
      <c r="B274" t="s">
        <v>6039</v>
      </c>
      <c r="C274" t="s">
        <v>6842</v>
      </c>
    </row>
    <row r="275" spans="1:3" x14ac:dyDescent="0.25">
      <c r="A275">
        <v>274</v>
      </c>
      <c r="B275" t="s">
        <v>6173</v>
      </c>
      <c r="C275" t="s">
        <v>6843</v>
      </c>
    </row>
    <row r="276" spans="1:3" x14ac:dyDescent="0.25">
      <c r="A276">
        <v>275</v>
      </c>
      <c r="B276" t="s">
        <v>5945</v>
      </c>
      <c r="C276" t="s">
        <v>6844</v>
      </c>
    </row>
    <row r="277" spans="1:3" x14ac:dyDescent="0.25">
      <c r="A277">
        <v>276</v>
      </c>
      <c r="B277" t="s">
        <v>5983</v>
      </c>
      <c r="C277" t="s">
        <v>6845</v>
      </c>
    </row>
    <row r="278" spans="1:3" x14ac:dyDescent="0.25">
      <c r="A278">
        <v>277</v>
      </c>
      <c r="B278" t="s">
        <v>5913</v>
      </c>
      <c r="C278" t="s">
        <v>6846</v>
      </c>
    </row>
    <row r="279" spans="1:3" x14ac:dyDescent="0.25">
      <c r="A279">
        <v>278</v>
      </c>
      <c r="B279" t="s">
        <v>5985</v>
      </c>
      <c r="C279" t="s">
        <v>6847</v>
      </c>
    </row>
    <row r="280" spans="1:3" x14ac:dyDescent="0.25">
      <c r="A280">
        <v>279</v>
      </c>
      <c r="B280" t="s">
        <v>5917</v>
      </c>
      <c r="C280" t="s">
        <v>6848</v>
      </c>
    </row>
    <row r="281" spans="1:3" x14ac:dyDescent="0.25">
      <c r="A281">
        <v>280</v>
      </c>
      <c r="B281" t="s">
        <v>5989</v>
      </c>
      <c r="C281" t="s">
        <v>6849</v>
      </c>
    </row>
    <row r="282" spans="1:3" x14ac:dyDescent="0.25">
      <c r="A282">
        <v>281</v>
      </c>
      <c r="B282" t="s">
        <v>5992</v>
      </c>
      <c r="C282" t="s">
        <v>6850</v>
      </c>
    </row>
    <row r="283" spans="1:3" x14ac:dyDescent="0.25">
      <c r="A283">
        <v>282</v>
      </c>
      <c r="B283" t="s">
        <v>5994</v>
      </c>
      <c r="C283" t="s">
        <v>6851</v>
      </c>
    </row>
    <row r="284" spans="1:3" x14ac:dyDescent="0.25">
      <c r="A284">
        <v>283</v>
      </c>
      <c r="B284" t="s">
        <v>6138</v>
      </c>
      <c r="C284" t="s">
        <v>6852</v>
      </c>
    </row>
    <row r="285" spans="1:3" x14ac:dyDescent="0.25">
      <c r="A285">
        <v>284</v>
      </c>
      <c r="B285" t="s">
        <v>6141</v>
      </c>
      <c r="C285" t="s">
        <v>6853</v>
      </c>
    </row>
    <row r="286" spans="1:3" x14ac:dyDescent="0.25">
      <c r="A286">
        <v>285</v>
      </c>
      <c r="B286" t="s">
        <v>6066</v>
      </c>
      <c r="C286" t="s">
        <v>6854</v>
      </c>
    </row>
    <row r="287" spans="1:3" x14ac:dyDescent="0.25">
      <c r="A287">
        <v>286</v>
      </c>
      <c r="B287" t="s">
        <v>6067</v>
      </c>
      <c r="C287" t="s">
        <v>6855</v>
      </c>
    </row>
    <row r="288" spans="1:3" x14ac:dyDescent="0.25">
      <c r="A288">
        <v>287</v>
      </c>
      <c r="B288" t="s">
        <v>6158</v>
      </c>
      <c r="C288" t="s">
        <v>6856</v>
      </c>
    </row>
    <row r="289" spans="1:3" x14ac:dyDescent="0.25">
      <c r="A289">
        <v>288</v>
      </c>
      <c r="B289" t="s">
        <v>6161</v>
      </c>
      <c r="C289" t="s">
        <v>6857</v>
      </c>
    </row>
    <row r="290" spans="1:3" x14ac:dyDescent="0.25">
      <c r="A290">
        <v>289</v>
      </c>
      <c r="B290" t="s">
        <v>6083</v>
      </c>
      <c r="C290" t="s">
        <v>6858</v>
      </c>
    </row>
    <row r="291" spans="1:3" x14ac:dyDescent="0.25">
      <c r="A291">
        <v>290</v>
      </c>
      <c r="B291" t="s">
        <v>6178</v>
      </c>
      <c r="C291" t="s">
        <v>6859</v>
      </c>
    </row>
    <row r="292" spans="1:3" x14ac:dyDescent="0.25">
      <c r="A292">
        <v>291</v>
      </c>
      <c r="B292" t="s">
        <v>6090</v>
      </c>
      <c r="C292" t="s">
        <v>6860</v>
      </c>
    </row>
    <row r="293" spans="1:3" x14ac:dyDescent="0.25">
      <c r="A293">
        <v>292</v>
      </c>
      <c r="B293" t="s">
        <v>6094</v>
      </c>
      <c r="C293" t="s">
        <v>6861</v>
      </c>
    </row>
    <row r="294" spans="1:3" x14ac:dyDescent="0.25">
      <c r="A294">
        <v>293</v>
      </c>
      <c r="B294" t="s">
        <v>6191</v>
      </c>
      <c r="C294" t="s">
        <v>6862</v>
      </c>
    </row>
    <row r="295" spans="1:3" x14ac:dyDescent="0.25">
      <c r="A295">
        <v>294</v>
      </c>
      <c r="B295" t="s">
        <v>6218</v>
      </c>
      <c r="C295" t="s">
        <v>6863</v>
      </c>
    </row>
    <row r="296" spans="1:3" x14ac:dyDescent="0.25">
      <c r="A296">
        <v>295</v>
      </c>
      <c r="B296" t="s">
        <v>6130</v>
      </c>
      <c r="C296" t="s">
        <v>6864</v>
      </c>
    </row>
    <row r="297" spans="1:3" x14ac:dyDescent="0.25">
      <c r="A297">
        <v>296</v>
      </c>
      <c r="B297" t="s">
        <v>6223</v>
      </c>
      <c r="C297" t="s">
        <v>6865</v>
      </c>
    </row>
    <row r="298" spans="1:3" x14ac:dyDescent="0.25">
      <c r="A298">
        <v>297</v>
      </c>
      <c r="B298" t="s">
        <v>6148</v>
      </c>
      <c r="C298" t="s">
        <v>6866</v>
      </c>
    </row>
    <row r="299" spans="1:3" x14ac:dyDescent="0.25">
      <c r="A299">
        <v>298</v>
      </c>
      <c r="B299" t="s">
        <v>6199</v>
      </c>
      <c r="C299" t="s">
        <v>6867</v>
      </c>
    </row>
    <row r="300" spans="1:3" x14ac:dyDescent="0.25">
      <c r="A300">
        <v>299</v>
      </c>
      <c r="B300" t="s">
        <v>6192</v>
      </c>
      <c r="C300" t="s">
        <v>6868</v>
      </c>
    </row>
    <row r="301" spans="1:3" x14ac:dyDescent="0.25">
      <c r="A301">
        <v>300</v>
      </c>
      <c r="B301" t="s">
        <v>6179</v>
      </c>
      <c r="C301" t="s">
        <v>6869</v>
      </c>
    </row>
    <row r="302" spans="1:3" x14ac:dyDescent="0.25">
      <c r="A302">
        <v>301</v>
      </c>
      <c r="B302" t="s">
        <v>5894</v>
      </c>
      <c r="C302" t="s">
        <v>6870</v>
      </c>
    </row>
    <row r="303" spans="1:3" x14ac:dyDescent="0.25">
      <c r="A303">
        <v>302</v>
      </c>
      <c r="B303" t="s">
        <v>5890</v>
      </c>
      <c r="C303" t="s">
        <v>6871</v>
      </c>
    </row>
    <row r="304" spans="1:3" x14ac:dyDescent="0.25">
      <c r="A304">
        <v>303</v>
      </c>
      <c r="B304" t="s">
        <v>5895</v>
      </c>
      <c r="C304" t="s">
        <v>6872</v>
      </c>
    </row>
    <row r="305" spans="1:3" x14ac:dyDescent="0.25">
      <c r="A305">
        <v>304</v>
      </c>
      <c r="B305" t="s">
        <v>5891</v>
      </c>
      <c r="C305" t="s">
        <v>6873</v>
      </c>
    </row>
    <row r="306" spans="1:3" x14ac:dyDescent="0.25">
      <c r="A306">
        <v>305</v>
      </c>
      <c r="B306" t="s">
        <v>5892</v>
      </c>
      <c r="C306" t="s">
        <v>6874</v>
      </c>
    </row>
    <row r="307" spans="1:3" x14ac:dyDescent="0.25">
      <c r="A307">
        <v>306</v>
      </c>
      <c r="B307" t="s">
        <v>5893</v>
      </c>
      <c r="C307" t="s">
        <v>6875</v>
      </c>
    </row>
    <row r="308" spans="1:3" x14ac:dyDescent="0.25">
      <c r="A308">
        <v>307</v>
      </c>
      <c r="B308" t="s">
        <v>5908</v>
      </c>
      <c r="C308" t="s">
        <v>6876</v>
      </c>
    </row>
    <row r="309" spans="1:3" x14ac:dyDescent="0.25">
      <c r="A309">
        <v>308</v>
      </c>
      <c r="B309" t="s">
        <v>5977</v>
      </c>
      <c r="C309" t="s">
        <v>6877</v>
      </c>
    </row>
    <row r="310" spans="1:3" x14ac:dyDescent="0.25">
      <c r="A310">
        <v>309</v>
      </c>
      <c r="B310" t="s">
        <v>6015</v>
      </c>
      <c r="C310" t="s">
        <v>6878</v>
      </c>
    </row>
    <row r="311" spans="1:3" x14ac:dyDescent="0.25">
      <c r="A311">
        <v>310</v>
      </c>
      <c r="B311" t="s">
        <v>5936</v>
      </c>
      <c r="C311" t="s">
        <v>6879</v>
      </c>
    </row>
    <row r="312" spans="1:3" x14ac:dyDescent="0.25">
      <c r="A312">
        <v>311</v>
      </c>
      <c r="B312" t="s">
        <v>5938</v>
      </c>
      <c r="C312" t="s">
        <v>6880</v>
      </c>
    </row>
    <row r="313" spans="1:3" x14ac:dyDescent="0.25">
      <c r="A313">
        <v>312</v>
      </c>
      <c r="B313" t="s">
        <v>6024</v>
      </c>
      <c r="C313" t="s">
        <v>6881</v>
      </c>
    </row>
    <row r="314" spans="1:3" x14ac:dyDescent="0.25">
      <c r="A314">
        <v>313</v>
      </c>
      <c r="B314" t="s">
        <v>6033</v>
      </c>
      <c r="C314" t="s">
        <v>6882</v>
      </c>
    </row>
    <row r="315" spans="1:3" x14ac:dyDescent="0.25">
      <c r="A315">
        <v>314</v>
      </c>
      <c r="B315" t="s">
        <v>5949</v>
      </c>
      <c r="C315" t="s">
        <v>6883</v>
      </c>
    </row>
    <row r="316" spans="1:3" x14ac:dyDescent="0.25">
      <c r="A316">
        <v>315</v>
      </c>
      <c r="B316" t="s">
        <v>6037</v>
      </c>
      <c r="C316" t="s">
        <v>6884</v>
      </c>
    </row>
    <row r="317" spans="1:3" x14ac:dyDescent="0.25">
      <c r="A317">
        <v>316</v>
      </c>
      <c r="B317" t="s">
        <v>6045</v>
      </c>
      <c r="C317" t="s">
        <v>6885</v>
      </c>
    </row>
    <row r="318" spans="1:3" x14ac:dyDescent="0.25">
      <c r="A318">
        <v>317</v>
      </c>
      <c r="B318" t="s">
        <v>5961</v>
      </c>
      <c r="C318" t="s">
        <v>6886</v>
      </c>
    </row>
    <row r="319" spans="1:3" x14ac:dyDescent="0.25">
      <c r="A319">
        <v>318</v>
      </c>
      <c r="B319" t="s">
        <v>5964</v>
      </c>
      <c r="C319" t="s">
        <v>6887</v>
      </c>
    </row>
    <row r="320" spans="1:3" x14ac:dyDescent="0.25">
      <c r="A320">
        <v>319</v>
      </c>
      <c r="B320" t="s">
        <v>6062</v>
      </c>
      <c r="C320" t="s">
        <v>6888</v>
      </c>
    </row>
    <row r="321" spans="1:3" x14ac:dyDescent="0.25">
      <c r="A321">
        <v>320</v>
      </c>
      <c r="B321" t="s">
        <v>5976</v>
      </c>
      <c r="C321" t="s">
        <v>6889</v>
      </c>
    </row>
    <row r="322" spans="1:3" x14ac:dyDescent="0.25">
      <c r="A322">
        <v>321</v>
      </c>
      <c r="B322" t="s">
        <v>5981</v>
      </c>
      <c r="C322" t="s">
        <v>6890</v>
      </c>
    </row>
    <row r="323" spans="1:3" x14ac:dyDescent="0.25">
      <c r="A323">
        <v>322</v>
      </c>
      <c r="B323" t="s">
        <v>5986</v>
      </c>
      <c r="C323" t="s">
        <v>6891</v>
      </c>
    </row>
    <row r="324" spans="1:3" x14ac:dyDescent="0.25">
      <c r="A324">
        <v>323</v>
      </c>
      <c r="B324" t="s">
        <v>6000</v>
      </c>
      <c r="C324" t="s">
        <v>6892</v>
      </c>
    </row>
    <row r="325" spans="1:3" x14ac:dyDescent="0.25">
      <c r="A325">
        <v>324</v>
      </c>
      <c r="B325" t="s">
        <v>6003</v>
      </c>
      <c r="C325" t="s">
        <v>6893</v>
      </c>
    </row>
    <row r="326" spans="1:3" x14ac:dyDescent="0.25">
      <c r="A326">
        <v>325</v>
      </c>
      <c r="B326" t="s">
        <v>6009</v>
      </c>
      <c r="C326" t="s">
        <v>6894</v>
      </c>
    </row>
    <row r="327" spans="1:3" x14ac:dyDescent="0.25">
      <c r="A327">
        <v>326</v>
      </c>
      <c r="B327" t="s">
        <v>6095</v>
      </c>
      <c r="C327" t="s">
        <v>6895</v>
      </c>
    </row>
    <row r="328" spans="1:3" x14ac:dyDescent="0.25">
      <c r="A328">
        <v>327</v>
      </c>
      <c r="B328" t="s">
        <v>6096</v>
      </c>
      <c r="C328" t="s">
        <v>6896</v>
      </c>
    </row>
    <row r="329" spans="1:3" x14ac:dyDescent="0.25">
      <c r="A329">
        <v>328</v>
      </c>
      <c r="B329" t="s">
        <v>6030</v>
      </c>
      <c r="C329" t="s">
        <v>6897</v>
      </c>
    </row>
    <row r="330" spans="1:3" x14ac:dyDescent="0.25">
      <c r="A330">
        <v>329</v>
      </c>
      <c r="B330" t="s">
        <v>5912</v>
      </c>
      <c r="C330" t="s">
        <v>6898</v>
      </c>
    </row>
    <row r="331" spans="1:3" x14ac:dyDescent="0.25">
      <c r="A331">
        <v>330</v>
      </c>
      <c r="B331" t="s">
        <v>6108</v>
      </c>
      <c r="C331" t="s">
        <v>6899</v>
      </c>
    </row>
    <row r="332" spans="1:3" x14ac:dyDescent="0.25">
      <c r="A332">
        <v>331</v>
      </c>
      <c r="B332" t="s">
        <v>6120</v>
      </c>
      <c r="C332" t="s">
        <v>6900</v>
      </c>
    </row>
    <row r="333" spans="1:3" x14ac:dyDescent="0.25">
      <c r="A333">
        <v>332</v>
      </c>
      <c r="B333" t="s">
        <v>6123</v>
      </c>
      <c r="C333" t="s">
        <v>6901</v>
      </c>
    </row>
    <row r="334" spans="1:3" x14ac:dyDescent="0.25">
      <c r="A334">
        <v>333</v>
      </c>
      <c r="B334" t="s">
        <v>6047</v>
      </c>
      <c r="C334" t="s">
        <v>6902</v>
      </c>
    </row>
    <row r="335" spans="1:3" x14ac:dyDescent="0.25">
      <c r="A335">
        <v>334</v>
      </c>
      <c r="B335" t="s">
        <v>6056</v>
      </c>
      <c r="C335" t="s">
        <v>6903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28E3B-4BC4-4A79-AE77-FF878C6DE8F3}">
  <sheetPr filterMode="1"/>
  <dimension ref="A1:AM136"/>
  <sheetViews>
    <sheetView workbookViewId="0">
      <selection activeCell="G140" sqref="G140"/>
    </sheetView>
  </sheetViews>
  <sheetFormatPr defaultRowHeight="15" x14ac:dyDescent="0.25"/>
  <cols>
    <col min="38" max="38" width="41.140625" bestFit="1" customWidth="1"/>
    <col min="39" max="39" width="10.28515625" bestFit="1" customWidth="1"/>
  </cols>
  <sheetData>
    <row r="1" spans="1:39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8" t="s">
        <v>36</v>
      </c>
      <c r="AL1" s="17" t="s">
        <v>5887</v>
      </c>
      <c r="AM1" s="17" t="s">
        <v>6224</v>
      </c>
    </row>
    <row r="2" spans="1:39" hidden="1" x14ac:dyDescent="0.25">
      <c r="A2" s="4">
        <v>379</v>
      </c>
      <c r="B2" s="5" t="s">
        <v>37</v>
      </c>
      <c r="C2" s="5" t="s">
        <v>4810</v>
      </c>
      <c r="D2" s="5" t="s">
        <v>4811</v>
      </c>
      <c r="E2" s="5" t="s">
        <v>40</v>
      </c>
      <c r="F2" s="5" t="s">
        <v>1508</v>
      </c>
      <c r="G2" s="5" t="s">
        <v>4812</v>
      </c>
      <c r="H2" s="5" t="s">
        <v>188</v>
      </c>
      <c r="I2" s="5" t="s">
        <v>4813</v>
      </c>
      <c r="J2" s="5" t="s">
        <v>48</v>
      </c>
      <c r="K2" s="5" t="s">
        <v>4814</v>
      </c>
      <c r="L2" s="5" t="s">
        <v>48</v>
      </c>
      <c r="M2" s="5" t="s">
        <v>4815</v>
      </c>
      <c r="N2" s="5">
        <v>64263</v>
      </c>
      <c r="O2" s="5">
        <v>1500000</v>
      </c>
      <c r="P2" s="5" t="s">
        <v>4816</v>
      </c>
      <c r="Q2" s="11">
        <v>45592</v>
      </c>
      <c r="R2" s="5" t="s">
        <v>4817</v>
      </c>
      <c r="S2" s="5" t="s">
        <v>4818</v>
      </c>
      <c r="T2" s="5" t="s">
        <v>1516</v>
      </c>
      <c r="U2" s="5" t="s">
        <v>4819</v>
      </c>
      <c r="V2" s="5" t="s">
        <v>3504</v>
      </c>
      <c r="W2" s="5" t="s">
        <v>1180</v>
      </c>
      <c r="X2" s="5" t="s">
        <v>1974</v>
      </c>
      <c r="Y2" s="5" t="s">
        <v>2141</v>
      </c>
      <c r="Z2" s="5" t="s">
        <v>879</v>
      </c>
      <c r="AA2" s="5" t="s">
        <v>4820</v>
      </c>
      <c r="AB2" s="5">
        <v>4</v>
      </c>
      <c r="AC2" s="5" t="s">
        <v>78</v>
      </c>
      <c r="AD2" s="5" t="s">
        <v>4821</v>
      </c>
      <c r="AE2" s="5" t="s">
        <v>1974</v>
      </c>
      <c r="AF2" s="5" t="s">
        <v>61</v>
      </c>
      <c r="AG2" s="5">
        <v>1200000</v>
      </c>
      <c r="AH2" s="5">
        <v>0</v>
      </c>
      <c r="AI2" s="5"/>
      <c r="AJ2" s="5"/>
      <c r="AK2" s="9"/>
      <c r="AL2" t="e">
        <v>#N/A</v>
      </c>
      <c r="AM2">
        <v>0</v>
      </c>
    </row>
    <row r="3" spans="1:39" hidden="1" x14ac:dyDescent="0.25">
      <c r="A3" s="6">
        <v>380</v>
      </c>
      <c r="B3" s="7" t="s">
        <v>37</v>
      </c>
      <c r="C3" s="7" t="s">
        <v>4822</v>
      </c>
      <c r="D3" s="7" t="s">
        <v>4811</v>
      </c>
      <c r="E3" s="7" t="s">
        <v>40</v>
      </c>
      <c r="F3" s="7" t="s">
        <v>789</v>
      </c>
      <c r="G3" s="7" t="s">
        <v>4823</v>
      </c>
      <c r="H3" s="7" t="s">
        <v>83</v>
      </c>
      <c r="I3" s="7" t="s">
        <v>4824</v>
      </c>
      <c r="J3" s="7" t="s">
        <v>4825</v>
      </c>
      <c r="K3" s="7" t="s">
        <v>4825</v>
      </c>
      <c r="L3" s="7" t="s">
        <v>4826</v>
      </c>
      <c r="M3" s="7" t="s">
        <v>4827</v>
      </c>
      <c r="N3" s="7">
        <v>118814</v>
      </c>
      <c r="O3" s="7">
        <v>2600000</v>
      </c>
      <c r="P3" s="7" t="s">
        <v>4828</v>
      </c>
      <c r="Q3" s="12">
        <v>45586</v>
      </c>
      <c r="R3" s="7" t="s">
        <v>4829</v>
      </c>
      <c r="S3" s="7" t="s">
        <v>4830</v>
      </c>
      <c r="T3" s="7" t="s">
        <v>196</v>
      </c>
      <c r="U3" s="7" t="s">
        <v>4831</v>
      </c>
      <c r="V3" s="7" t="s">
        <v>2583</v>
      </c>
      <c r="W3" s="7" t="s">
        <v>365</v>
      </c>
      <c r="X3" s="7" t="s">
        <v>2285</v>
      </c>
      <c r="Y3" s="7" t="s">
        <v>2141</v>
      </c>
      <c r="Z3" s="7" t="s">
        <v>879</v>
      </c>
      <c r="AA3" s="7" t="s">
        <v>4832</v>
      </c>
      <c r="AB3" s="7">
        <v>4</v>
      </c>
      <c r="AC3" s="7" t="s">
        <v>556</v>
      </c>
      <c r="AD3" s="7" t="s">
        <v>4833</v>
      </c>
      <c r="AE3" s="7" t="s">
        <v>2285</v>
      </c>
      <c r="AF3" s="7" t="s">
        <v>61</v>
      </c>
      <c r="AG3" s="7">
        <v>2080000</v>
      </c>
      <c r="AH3" s="7">
        <v>0</v>
      </c>
      <c r="AI3" s="7"/>
      <c r="AJ3" s="7"/>
      <c r="AK3" s="10"/>
      <c r="AL3" t="e">
        <v>#N/A</v>
      </c>
      <c r="AM3">
        <v>0</v>
      </c>
    </row>
    <row r="4" spans="1:39" hidden="1" x14ac:dyDescent="0.25">
      <c r="A4" s="4">
        <v>381</v>
      </c>
      <c r="B4" s="5" t="s">
        <v>37</v>
      </c>
      <c r="C4" s="5" t="s">
        <v>4834</v>
      </c>
      <c r="D4" s="5" t="s">
        <v>4811</v>
      </c>
      <c r="E4" s="5" t="s">
        <v>40</v>
      </c>
      <c r="F4" s="5" t="s">
        <v>63</v>
      </c>
      <c r="G4" s="5" t="s">
        <v>4835</v>
      </c>
      <c r="H4" s="5" t="s">
        <v>188</v>
      </c>
      <c r="I4" s="5" t="s">
        <v>4836</v>
      </c>
      <c r="J4" s="5" t="s">
        <v>4837</v>
      </c>
      <c r="K4" s="5" t="s">
        <v>4838</v>
      </c>
      <c r="L4" s="5" t="s">
        <v>4839</v>
      </c>
      <c r="M4" s="5" t="s">
        <v>4840</v>
      </c>
      <c r="N4" s="5">
        <v>173330</v>
      </c>
      <c r="O4" s="5">
        <v>2399000</v>
      </c>
      <c r="P4" s="5" t="s">
        <v>4841</v>
      </c>
      <c r="Q4" s="11">
        <v>45591</v>
      </c>
      <c r="R4" s="5" t="s">
        <v>4842</v>
      </c>
      <c r="S4" s="5" t="s">
        <v>4843</v>
      </c>
      <c r="T4" s="5" t="s">
        <v>51</v>
      </c>
      <c r="U4" s="5" t="s">
        <v>48</v>
      </c>
      <c r="V4" s="5" t="s">
        <v>4844</v>
      </c>
      <c r="W4" s="5" t="s">
        <v>552</v>
      </c>
      <c r="X4" s="5" t="s">
        <v>4845</v>
      </c>
      <c r="Y4" s="5" t="s">
        <v>4846</v>
      </c>
      <c r="Z4" s="5" t="s">
        <v>4847</v>
      </c>
      <c r="AA4" s="5" t="s">
        <v>4848</v>
      </c>
      <c r="AB4" s="5">
        <v>2</v>
      </c>
      <c r="AC4" s="5" t="s">
        <v>556</v>
      </c>
      <c r="AD4" s="5" t="s">
        <v>4849</v>
      </c>
      <c r="AE4" s="5" t="s">
        <v>3834</v>
      </c>
      <c r="AF4" s="5" t="s">
        <v>61</v>
      </c>
      <c r="AG4" s="5">
        <v>1919200</v>
      </c>
      <c r="AH4" s="5">
        <v>0</v>
      </c>
      <c r="AI4" s="5"/>
      <c r="AJ4" s="5"/>
      <c r="AK4" s="9"/>
      <c r="AL4" t="e">
        <v>#N/A</v>
      </c>
      <c r="AM4">
        <v>0</v>
      </c>
    </row>
    <row r="5" spans="1:39" hidden="1" x14ac:dyDescent="0.25">
      <c r="A5" s="6">
        <v>382</v>
      </c>
      <c r="B5" s="7" t="s">
        <v>37</v>
      </c>
      <c r="C5" s="7" t="s">
        <v>4850</v>
      </c>
      <c r="D5" s="7" t="s">
        <v>4811</v>
      </c>
      <c r="E5" s="7" t="s">
        <v>40</v>
      </c>
      <c r="F5" s="7" t="s">
        <v>715</v>
      </c>
      <c r="G5" s="7" t="s">
        <v>4851</v>
      </c>
      <c r="H5" s="7" t="s">
        <v>83</v>
      </c>
      <c r="I5" s="7" t="s">
        <v>4852</v>
      </c>
      <c r="J5" s="7" t="s">
        <v>4853</v>
      </c>
      <c r="K5" s="7" t="s">
        <v>4853</v>
      </c>
      <c r="L5" s="7" t="s">
        <v>4854</v>
      </c>
      <c r="M5" s="7" t="s">
        <v>4855</v>
      </c>
      <c r="N5" s="7">
        <v>296269</v>
      </c>
      <c r="O5" s="7">
        <v>7414000</v>
      </c>
      <c r="P5" s="7" t="s">
        <v>4856</v>
      </c>
      <c r="Q5" s="12">
        <v>45589</v>
      </c>
      <c r="R5" s="7" t="s">
        <v>4857</v>
      </c>
      <c r="S5" s="7" t="s">
        <v>4858</v>
      </c>
      <c r="T5" s="7" t="s">
        <v>51</v>
      </c>
      <c r="U5" s="7" t="s">
        <v>48</v>
      </c>
      <c r="V5" s="7" t="s">
        <v>4859</v>
      </c>
      <c r="W5" s="7" t="s">
        <v>53</v>
      </c>
      <c r="X5" s="7" t="s">
        <v>4860</v>
      </c>
      <c r="Y5" s="7" t="s">
        <v>152</v>
      </c>
      <c r="Z5" s="7" t="s">
        <v>181</v>
      </c>
      <c r="AA5" s="7" t="s">
        <v>4861</v>
      </c>
      <c r="AB5" s="7">
        <v>3</v>
      </c>
      <c r="AC5" s="7" t="s">
        <v>78</v>
      </c>
      <c r="AD5" s="7" t="s">
        <v>4862</v>
      </c>
      <c r="AE5" s="7" t="s">
        <v>1430</v>
      </c>
      <c r="AF5" s="7" t="s">
        <v>155</v>
      </c>
      <c r="AG5" s="7">
        <v>5931200</v>
      </c>
      <c r="AH5" s="7">
        <v>0</v>
      </c>
      <c r="AI5" s="7"/>
      <c r="AJ5" s="7"/>
      <c r="AK5" s="10"/>
      <c r="AL5" t="e">
        <v>#N/A</v>
      </c>
      <c r="AM5">
        <v>0</v>
      </c>
    </row>
    <row r="6" spans="1:39" x14ac:dyDescent="0.25">
      <c r="A6" s="4">
        <v>383</v>
      </c>
      <c r="B6" s="5" t="s">
        <v>37</v>
      </c>
      <c r="C6" s="5" t="s">
        <v>4863</v>
      </c>
      <c r="D6" s="5" t="s">
        <v>4811</v>
      </c>
      <c r="E6" s="5" t="s">
        <v>40</v>
      </c>
      <c r="F6" s="5" t="s">
        <v>1788</v>
      </c>
      <c r="G6" s="5" t="s">
        <v>4864</v>
      </c>
      <c r="H6" s="5" t="s">
        <v>233</v>
      </c>
      <c r="I6" s="5" t="s">
        <v>4865</v>
      </c>
      <c r="J6" s="5" t="s">
        <v>4866</v>
      </c>
      <c r="K6" s="5" t="s">
        <v>4866</v>
      </c>
      <c r="L6" s="5" t="s">
        <v>4867</v>
      </c>
      <c r="M6" s="5" t="s">
        <v>4868</v>
      </c>
      <c r="N6" s="5">
        <v>653650</v>
      </c>
      <c r="O6" s="5">
        <v>769000</v>
      </c>
      <c r="P6" s="5" t="s">
        <v>4869</v>
      </c>
      <c r="Q6" s="5" t="s">
        <v>4870</v>
      </c>
      <c r="R6" s="5" t="s">
        <v>4871</v>
      </c>
      <c r="S6" s="5" t="s">
        <v>4872</v>
      </c>
      <c r="T6" s="5" t="s">
        <v>51</v>
      </c>
      <c r="U6" s="5" t="s">
        <v>4873</v>
      </c>
      <c r="V6" s="5" t="s">
        <v>2140</v>
      </c>
      <c r="W6" s="5" t="s">
        <v>1054</v>
      </c>
      <c r="X6" s="5" t="s">
        <v>4874</v>
      </c>
      <c r="Y6" s="5" t="s">
        <v>1378</v>
      </c>
      <c r="Z6" s="5" t="s">
        <v>1379</v>
      </c>
      <c r="AA6" s="5" t="s">
        <v>4875</v>
      </c>
      <c r="AB6" s="5">
        <v>7</v>
      </c>
      <c r="AC6" s="5" t="s">
        <v>78</v>
      </c>
      <c r="AD6" s="5" t="s">
        <v>4876</v>
      </c>
      <c r="AE6" s="5" t="s">
        <v>4877</v>
      </c>
      <c r="AF6" s="5" t="s">
        <v>1061</v>
      </c>
      <c r="AG6" s="5">
        <v>499850</v>
      </c>
      <c r="AH6" s="5">
        <v>0</v>
      </c>
      <c r="AI6" s="5"/>
      <c r="AJ6" s="5"/>
      <c r="AK6" s="9"/>
      <c r="AL6" s="15" t="s">
        <v>6232</v>
      </c>
      <c r="AM6">
        <v>15495</v>
      </c>
    </row>
    <row r="7" spans="1:39" x14ac:dyDescent="0.25">
      <c r="A7" s="6">
        <v>384</v>
      </c>
      <c r="B7" s="7" t="s">
        <v>37</v>
      </c>
      <c r="C7" s="7" t="s">
        <v>4878</v>
      </c>
      <c r="D7" s="7" t="s">
        <v>4811</v>
      </c>
      <c r="E7" s="7" t="s">
        <v>40</v>
      </c>
      <c r="F7" s="7" t="s">
        <v>1788</v>
      </c>
      <c r="G7" s="7" t="s">
        <v>4879</v>
      </c>
      <c r="H7" s="7" t="s">
        <v>233</v>
      </c>
      <c r="I7" s="7" t="s">
        <v>4880</v>
      </c>
      <c r="J7" s="7" t="s">
        <v>4881</v>
      </c>
      <c r="K7" s="7" t="s">
        <v>4881</v>
      </c>
      <c r="L7" s="7" t="s">
        <v>4881</v>
      </c>
      <c r="M7" s="7" t="s">
        <v>4882</v>
      </c>
      <c r="N7" s="7">
        <v>487068</v>
      </c>
      <c r="O7" s="7">
        <v>1730000</v>
      </c>
      <c r="P7" s="7" t="s">
        <v>4883</v>
      </c>
      <c r="Q7" s="12">
        <v>45595</v>
      </c>
      <c r="R7" s="7" t="s">
        <v>4884</v>
      </c>
      <c r="S7" s="7" t="s">
        <v>4885</v>
      </c>
      <c r="T7" s="7" t="s">
        <v>51</v>
      </c>
      <c r="U7" s="7" t="s">
        <v>48</v>
      </c>
      <c r="V7" s="7" t="s">
        <v>1591</v>
      </c>
      <c r="W7" s="7" t="s">
        <v>198</v>
      </c>
      <c r="X7" s="7" t="s">
        <v>1503</v>
      </c>
      <c r="Y7" s="7" t="s">
        <v>1504</v>
      </c>
      <c r="Z7" s="7" t="s">
        <v>1518</v>
      </c>
      <c r="AA7" s="7" t="s">
        <v>4886</v>
      </c>
      <c r="AB7" s="7">
        <v>5</v>
      </c>
      <c r="AC7" s="7" t="s">
        <v>556</v>
      </c>
      <c r="AD7" s="7" t="s">
        <v>4887</v>
      </c>
      <c r="AE7" s="7" t="s">
        <v>1503</v>
      </c>
      <c r="AF7" s="7" t="s">
        <v>61</v>
      </c>
      <c r="AG7" s="7">
        <v>1297500</v>
      </c>
      <c r="AH7" s="7">
        <v>0</v>
      </c>
      <c r="AI7" s="7"/>
      <c r="AJ7" s="7"/>
      <c r="AK7" s="10"/>
      <c r="AL7" t="s">
        <v>6225</v>
      </c>
      <c r="AM7" s="13">
        <v>25950</v>
      </c>
    </row>
    <row r="8" spans="1:39" hidden="1" x14ac:dyDescent="0.25">
      <c r="A8" s="4">
        <v>385</v>
      </c>
      <c r="B8" s="5" t="s">
        <v>37</v>
      </c>
      <c r="C8" s="5" t="s">
        <v>4888</v>
      </c>
      <c r="D8" s="5" t="s">
        <v>4811</v>
      </c>
      <c r="E8" s="5" t="s">
        <v>40</v>
      </c>
      <c r="F8" s="5" t="s">
        <v>4889</v>
      </c>
      <c r="G8" s="5" t="s">
        <v>4890</v>
      </c>
      <c r="H8" s="5" t="s">
        <v>83</v>
      </c>
      <c r="I8" s="5" t="s">
        <v>4891</v>
      </c>
      <c r="J8" s="5" t="s">
        <v>4892</v>
      </c>
      <c r="K8" s="5" t="s">
        <v>4892</v>
      </c>
      <c r="L8" s="5" t="s">
        <v>4892</v>
      </c>
      <c r="M8" s="5" t="s">
        <v>4893</v>
      </c>
      <c r="N8" s="5">
        <v>173147</v>
      </c>
      <c r="O8" s="5">
        <v>5430000</v>
      </c>
      <c r="P8" s="5" t="s">
        <v>4894</v>
      </c>
      <c r="Q8" s="11">
        <v>45593</v>
      </c>
      <c r="R8" s="5" t="s">
        <v>4895</v>
      </c>
      <c r="S8" s="5" t="s">
        <v>4896</v>
      </c>
      <c r="T8" s="5" t="s">
        <v>51</v>
      </c>
      <c r="U8" s="5" t="s">
        <v>48</v>
      </c>
      <c r="V8" s="5" t="s">
        <v>4897</v>
      </c>
      <c r="W8" s="5" t="s">
        <v>198</v>
      </c>
      <c r="X8" s="5" t="s">
        <v>1847</v>
      </c>
      <c r="Y8" s="5" t="s">
        <v>1504</v>
      </c>
      <c r="Z8" s="5" t="s">
        <v>181</v>
      </c>
      <c r="AA8" s="5" t="s">
        <v>4898</v>
      </c>
      <c r="AB8" s="5">
        <v>4</v>
      </c>
      <c r="AC8" s="5" t="s">
        <v>48</v>
      </c>
      <c r="AD8" s="5" t="s">
        <v>48</v>
      </c>
      <c r="AE8" s="5" t="s">
        <v>48</v>
      </c>
      <c r="AF8" s="5" t="s">
        <v>882</v>
      </c>
      <c r="AG8" s="5">
        <v>4344000</v>
      </c>
      <c r="AH8" s="5">
        <v>0</v>
      </c>
      <c r="AI8" s="5"/>
      <c r="AJ8" s="5"/>
      <c r="AK8" s="9"/>
      <c r="AL8" t="e">
        <v>#N/A</v>
      </c>
      <c r="AM8">
        <v>0</v>
      </c>
    </row>
    <row r="9" spans="1:39" hidden="1" x14ac:dyDescent="0.25">
      <c r="A9" s="6">
        <v>386</v>
      </c>
      <c r="B9" s="7" t="s">
        <v>37</v>
      </c>
      <c r="C9" s="7" t="s">
        <v>4899</v>
      </c>
      <c r="D9" s="7" t="s">
        <v>4811</v>
      </c>
      <c r="E9" s="7" t="s">
        <v>40</v>
      </c>
      <c r="F9" s="7" t="s">
        <v>789</v>
      </c>
      <c r="G9" s="7" t="s">
        <v>4900</v>
      </c>
      <c r="H9" s="7" t="s">
        <v>83</v>
      </c>
      <c r="I9" s="7" t="s">
        <v>4901</v>
      </c>
      <c r="J9" s="7" t="s">
        <v>4902</v>
      </c>
      <c r="K9" s="7" t="s">
        <v>4902</v>
      </c>
      <c r="L9" s="7" t="s">
        <v>4902</v>
      </c>
      <c r="M9" s="7" t="s">
        <v>4903</v>
      </c>
      <c r="N9" s="7">
        <v>36518</v>
      </c>
      <c r="O9" s="7">
        <v>1700000</v>
      </c>
      <c r="P9" s="7" t="s">
        <v>4904</v>
      </c>
      <c r="Q9" s="12">
        <v>45588</v>
      </c>
      <c r="R9" s="7" t="s">
        <v>4905</v>
      </c>
      <c r="S9" s="7" t="s">
        <v>4906</v>
      </c>
      <c r="T9" s="7" t="s">
        <v>1516</v>
      </c>
      <c r="U9" s="7" t="s">
        <v>4907</v>
      </c>
      <c r="V9" s="7" t="s">
        <v>1984</v>
      </c>
      <c r="W9" s="7" t="s">
        <v>1180</v>
      </c>
      <c r="X9" s="7" t="s">
        <v>2141</v>
      </c>
      <c r="Y9" s="7" t="s">
        <v>2141</v>
      </c>
      <c r="Z9" s="7" t="s">
        <v>879</v>
      </c>
      <c r="AA9" s="7" t="s">
        <v>4908</v>
      </c>
      <c r="AB9" s="7">
        <v>4</v>
      </c>
      <c r="AC9" s="7" t="s">
        <v>78</v>
      </c>
      <c r="AD9" s="7" t="s">
        <v>4909</v>
      </c>
      <c r="AE9" s="7" t="s">
        <v>2185</v>
      </c>
      <c r="AF9" s="7" t="s">
        <v>61</v>
      </c>
      <c r="AG9" s="7">
        <v>1360000</v>
      </c>
      <c r="AH9" s="7">
        <v>0</v>
      </c>
      <c r="AI9" s="7"/>
      <c r="AJ9" s="7"/>
      <c r="AK9" s="10"/>
      <c r="AL9" t="e">
        <v>#N/A</v>
      </c>
      <c r="AM9">
        <v>0</v>
      </c>
    </row>
    <row r="10" spans="1:39" x14ac:dyDescent="0.25">
      <c r="A10" s="4">
        <v>387</v>
      </c>
      <c r="B10" s="5" t="s">
        <v>37</v>
      </c>
      <c r="C10" s="5" t="s">
        <v>4910</v>
      </c>
      <c r="D10" s="5" t="s">
        <v>4811</v>
      </c>
      <c r="E10" s="5" t="s">
        <v>40</v>
      </c>
      <c r="F10" s="5" t="s">
        <v>2044</v>
      </c>
      <c r="G10" s="5" t="s">
        <v>4911</v>
      </c>
      <c r="H10" s="5" t="s">
        <v>83</v>
      </c>
      <c r="I10" s="5" t="s">
        <v>4912</v>
      </c>
      <c r="J10" s="5" t="s">
        <v>4913</v>
      </c>
      <c r="K10" s="5" t="s">
        <v>4914</v>
      </c>
      <c r="L10" s="5" t="s">
        <v>4915</v>
      </c>
      <c r="M10" s="5" t="s">
        <v>4916</v>
      </c>
      <c r="N10" s="5">
        <v>1161433</v>
      </c>
      <c r="O10" s="5">
        <v>4930000</v>
      </c>
      <c r="P10" s="5" t="s">
        <v>4917</v>
      </c>
      <c r="Q10" s="11">
        <v>45586</v>
      </c>
      <c r="R10" s="5" t="s">
        <v>4918</v>
      </c>
      <c r="S10" s="5" t="s">
        <v>4919</v>
      </c>
      <c r="T10" s="5" t="s">
        <v>51</v>
      </c>
      <c r="U10" s="5" t="s">
        <v>48</v>
      </c>
      <c r="V10" s="5" t="s">
        <v>150</v>
      </c>
      <c r="W10" s="5" t="s">
        <v>198</v>
      </c>
      <c r="X10" s="5" t="s">
        <v>4920</v>
      </c>
      <c r="Y10" s="5" t="s">
        <v>2141</v>
      </c>
      <c r="Z10" s="5" t="s">
        <v>1363</v>
      </c>
      <c r="AA10" s="5" t="s">
        <v>4921</v>
      </c>
      <c r="AB10" s="5">
        <v>5</v>
      </c>
      <c r="AC10" s="5" t="s">
        <v>48</v>
      </c>
      <c r="AD10" s="5" t="s">
        <v>48</v>
      </c>
      <c r="AE10" s="5" t="s">
        <v>48</v>
      </c>
      <c r="AF10" s="5" t="s">
        <v>882</v>
      </c>
      <c r="AG10" s="5">
        <v>3697500</v>
      </c>
      <c r="AH10" s="5">
        <v>0</v>
      </c>
      <c r="AI10" s="5"/>
      <c r="AJ10" s="5"/>
      <c r="AK10" s="9"/>
      <c r="AL10" t="s">
        <v>6233</v>
      </c>
      <c r="AM10" s="13">
        <v>55462.5</v>
      </c>
    </row>
    <row r="11" spans="1:39" hidden="1" x14ac:dyDescent="0.25">
      <c r="A11" s="6">
        <v>388</v>
      </c>
      <c r="B11" s="7" t="s">
        <v>37</v>
      </c>
      <c r="C11" s="7" t="s">
        <v>4922</v>
      </c>
      <c r="D11" s="7" t="s">
        <v>4811</v>
      </c>
      <c r="E11" s="7" t="s">
        <v>40</v>
      </c>
      <c r="F11" s="7" t="s">
        <v>41</v>
      </c>
      <c r="G11" s="7" t="s">
        <v>4923</v>
      </c>
      <c r="H11" s="7" t="s">
        <v>4159</v>
      </c>
      <c r="I11" s="7" t="s">
        <v>4924</v>
      </c>
      <c r="J11" s="7" t="s">
        <v>4925</v>
      </c>
      <c r="K11" s="7" t="s">
        <v>4926</v>
      </c>
      <c r="L11" s="7" t="s">
        <v>48</v>
      </c>
      <c r="M11" s="7" t="s">
        <v>4927</v>
      </c>
      <c r="N11" s="7">
        <v>111358</v>
      </c>
      <c r="O11" s="7">
        <v>3928000</v>
      </c>
      <c r="P11" s="7" t="s">
        <v>4928</v>
      </c>
      <c r="Q11" s="12">
        <v>45585</v>
      </c>
      <c r="R11" s="7" t="s">
        <v>4929</v>
      </c>
      <c r="S11" s="7" t="s">
        <v>4930</v>
      </c>
      <c r="T11" s="7" t="s">
        <v>51</v>
      </c>
      <c r="U11" s="7" t="s">
        <v>48</v>
      </c>
      <c r="V11" s="7" t="s">
        <v>3220</v>
      </c>
      <c r="W11" s="7" t="s">
        <v>198</v>
      </c>
      <c r="X11" s="7" t="s">
        <v>4931</v>
      </c>
      <c r="Y11" s="7" t="s">
        <v>1504</v>
      </c>
      <c r="Z11" s="7" t="s">
        <v>181</v>
      </c>
      <c r="AA11" s="7" t="s">
        <v>4932</v>
      </c>
      <c r="AB11" s="7">
        <v>4</v>
      </c>
      <c r="AC11" s="7" t="s">
        <v>556</v>
      </c>
      <c r="AD11" s="7" t="s">
        <v>4933</v>
      </c>
      <c r="AE11" s="7" t="s">
        <v>2285</v>
      </c>
      <c r="AF11" s="7" t="s">
        <v>61</v>
      </c>
      <c r="AG11" s="7">
        <v>3142400</v>
      </c>
      <c r="AH11" s="7">
        <v>0</v>
      </c>
      <c r="AI11" s="7"/>
      <c r="AJ11" s="7"/>
      <c r="AK11" s="10"/>
      <c r="AL11" t="e">
        <v>#N/A</v>
      </c>
      <c r="AM11">
        <v>0</v>
      </c>
    </row>
    <row r="12" spans="1:39" hidden="1" x14ac:dyDescent="0.25">
      <c r="A12" s="4">
        <v>389</v>
      </c>
      <c r="B12" s="5" t="s">
        <v>37</v>
      </c>
      <c r="C12" s="5" t="s">
        <v>4934</v>
      </c>
      <c r="D12" s="5" t="s">
        <v>4811</v>
      </c>
      <c r="E12" s="5" t="s">
        <v>40</v>
      </c>
      <c r="F12" s="5" t="s">
        <v>1559</v>
      </c>
      <c r="G12" s="5" t="s">
        <v>4935</v>
      </c>
      <c r="H12" s="5" t="s">
        <v>188</v>
      </c>
      <c r="I12" s="5" t="s">
        <v>4936</v>
      </c>
      <c r="J12" s="5" t="s">
        <v>4937</v>
      </c>
      <c r="K12" s="5" t="s">
        <v>4937</v>
      </c>
      <c r="L12" s="5" t="s">
        <v>4938</v>
      </c>
      <c r="M12" s="5" t="s">
        <v>4939</v>
      </c>
      <c r="N12" s="5">
        <v>26956</v>
      </c>
      <c r="O12" s="5">
        <v>1555000</v>
      </c>
      <c r="P12" s="5" t="s">
        <v>4940</v>
      </c>
      <c r="Q12" s="11">
        <v>45584</v>
      </c>
      <c r="R12" s="5" t="s">
        <v>4941</v>
      </c>
      <c r="S12" s="5" t="s">
        <v>4942</v>
      </c>
      <c r="T12" s="5" t="s">
        <v>51</v>
      </c>
      <c r="U12" s="5" t="s">
        <v>48</v>
      </c>
      <c r="V12" s="5" t="s">
        <v>4943</v>
      </c>
      <c r="W12" s="5" t="s">
        <v>198</v>
      </c>
      <c r="X12" s="5" t="s">
        <v>2448</v>
      </c>
      <c r="Y12" s="5" t="s">
        <v>2448</v>
      </c>
      <c r="Z12" s="5" t="s">
        <v>242</v>
      </c>
      <c r="AA12" s="5" t="s">
        <v>4944</v>
      </c>
      <c r="AB12" s="5">
        <v>4</v>
      </c>
      <c r="AC12" s="5" t="s">
        <v>556</v>
      </c>
      <c r="AD12" s="5" t="s">
        <v>4945</v>
      </c>
      <c r="AE12" s="5" t="s">
        <v>2771</v>
      </c>
      <c r="AF12" s="5" t="s">
        <v>61</v>
      </c>
      <c r="AG12" s="5">
        <v>1244000</v>
      </c>
      <c r="AH12" s="5">
        <v>0</v>
      </c>
      <c r="AI12" s="5"/>
      <c r="AJ12" s="5"/>
      <c r="AK12" s="9"/>
      <c r="AL12" t="e">
        <v>#N/A</v>
      </c>
      <c r="AM12">
        <v>0</v>
      </c>
    </row>
    <row r="13" spans="1:39" hidden="1" x14ac:dyDescent="0.25">
      <c r="A13" s="6">
        <v>390</v>
      </c>
      <c r="B13" s="7" t="s">
        <v>37</v>
      </c>
      <c r="C13" s="7" t="s">
        <v>4946</v>
      </c>
      <c r="D13" s="7" t="s">
        <v>4811</v>
      </c>
      <c r="E13" s="7" t="s">
        <v>40</v>
      </c>
      <c r="F13" s="7" t="s">
        <v>1209</v>
      </c>
      <c r="G13" s="7" t="s">
        <v>4947</v>
      </c>
      <c r="H13" s="7" t="s">
        <v>422</v>
      </c>
      <c r="I13" s="7" t="s">
        <v>4948</v>
      </c>
      <c r="J13" s="7" t="s">
        <v>4949</v>
      </c>
      <c r="K13" s="7" t="s">
        <v>4950</v>
      </c>
      <c r="L13" s="7" t="s">
        <v>4951</v>
      </c>
      <c r="M13" s="7" t="s">
        <v>4952</v>
      </c>
      <c r="N13" s="7">
        <v>108314</v>
      </c>
      <c r="O13" s="7">
        <v>2550000</v>
      </c>
      <c r="P13" s="7" t="s">
        <v>4953</v>
      </c>
      <c r="Q13" s="12">
        <v>45580</v>
      </c>
      <c r="R13" s="7" t="s">
        <v>4954</v>
      </c>
      <c r="S13" s="7" t="s">
        <v>4955</v>
      </c>
      <c r="T13" s="7" t="s">
        <v>196</v>
      </c>
      <c r="U13" s="7" t="s">
        <v>4956</v>
      </c>
      <c r="V13" s="7" t="s">
        <v>837</v>
      </c>
      <c r="W13" s="7" t="s">
        <v>1393</v>
      </c>
      <c r="X13" s="7" t="s">
        <v>2542</v>
      </c>
      <c r="Y13" s="7" t="s">
        <v>2448</v>
      </c>
      <c r="Z13" s="7" t="s">
        <v>242</v>
      </c>
      <c r="AA13" s="7" t="s">
        <v>4957</v>
      </c>
      <c r="AB13" s="7">
        <v>4</v>
      </c>
      <c r="AC13" s="7" t="s">
        <v>2492</v>
      </c>
      <c r="AD13" s="7" t="s">
        <v>4958</v>
      </c>
      <c r="AE13" s="7" t="s">
        <v>2771</v>
      </c>
      <c r="AF13" s="7" t="s">
        <v>61</v>
      </c>
      <c r="AG13" s="7">
        <v>2040000</v>
      </c>
      <c r="AH13" s="7">
        <v>0</v>
      </c>
      <c r="AI13" s="7"/>
      <c r="AJ13" s="7"/>
      <c r="AK13" s="10"/>
      <c r="AL13" t="e">
        <v>#N/A</v>
      </c>
      <c r="AM13">
        <v>0</v>
      </c>
    </row>
    <row r="14" spans="1:39" hidden="1" x14ac:dyDescent="0.25">
      <c r="A14" s="4">
        <v>391</v>
      </c>
      <c r="B14" s="5" t="s">
        <v>37</v>
      </c>
      <c r="C14" s="5" t="s">
        <v>4959</v>
      </c>
      <c r="D14" s="5" t="s">
        <v>4811</v>
      </c>
      <c r="E14" s="5" t="s">
        <v>40</v>
      </c>
      <c r="F14" s="5" t="s">
        <v>285</v>
      </c>
      <c r="G14" s="5" t="s">
        <v>4960</v>
      </c>
      <c r="H14" s="5" t="s">
        <v>188</v>
      </c>
      <c r="I14" s="5" t="s">
        <v>4961</v>
      </c>
      <c r="J14" s="5" t="s">
        <v>48</v>
      </c>
      <c r="K14" s="5" t="s">
        <v>4962</v>
      </c>
      <c r="L14" s="5" t="s">
        <v>48</v>
      </c>
      <c r="M14" s="5" t="s">
        <v>4963</v>
      </c>
      <c r="N14" s="5">
        <v>297187</v>
      </c>
      <c r="O14" s="5">
        <v>7048500</v>
      </c>
      <c r="P14" s="5" t="s">
        <v>4964</v>
      </c>
      <c r="Q14" s="11">
        <v>45578</v>
      </c>
      <c r="R14" s="5" t="s">
        <v>4965</v>
      </c>
      <c r="S14" s="5" t="s">
        <v>4966</v>
      </c>
      <c r="T14" s="5" t="s">
        <v>51</v>
      </c>
      <c r="U14" s="5" t="s">
        <v>48</v>
      </c>
      <c r="V14" s="5" t="s">
        <v>4967</v>
      </c>
      <c r="W14" s="5" t="s">
        <v>198</v>
      </c>
      <c r="X14" s="5" t="s">
        <v>4968</v>
      </c>
      <c r="Y14" s="5" t="s">
        <v>1504</v>
      </c>
      <c r="Z14" s="5" t="s">
        <v>181</v>
      </c>
      <c r="AA14" s="5" t="s">
        <v>4969</v>
      </c>
      <c r="AB14" s="5">
        <v>4</v>
      </c>
      <c r="AC14" s="5" t="s">
        <v>78</v>
      </c>
      <c r="AD14" s="5" t="s">
        <v>4970</v>
      </c>
      <c r="AE14" s="5" t="s">
        <v>2941</v>
      </c>
      <c r="AF14" s="5" t="s">
        <v>882</v>
      </c>
      <c r="AG14" s="5">
        <v>5638800</v>
      </c>
      <c r="AH14" s="5">
        <v>0</v>
      </c>
      <c r="AI14" s="5"/>
      <c r="AJ14" s="5"/>
      <c r="AK14" s="9"/>
      <c r="AL14" t="e">
        <v>#N/A</v>
      </c>
      <c r="AM14">
        <v>0</v>
      </c>
    </row>
    <row r="15" spans="1:39" x14ac:dyDescent="0.25">
      <c r="A15" s="6">
        <v>392</v>
      </c>
      <c r="B15" s="7" t="s">
        <v>37</v>
      </c>
      <c r="C15" s="7" t="s">
        <v>4971</v>
      </c>
      <c r="D15" s="7" t="s">
        <v>4811</v>
      </c>
      <c r="E15" s="7" t="s">
        <v>40</v>
      </c>
      <c r="F15" s="7" t="s">
        <v>3067</v>
      </c>
      <c r="G15" s="7" t="s">
        <v>4972</v>
      </c>
      <c r="H15" s="7" t="s">
        <v>188</v>
      </c>
      <c r="I15" s="7" t="s">
        <v>4973</v>
      </c>
      <c r="J15" s="7" t="s">
        <v>48</v>
      </c>
      <c r="K15" s="7" t="s">
        <v>4974</v>
      </c>
      <c r="L15" s="7" t="s">
        <v>48</v>
      </c>
      <c r="M15" s="7" t="s">
        <v>4975</v>
      </c>
      <c r="N15" s="7">
        <v>575062</v>
      </c>
      <c r="O15" s="7">
        <v>2574000</v>
      </c>
      <c r="P15" s="7" t="s">
        <v>4976</v>
      </c>
      <c r="Q15" s="12">
        <v>45576</v>
      </c>
      <c r="R15" s="7" t="s">
        <v>4977</v>
      </c>
      <c r="S15" s="7" t="s">
        <v>4978</v>
      </c>
      <c r="T15" s="7" t="s">
        <v>51</v>
      </c>
      <c r="U15" s="7" t="s">
        <v>48</v>
      </c>
      <c r="V15" s="7" t="s">
        <v>1654</v>
      </c>
      <c r="W15" s="7" t="s">
        <v>198</v>
      </c>
      <c r="X15" s="7" t="s">
        <v>2243</v>
      </c>
      <c r="Y15" s="7" t="s">
        <v>2448</v>
      </c>
      <c r="Z15" s="7" t="s">
        <v>507</v>
      </c>
      <c r="AA15" s="7" t="s">
        <v>4979</v>
      </c>
      <c r="AB15" s="7">
        <v>5</v>
      </c>
      <c r="AC15" s="7" t="s">
        <v>58</v>
      </c>
      <c r="AD15" s="7" t="s">
        <v>4980</v>
      </c>
      <c r="AE15" s="7" t="s">
        <v>3093</v>
      </c>
      <c r="AF15" s="7" t="s">
        <v>61</v>
      </c>
      <c r="AG15" s="7">
        <v>1930500</v>
      </c>
      <c r="AH15" s="7">
        <v>0</v>
      </c>
      <c r="AI15" s="7"/>
      <c r="AJ15" s="7"/>
      <c r="AK15" s="10"/>
      <c r="AL15" t="s">
        <v>6226</v>
      </c>
      <c r="AM15" s="13">
        <v>38610</v>
      </c>
    </row>
    <row r="16" spans="1:39" x14ac:dyDescent="0.25">
      <c r="A16" s="4">
        <v>393</v>
      </c>
      <c r="B16" s="5" t="s">
        <v>37</v>
      </c>
      <c r="C16" s="5" t="s">
        <v>4981</v>
      </c>
      <c r="D16" s="5" t="s">
        <v>4811</v>
      </c>
      <c r="E16" s="5" t="s">
        <v>40</v>
      </c>
      <c r="F16" s="5" t="s">
        <v>2377</v>
      </c>
      <c r="G16" s="5" t="s">
        <v>4982</v>
      </c>
      <c r="H16" s="5" t="s">
        <v>83</v>
      </c>
      <c r="I16" s="5" t="s">
        <v>4983</v>
      </c>
      <c r="J16" s="5" t="s">
        <v>48</v>
      </c>
      <c r="K16" s="5" t="s">
        <v>4984</v>
      </c>
      <c r="L16" s="5" t="s">
        <v>4985</v>
      </c>
      <c r="M16" s="5" t="s">
        <v>4986</v>
      </c>
      <c r="N16" s="5">
        <v>548010</v>
      </c>
      <c r="O16" s="5">
        <v>2645000</v>
      </c>
      <c r="P16" s="5" t="s">
        <v>4987</v>
      </c>
      <c r="Q16" s="11">
        <v>45573</v>
      </c>
      <c r="R16" s="5" t="s">
        <v>4988</v>
      </c>
      <c r="S16" s="5" t="s">
        <v>4989</v>
      </c>
      <c r="T16" s="5" t="s">
        <v>51</v>
      </c>
      <c r="U16" s="5" t="s">
        <v>48</v>
      </c>
      <c r="V16" s="5" t="s">
        <v>4990</v>
      </c>
      <c r="W16" s="5" t="s">
        <v>198</v>
      </c>
      <c r="X16" s="5" t="s">
        <v>1907</v>
      </c>
      <c r="Y16" s="5" t="s">
        <v>2448</v>
      </c>
      <c r="Z16" s="5" t="s">
        <v>507</v>
      </c>
      <c r="AA16" s="5" t="s">
        <v>4991</v>
      </c>
      <c r="AB16" s="5">
        <v>5</v>
      </c>
      <c r="AC16" s="5" t="s">
        <v>78</v>
      </c>
      <c r="AD16" s="5" t="s">
        <v>4992</v>
      </c>
      <c r="AE16" s="5" t="s">
        <v>2984</v>
      </c>
      <c r="AF16" s="5" t="s">
        <v>61</v>
      </c>
      <c r="AG16" s="5">
        <v>1983750</v>
      </c>
      <c r="AH16" s="5">
        <v>0</v>
      </c>
      <c r="AI16" s="5"/>
      <c r="AJ16" s="5"/>
      <c r="AK16" s="9"/>
      <c r="AL16" t="s">
        <v>6227</v>
      </c>
      <c r="AM16" s="13">
        <v>39675</v>
      </c>
    </row>
    <row r="17" spans="1:39" hidden="1" x14ac:dyDescent="0.25">
      <c r="A17" s="6">
        <v>394</v>
      </c>
      <c r="B17" s="7" t="s">
        <v>37</v>
      </c>
      <c r="C17" s="7" t="s">
        <v>4993</v>
      </c>
      <c r="D17" s="7" t="s">
        <v>4811</v>
      </c>
      <c r="E17" s="7" t="s">
        <v>40</v>
      </c>
      <c r="F17" s="7" t="s">
        <v>1044</v>
      </c>
      <c r="G17" s="7" t="s">
        <v>42</v>
      </c>
      <c r="H17" s="7" t="s">
        <v>43</v>
      </c>
      <c r="I17" s="7" t="s">
        <v>4994</v>
      </c>
      <c r="J17" s="7" t="s">
        <v>4995</v>
      </c>
      <c r="K17" s="7" t="s">
        <v>4996</v>
      </c>
      <c r="L17" s="7" t="s">
        <v>4995</v>
      </c>
      <c r="M17" s="7" t="s">
        <v>4997</v>
      </c>
      <c r="N17" s="7">
        <v>59768</v>
      </c>
      <c r="O17" s="7">
        <v>1745000</v>
      </c>
      <c r="P17" s="7" t="s">
        <v>4998</v>
      </c>
      <c r="Q17" s="12">
        <v>45571</v>
      </c>
      <c r="R17" s="7" t="s">
        <v>4999</v>
      </c>
      <c r="S17" s="7" t="s">
        <v>5000</v>
      </c>
      <c r="T17" s="7" t="s">
        <v>51</v>
      </c>
      <c r="U17" s="7" t="s">
        <v>48</v>
      </c>
      <c r="V17" s="7" t="s">
        <v>965</v>
      </c>
      <c r="W17" s="7" t="s">
        <v>198</v>
      </c>
      <c r="X17" s="7" t="s">
        <v>5001</v>
      </c>
      <c r="Y17" s="7" t="s">
        <v>3090</v>
      </c>
      <c r="Z17" s="7" t="s">
        <v>281</v>
      </c>
      <c r="AA17" s="7" t="s">
        <v>5002</v>
      </c>
      <c r="AB17" s="7">
        <v>4</v>
      </c>
      <c r="AC17" s="7" t="s">
        <v>78</v>
      </c>
      <c r="AD17" s="7" t="s">
        <v>5003</v>
      </c>
      <c r="AE17" s="7" t="s">
        <v>3299</v>
      </c>
      <c r="AF17" s="7" t="s">
        <v>61</v>
      </c>
      <c r="AG17" s="7">
        <v>1396000</v>
      </c>
      <c r="AH17" s="7">
        <v>0</v>
      </c>
      <c r="AI17" s="7"/>
      <c r="AJ17" s="7"/>
      <c r="AK17" s="10"/>
      <c r="AL17" t="e">
        <v>#N/A</v>
      </c>
      <c r="AM17">
        <v>0</v>
      </c>
    </row>
    <row r="18" spans="1:39" hidden="1" x14ac:dyDescent="0.25">
      <c r="A18" s="4">
        <v>395</v>
      </c>
      <c r="B18" s="5" t="s">
        <v>37</v>
      </c>
      <c r="C18" s="5" t="s">
        <v>5004</v>
      </c>
      <c r="D18" s="5" t="s">
        <v>4811</v>
      </c>
      <c r="E18" s="5" t="s">
        <v>40</v>
      </c>
      <c r="F18" s="5" t="s">
        <v>2044</v>
      </c>
      <c r="G18" s="5" t="s">
        <v>5005</v>
      </c>
      <c r="H18" s="5" t="s">
        <v>896</v>
      </c>
      <c r="I18" s="5" t="s">
        <v>5006</v>
      </c>
      <c r="J18" s="5" t="s">
        <v>5007</v>
      </c>
      <c r="K18" s="5" t="s">
        <v>5007</v>
      </c>
      <c r="L18" s="5" t="s">
        <v>5007</v>
      </c>
      <c r="M18" s="5" t="s">
        <v>5008</v>
      </c>
      <c r="N18" s="5">
        <v>91953</v>
      </c>
      <c r="O18" s="5">
        <v>5399000</v>
      </c>
      <c r="P18" s="5" t="s">
        <v>5009</v>
      </c>
      <c r="Q18" s="11">
        <v>45569</v>
      </c>
      <c r="R18" s="5" t="s">
        <v>5010</v>
      </c>
      <c r="S18" s="5" t="s">
        <v>5011</v>
      </c>
      <c r="T18" s="5" t="s">
        <v>51</v>
      </c>
      <c r="U18" s="5" t="s">
        <v>48</v>
      </c>
      <c r="V18" s="5" t="s">
        <v>164</v>
      </c>
      <c r="W18" s="5" t="s">
        <v>198</v>
      </c>
      <c r="X18" s="5" t="s">
        <v>2634</v>
      </c>
      <c r="Y18" s="5" t="s">
        <v>2448</v>
      </c>
      <c r="Z18" s="5" t="s">
        <v>242</v>
      </c>
      <c r="AA18" s="5" t="s">
        <v>5012</v>
      </c>
      <c r="AB18" s="5">
        <v>4</v>
      </c>
      <c r="AC18" s="5" t="s">
        <v>48</v>
      </c>
      <c r="AD18" s="5" t="s">
        <v>48</v>
      </c>
      <c r="AE18" s="5" t="s">
        <v>48</v>
      </c>
      <c r="AF18" s="5" t="s">
        <v>882</v>
      </c>
      <c r="AG18" s="5">
        <v>4319200</v>
      </c>
      <c r="AH18" s="5">
        <v>0</v>
      </c>
      <c r="AI18" s="5"/>
      <c r="AJ18" s="5"/>
      <c r="AK18" s="9"/>
      <c r="AL18" t="e">
        <v>#N/A</v>
      </c>
      <c r="AM18">
        <v>0</v>
      </c>
    </row>
    <row r="19" spans="1:39" hidden="1" x14ac:dyDescent="0.25">
      <c r="A19" s="6">
        <v>396</v>
      </c>
      <c r="B19" s="7" t="s">
        <v>37</v>
      </c>
      <c r="C19" s="7" t="s">
        <v>5013</v>
      </c>
      <c r="D19" s="7" t="s">
        <v>4811</v>
      </c>
      <c r="E19" s="7" t="s">
        <v>40</v>
      </c>
      <c r="F19" s="7" t="s">
        <v>2199</v>
      </c>
      <c r="G19" s="7" t="s">
        <v>5014</v>
      </c>
      <c r="H19" s="7" t="s">
        <v>188</v>
      </c>
      <c r="I19" s="7" t="s">
        <v>5015</v>
      </c>
      <c r="J19" s="7" t="s">
        <v>5016</v>
      </c>
      <c r="K19" s="7" t="s">
        <v>5016</v>
      </c>
      <c r="L19" s="7" t="s">
        <v>5017</v>
      </c>
      <c r="M19" s="7" t="s">
        <v>5018</v>
      </c>
      <c r="N19" s="7">
        <v>188475</v>
      </c>
      <c r="O19" s="7">
        <v>5485000</v>
      </c>
      <c r="P19" s="7" t="s">
        <v>5019</v>
      </c>
      <c r="Q19" s="12">
        <v>45577</v>
      </c>
      <c r="R19" s="7" t="s">
        <v>5020</v>
      </c>
      <c r="S19" s="7" t="s">
        <v>5021</v>
      </c>
      <c r="T19" s="7" t="s">
        <v>51</v>
      </c>
      <c r="U19" s="7" t="s">
        <v>48</v>
      </c>
      <c r="V19" s="7" t="s">
        <v>2445</v>
      </c>
      <c r="W19" s="7" t="s">
        <v>198</v>
      </c>
      <c r="X19" s="7" t="s">
        <v>2209</v>
      </c>
      <c r="Y19" s="7" t="s">
        <v>152</v>
      </c>
      <c r="Z19" s="7" t="s">
        <v>181</v>
      </c>
      <c r="AA19" s="7" t="s">
        <v>5022</v>
      </c>
      <c r="AB19" s="7">
        <v>3</v>
      </c>
      <c r="AC19" s="7" t="s">
        <v>78</v>
      </c>
      <c r="AD19" s="7" t="s">
        <v>5023</v>
      </c>
      <c r="AE19" s="7" t="s">
        <v>864</v>
      </c>
      <c r="AF19" s="7" t="s">
        <v>61</v>
      </c>
      <c r="AG19" s="7">
        <v>4388000</v>
      </c>
      <c r="AH19" s="7">
        <v>0</v>
      </c>
      <c r="AI19" s="7"/>
      <c r="AJ19" s="7"/>
      <c r="AK19" s="10"/>
      <c r="AL19" t="e">
        <v>#N/A</v>
      </c>
      <c r="AM19">
        <v>0</v>
      </c>
    </row>
    <row r="20" spans="1:39" hidden="1" x14ac:dyDescent="0.25">
      <c r="A20" s="4">
        <v>397</v>
      </c>
      <c r="B20" s="5" t="s">
        <v>37</v>
      </c>
      <c r="C20" s="5" t="s">
        <v>5024</v>
      </c>
      <c r="D20" s="5" t="s">
        <v>4811</v>
      </c>
      <c r="E20" s="5" t="s">
        <v>40</v>
      </c>
      <c r="F20" s="5" t="s">
        <v>5025</v>
      </c>
      <c r="G20" s="5" t="s">
        <v>5026</v>
      </c>
      <c r="H20" s="5" t="s">
        <v>43</v>
      </c>
      <c r="I20" s="5" t="s">
        <v>5027</v>
      </c>
      <c r="J20" s="5" t="s">
        <v>5028</v>
      </c>
      <c r="K20" s="5" t="s">
        <v>5029</v>
      </c>
      <c r="L20" s="5" t="s">
        <v>5028</v>
      </c>
      <c r="M20" s="5" t="s">
        <v>5030</v>
      </c>
      <c r="N20" s="5">
        <v>143734</v>
      </c>
      <c r="O20" s="5">
        <v>3903000</v>
      </c>
      <c r="P20" s="5" t="s">
        <v>5031</v>
      </c>
      <c r="Q20" s="11">
        <v>45584</v>
      </c>
      <c r="R20" s="5" t="s">
        <v>5032</v>
      </c>
      <c r="S20" s="5" t="s">
        <v>5033</v>
      </c>
      <c r="T20" s="5" t="s">
        <v>51</v>
      </c>
      <c r="U20" s="5" t="s">
        <v>48</v>
      </c>
      <c r="V20" s="5" t="s">
        <v>4237</v>
      </c>
      <c r="W20" s="5" t="s">
        <v>53</v>
      </c>
      <c r="X20" s="5" t="s">
        <v>5034</v>
      </c>
      <c r="Y20" s="5" t="s">
        <v>92</v>
      </c>
      <c r="Z20" s="5" t="s">
        <v>879</v>
      </c>
      <c r="AA20" s="5" t="s">
        <v>5035</v>
      </c>
      <c r="AB20" s="5">
        <v>3</v>
      </c>
      <c r="AC20" s="5" t="s">
        <v>78</v>
      </c>
      <c r="AD20" s="5" t="s">
        <v>5036</v>
      </c>
      <c r="AE20" s="5" t="s">
        <v>629</v>
      </c>
      <c r="AF20" s="5" t="s">
        <v>61</v>
      </c>
      <c r="AG20" s="5">
        <v>3122400</v>
      </c>
      <c r="AH20" s="5">
        <v>0</v>
      </c>
      <c r="AI20" s="5"/>
      <c r="AJ20" s="5"/>
      <c r="AK20" s="9"/>
      <c r="AL20" t="e">
        <v>#N/A</v>
      </c>
      <c r="AM20">
        <v>0</v>
      </c>
    </row>
    <row r="21" spans="1:39" hidden="1" x14ac:dyDescent="0.25">
      <c r="A21" s="6">
        <v>398</v>
      </c>
      <c r="B21" s="7" t="s">
        <v>37</v>
      </c>
      <c r="C21" s="7" t="s">
        <v>5037</v>
      </c>
      <c r="D21" s="7" t="s">
        <v>4811</v>
      </c>
      <c r="E21" s="7" t="s">
        <v>40</v>
      </c>
      <c r="F21" s="7" t="s">
        <v>2377</v>
      </c>
      <c r="G21" s="7" t="s">
        <v>5038</v>
      </c>
      <c r="H21" s="7" t="s">
        <v>83</v>
      </c>
      <c r="I21" s="7" t="s">
        <v>5039</v>
      </c>
      <c r="J21" s="7" t="s">
        <v>48</v>
      </c>
      <c r="K21" s="7" t="s">
        <v>5040</v>
      </c>
      <c r="L21" s="7" t="s">
        <v>48</v>
      </c>
      <c r="M21" s="7" t="s">
        <v>5041</v>
      </c>
      <c r="N21" s="7">
        <v>84277</v>
      </c>
      <c r="O21" s="7">
        <v>2315000</v>
      </c>
      <c r="P21" s="7" t="s">
        <v>5042</v>
      </c>
      <c r="Q21" s="12">
        <v>45595</v>
      </c>
      <c r="R21" s="7" t="s">
        <v>5043</v>
      </c>
      <c r="S21" s="7" t="s">
        <v>5044</v>
      </c>
      <c r="T21" s="7" t="s">
        <v>51</v>
      </c>
      <c r="U21" s="7" t="s">
        <v>5045</v>
      </c>
      <c r="V21" s="7" t="s">
        <v>5046</v>
      </c>
      <c r="W21" s="7" t="s">
        <v>536</v>
      </c>
      <c r="X21" s="7" t="s">
        <v>1665</v>
      </c>
      <c r="Y21" s="7" t="s">
        <v>1128</v>
      </c>
      <c r="Z21" s="7" t="s">
        <v>181</v>
      </c>
      <c r="AA21" s="7" t="s">
        <v>5047</v>
      </c>
      <c r="AB21" s="7">
        <v>5</v>
      </c>
      <c r="AC21" s="7" t="s">
        <v>78</v>
      </c>
      <c r="AD21" s="7" t="s">
        <v>5048</v>
      </c>
      <c r="AE21" s="7" t="s">
        <v>1665</v>
      </c>
      <c r="AF21" s="7" t="s">
        <v>1079</v>
      </c>
      <c r="AG21" s="7">
        <v>1852000</v>
      </c>
      <c r="AH21" s="7">
        <v>0</v>
      </c>
      <c r="AI21" s="7"/>
      <c r="AJ21" s="7"/>
      <c r="AK21" s="10"/>
      <c r="AL21" t="e">
        <v>#N/A</v>
      </c>
      <c r="AM21">
        <v>0</v>
      </c>
    </row>
    <row r="22" spans="1:39" hidden="1" x14ac:dyDescent="0.25">
      <c r="A22" s="4">
        <v>399</v>
      </c>
      <c r="B22" s="5" t="s">
        <v>37</v>
      </c>
      <c r="C22" s="5" t="s">
        <v>5049</v>
      </c>
      <c r="D22" s="5" t="s">
        <v>4811</v>
      </c>
      <c r="E22" s="5" t="s">
        <v>40</v>
      </c>
      <c r="F22" s="5" t="s">
        <v>5050</v>
      </c>
      <c r="G22" s="5" t="s">
        <v>3566</v>
      </c>
      <c r="H22" s="5" t="s">
        <v>43</v>
      </c>
      <c r="I22" s="5" t="s">
        <v>5051</v>
      </c>
      <c r="J22" s="5" t="s">
        <v>5052</v>
      </c>
      <c r="K22" s="5" t="s">
        <v>5053</v>
      </c>
      <c r="L22" s="5" t="s">
        <v>5054</v>
      </c>
      <c r="M22" s="5" t="s">
        <v>5055</v>
      </c>
      <c r="N22" s="5">
        <v>65494</v>
      </c>
      <c r="O22" s="5">
        <v>1855000</v>
      </c>
      <c r="P22" s="5" t="s">
        <v>5056</v>
      </c>
      <c r="Q22" s="11">
        <v>45595</v>
      </c>
      <c r="R22" s="5" t="s">
        <v>5057</v>
      </c>
      <c r="S22" s="5" t="s">
        <v>5058</v>
      </c>
      <c r="T22" s="5" t="s">
        <v>51</v>
      </c>
      <c r="U22" s="5" t="s">
        <v>5059</v>
      </c>
      <c r="V22" s="5" t="s">
        <v>5060</v>
      </c>
      <c r="W22" s="5" t="s">
        <v>536</v>
      </c>
      <c r="X22" s="5" t="s">
        <v>1665</v>
      </c>
      <c r="Y22" s="5" t="s">
        <v>1128</v>
      </c>
      <c r="Z22" s="5" t="s">
        <v>181</v>
      </c>
      <c r="AA22" s="5" t="s">
        <v>5061</v>
      </c>
      <c r="AB22" s="5">
        <v>5</v>
      </c>
      <c r="AC22" s="5" t="s">
        <v>123</v>
      </c>
      <c r="AD22" s="5" t="s">
        <v>5062</v>
      </c>
      <c r="AE22" s="5" t="s">
        <v>1665</v>
      </c>
      <c r="AF22" s="5" t="s">
        <v>1079</v>
      </c>
      <c r="AG22" s="5">
        <v>1484000</v>
      </c>
      <c r="AH22" s="5">
        <v>0</v>
      </c>
      <c r="AI22" s="5"/>
      <c r="AJ22" s="5"/>
      <c r="AK22" s="9"/>
      <c r="AL22" t="e">
        <v>#N/A</v>
      </c>
      <c r="AM22">
        <v>0</v>
      </c>
    </row>
    <row r="23" spans="1:39" hidden="1" x14ac:dyDescent="0.25">
      <c r="A23" s="6">
        <v>400</v>
      </c>
      <c r="B23" s="7" t="s">
        <v>37</v>
      </c>
      <c r="C23" s="7" t="s">
        <v>5063</v>
      </c>
      <c r="D23" s="7" t="s">
        <v>4811</v>
      </c>
      <c r="E23" s="7" t="s">
        <v>40</v>
      </c>
      <c r="F23" s="7" t="s">
        <v>1669</v>
      </c>
      <c r="G23" s="7" t="s">
        <v>5064</v>
      </c>
      <c r="H23" s="7" t="s">
        <v>188</v>
      </c>
      <c r="I23" s="7" t="s">
        <v>5065</v>
      </c>
      <c r="J23" s="7" t="s">
        <v>48</v>
      </c>
      <c r="K23" s="7" t="s">
        <v>5066</v>
      </c>
      <c r="L23" s="7" t="s">
        <v>5067</v>
      </c>
      <c r="M23" s="7" t="s">
        <v>5068</v>
      </c>
      <c r="N23" s="7">
        <v>59995</v>
      </c>
      <c r="O23" s="7">
        <v>1518000</v>
      </c>
      <c r="P23" s="7" t="s">
        <v>48</v>
      </c>
      <c r="Q23" s="12">
        <v>45595</v>
      </c>
      <c r="R23" s="7" t="s">
        <v>5069</v>
      </c>
      <c r="S23" s="7" t="s">
        <v>5070</v>
      </c>
      <c r="T23" s="7" t="s">
        <v>51</v>
      </c>
      <c r="U23" s="7" t="s">
        <v>5071</v>
      </c>
      <c r="V23" s="7" t="s">
        <v>5072</v>
      </c>
      <c r="W23" s="7" t="s">
        <v>536</v>
      </c>
      <c r="X23" s="7" t="s">
        <v>1665</v>
      </c>
      <c r="Y23" s="7" t="s">
        <v>1128</v>
      </c>
      <c r="Z23" s="7" t="s">
        <v>181</v>
      </c>
      <c r="AA23" s="7" t="s">
        <v>5073</v>
      </c>
      <c r="AB23" s="7">
        <v>5</v>
      </c>
      <c r="AC23" s="7" t="s">
        <v>78</v>
      </c>
      <c r="AD23" s="7" t="s">
        <v>5074</v>
      </c>
      <c r="AE23" s="7" t="s">
        <v>1665</v>
      </c>
      <c r="AF23" s="7" t="s">
        <v>1079</v>
      </c>
      <c r="AG23" s="7">
        <v>1214400</v>
      </c>
      <c r="AH23" s="7">
        <v>0</v>
      </c>
      <c r="AI23" s="7"/>
      <c r="AJ23" s="7"/>
      <c r="AK23" s="10"/>
      <c r="AL23" t="e">
        <v>#N/A</v>
      </c>
      <c r="AM23">
        <v>0</v>
      </c>
    </row>
    <row r="24" spans="1:39" hidden="1" x14ac:dyDescent="0.25">
      <c r="A24" s="4">
        <v>401</v>
      </c>
      <c r="B24" s="5" t="s">
        <v>37</v>
      </c>
      <c r="C24" s="5" t="s">
        <v>5075</v>
      </c>
      <c r="D24" s="5" t="s">
        <v>4811</v>
      </c>
      <c r="E24" s="5" t="s">
        <v>40</v>
      </c>
      <c r="F24" s="5" t="s">
        <v>5076</v>
      </c>
      <c r="G24" s="5" t="s">
        <v>5077</v>
      </c>
      <c r="H24" s="5" t="s">
        <v>83</v>
      </c>
      <c r="I24" s="5" t="s">
        <v>5078</v>
      </c>
      <c r="J24" s="5" t="s">
        <v>5079</v>
      </c>
      <c r="K24" s="5" t="s">
        <v>5079</v>
      </c>
      <c r="L24" s="5" t="s">
        <v>5079</v>
      </c>
      <c r="M24" s="5" t="s">
        <v>5080</v>
      </c>
      <c r="N24" s="5">
        <v>48323</v>
      </c>
      <c r="O24" s="5">
        <v>1094000</v>
      </c>
      <c r="P24" s="5" t="s">
        <v>5081</v>
      </c>
      <c r="Q24" s="11">
        <v>45595</v>
      </c>
      <c r="R24" s="5" t="s">
        <v>5082</v>
      </c>
      <c r="S24" s="5" t="s">
        <v>5083</v>
      </c>
      <c r="T24" s="5" t="s">
        <v>51</v>
      </c>
      <c r="U24" s="5" t="s">
        <v>5084</v>
      </c>
      <c r="V24" s="5" t="s">
        <v>364</v>
      </c>
      <c r="W24" s="5" t="s">
        <v>1393</v>
      </c>
      <c r="X24" s="5" t="s">
        <v>1394</v>
      </c>
      <c r="Y24" s="5" t="s">
        <v>1395</v>
      </c>
      <c r="Z24" s="5" t="s">
        <v>181</v>
      </c>
      <c r="AA24" s="5" t="s">
        <v>5085</v>
      </c>
      <c r="AB24" s="5">
        <v>7</v>
      </c>
      <c r="AC24" s="5" t="s">
        <v>123</v>
      </c>
      <c r="AD24" s="5" t="s">
        <v>5086</v>
      </c>
      <c r="AE24" s="5" t="s">
        <v>1394</v>
      </c>
      <c r="AF24" s="5" t="s">
        <v>1398</v>
      </c>
      <c r="AG24" s="5">
        <v>875200</v>
      </c>
      <c r="AH24" s="5">
        <v>0</v>
      </c>
      <c r="AI24" s="5"/>
      <c r="AJ24" s="5"/>
      <c r="AK24" s="9"/>
      <c r="AL24" t="e">
        <v>#N/A</v>
      </c>
      <c r="AM24">
        <v>0</v>
      </c>
    </row>
    <row r="25" spans="1:39" hidden="1" x14ac:dyDescent="0.25">
      <c r="A25" s="6">
        <v>402</v>
      </c>
      <c r="B25" s="7" t="s">
        <v>37</v>
      </c>
      <c r="C25" s="7" t="s">
        <v>5087</v>
      </c>
      <c r="D25" s="7" t="s">
        <v>4811</v>
      </c>
      <c r="E25" s="7" t="s">
        <v>40</v>
      </c>
      <c r="F25" s="7" t="s">
        <v>285</v>
      </c>
      <c r="G25" s="7" t="s">
        <v>5088</v>
      </c>
      <c r="H25" s="7" t="s">
        <v>188</v>
      </c>
      <c r="I25" s="7" t="s">
        <v>5089</v>
      </c>
      <c r="J25" s="7" t="s">
        <v>48</v>
      </c>
      <c r="K25" s="7" t="s">
        <v>5090</v>
      </c>
      <c r="L25" s="7" t="s">
        <v>48</v>
      </c>
      <c r="M25" s="7" t="s">
        <v>5091</v>
      </c>
      <c r="N25" s="7">
        <v>53949</v>
      </c>
      <c r="O25" s="7">
        <v>1864000</v>
      </c>
      <c r="P25" s="7" t="s">
        <v>5092</v>
      </c>
      <c r="Q25" s="12">
        <v>45594</v>
      </c>
      <c r="R25" s="7" t="s">
        <v>5093</v>
      </c>
      <c r="S25" s="7" t="s">
        <v>5094</v>
      </c>
      <c r="T25" s="7" t="s">
        <v>51</v>
      </c>
      <c r="U25" s="7" t="s">
        <v>5095</v>
      </c>
      <c r="V25" s="7" t="s">
        <v>1090</v>
      </c>
      <c r="W25" s="7" t="s">
        <v>1393</v>
      </c>
      <c r="X25" s="7" t="s">
        <v>5096</v>
      </c>
      <c r="Y25" s="7" t="s">
        <v>1395</v>
      </c>
      <c r="Z25" s="7" t="s">
        <v>181</v>
      </c>
      <c r="AA25" s="7" t="s">
        <v>5097</v>
      </c>
      <c r="AB25" s="7">
        <v>7</v>
      </c>
      <c r="AC25" s="7" t="s">
        <v>78</v>
      </c>
      <c r="AD25" s="7" t="s">
        <v>5098</v>
      </c>
      <c r="AE25" s="7" t="s">
        <v>3534</v>
      </c>
      <c r="AF25" s="7" t="s">
        <v>61</v>
      </c>
      <c r="AG25" s="7">
        <v>1491200</v>
      </c>
      <c r="AH25" s="7">
        <v>0</v>
      </c>
      <c r="AI25" s="7"/>
      <c r="AJ25" s="7"/>
      <c r="AK25" s="10"/>
      <c r="AL25" t="e">
        <v>#N/A</v>
      </c>
      <c r="AM25">
        <v>0</v>
      </c>
    </row>
    <row r="26" spans="1:39" hidden="1" x14ac:dyDescent="0.25">
      <c r="A26" s="4">
        <v>403</v>
      </c>
      <c r="B26" s="5" t="s">
        <v>37</v>
      </c>
      <c r="C26" s="5" t="s">
        <v>5099</v>
      </c>
      <c r="D26" s="5" t="s">
        <v>4811</v>
      </c>
      <c r="E26" s="5" t="s">
        <v>40</v>
      </c>
      <c r="F26" s="5" t="s">
        <v>63</v>
      </c>
      <c r="G26" s="5" t="s">
        <v>5100</v>
      </c>
      <c r="H26" s="5" t="s">
        <v>188</v>
      </c>
      <c r="I26" s="5" t="s">
        <v>5101</v>
      </c>
      <c r="J26" s="5" t="s">
        <v>48</v>
      </c>
      <c r="K26" s="5" t="s">
        <v>5102</v>
      </c>
      <c r="L26" s="5" t="s">
        <v>5103</v>
      </c>
      <c r="M26" s="5" t="s">
        <v>5104</v>
      </c>
      <c r="N26" s="5">
        <v>60500</v>
      </c>
      <c r="O26" s="5">
        <v>1999000</v>
      </c>
      <c r="P26" s="5" t="s">
        <v>5105</v>
      </c>
      <c r="Q26" s="11">
        <v>45592</v>
      </c>
      <c r="R26" s="5" t="s">
        <v>5106</v>
      </c>
      <c r="S26" s="5" t="s">
        <v>5107</v>
      </c>
      <c r="T26" s="5" t="s">
        <v>51</v>
      </c>
      <c r="U26" s="5" t="s">
        <v>5108</v>
      </c>
      <c r="V26" s="5" t="s">
        <v>5109</v>
      </c>
      <c r="W26" s="5" t="s">
        <v>1393</v>
      </c>
      <c r="X26" s="5" t="s">
        <v>5110</v>
      </c>
      <c r="Y26" s="5" t="s">
        <v>1395</v>
      </c>
      <c r="Z26" s="5" t="s">
        <v>181</v>
      </c>
      <c r="AA26" s="5" t="s">
        <v>5111</v>
      </c>
      <c r="AB26" s="5">
        <v>7</v>
      </c>
      <c r="AC26" s="5" t="s">
        <v>78</v>
      </c>
      <c r="AD26" s="5" t="s">
        <v>5112</v>
      </c>
      <c r="AE26" s="5" t="s">
        <v>2733</v>
      </c>
      <c r="AF26" s="5" t="s">
        <v>1061</v>
      </c>
      <c r="AG26" s="5">
        <v>1599200</v>
      </c>
      <c r="AH26" s="5">
        <v>0</v>
      </c>
      <c r="AI26" s="5"/>
      <c r="AJ26" s="5"/>
      <c r="AK26" s="9"/>
      <c r="AL26" t="e">
        <v>#N/A</v>
      </c>
      <c r="AM26">
        <v>0</v>
      </c>
    </row>
    <row r="27" spans="1:39" hidden="1" x14ac:dyDescent="0.25">
      <c r="A27" s="6">
        <v>404</v>
      </c>
      <c r="B27" s="7" t="s">
        <v>37</v>
      </c>
      <c r="C27" s="7" t="s">
        <v>5113</v>
      </c>
      <c r="D27" s="7" t="s">
        <v>4811</v>
      </c>
      <c r="E27" s="7" t="s">
        <v>40</v>
      </c>
      <c r="F27" s="7" t="s">
        <v>2878</v>
      </c>
      <c r="G27" s="7" t="s">
        <v>2354</v>
      </c>
      <c r="H27" s="7" t="s">
        <v>43</v>
      </c>
      <c r="I27" s="7" t="s">
        <v>5114</v>
      </c>
      <c r="J27" s="7" t="s">
        <v>5115</v>
      </c>
      <c r="K27" s="7" t="s">
        <v>5116</v>
      </c>
      <c r="L27" s="7" t="s">
        <v>5117</v>
      </c>
      <c r="M27" s="7" t="s">
        <v>5118</v>
      </c>
      <c r="N27" s="7">
        <v>106362</v>
      </c>
      <c r="O27" s="7">
        <v>2783000</v>
      </c>
      <c r="P27" s="7" t="s">
        <v>5119</v>
      </c>
      <c r="Q27" s="12">
        <v>45592</v>
      </c>
      <c r="R27" s="7" t="s">
        <v>5120</v>
      </c>
      <c r="S27" s="7" t="s">
        <v>5121</v>
      </c>
      <c r="T27" s="7" t="s">
        <v>51</v>
      </c>
      <c r="U27" s="7" t="s">
        <v>5122</v>
      </c>
      <c r="V27" s="7" t="s">
        <v>5123</v>
      </c>
      <c r="W27" s="7" t="s">
        <v>536</v>
      </c>
      <c r="X27" s="7" t="s">
        <v>1127</v>
      </c>
      <c r="Y27" s="7" t="s">
        <v>1128</v>
      </c>
      <c r="Z27" s="7" t="s">
        <v>181</v>
      </c>
      <c r="AA27" s="7" t="s">
        <v>5124</v>
      </c>
      <c r="AB27" s="7">
        <v>5</v>
      </c>
      <c r="AC27" s="7" t="s">
        <v>556</v>
      </c>
      <c r="AD27" s="7" t="s">
        <v>5125</v>
      </c>
      <c r="AE27" s="7" t="s">
        <v>2167</v>
      </c>
      <c r="AF27" s="7" t="s">
        <v>1079</v>
      </c>
      <c r="AG27" s="7">
        <v>2226400</v>
      </c>
      <c r="AH27" s="7">
        <v>0</v>
      </c>
      <c r="AI27" s="7"/>
      <c r="AJ27" s="7"/>
      <c r="AK27" s="10"/>
      <c r="AL27" t="e">
        <v>#N/A</v>
      </c>
      <c r="AM27">
        <v>0</v>
      </c>
    </row>
    <row r="28" spans="1:39" hidden="1" x14ac:dyDescent="0.25">
      <c r="A28" s="4">
        <v>405</v>
      </c>
      <c r="B28" s="5" t="s">
        <v>37</v>
      </c>
      <c r="C28" s="5" t="s">
        <v>5126</v>
      </c>
      <c r="D28" s="5" t="s">
        <v>4811</v>
      </c>
      <c r="E28" s="5" t="s">
        <v>40</v>
      </c>
      <c r="F28" s="5" t="s">
        <v>5127</v>
      </c>
      <c r="G28" s="5" t="s">
        <v>5128</v>
      </c>
      <c r="H28" s="5" t="s">
        <v>83</v>
      </c>
      <c r="I28" s="5" t="s">
        <v>5129</v>
      </c>
      <c r="J28" s="5" t="s">
        <v>5130</v>
      </c>
      <c r="K28" s="5" t="s">
        <v>5131</v>
      </c>
      <c r="L28" s="5" t="s">
        <v>5132</v>
      </c>
      <c r="M28" s="5" t="s">
        <v>5133</v>
      </c>
      <c r="N28" s="5">
        <v>21862</v>
      </c>
      <c r="O28" s="5">
        <v>1234000</v>
      </c>
      <c r="P28" s="5" t="s">
        <v>5134</v>
      </c>
      <c r="Q28" s="11">
        <v>45589</v>
      </c>
      <c r="R28" s="5" t="s">
        <v>5135</v>
      </c>
      <c r="S28" s="5" t="s">
        <v>5136</v>
      </c>
      <c r="T28" s="5" t="s">
        <v>51</v>
      </c>
      <c r="U28" s="5" t="s">
        <v>5137</v>
      </c>
      <c r="V28" s="5" t="s">
        <v>1205</v>
      </c>
      <c r="W28" s="5" t="s">
        <v>1054</v>
      </c>
      <c r="X28" s="5" t="s">
        <v>5138</v>
      </c>
      <c r="Y28" s="5" t="s">
        <v>1056</v>
      </c>
      <c r="Z28" s="5" t="s">
        <v>879</v>
      </c>
      <c r="AA28" s="5" t="s">
        <v>5139</v>
      </c>
      <c r="AB28" s="5">
        <v>6</v>
      </c>
      <c r="AC28" s="5" t="s">
        <v>78</v>
      </c>
      <c r="AD28" s="5" t="s">
        <v>5140</v>
      </c>
      <c r="AE28" s="5" t="s">
        <v>5138</v>
      </c>
      <c r="AF28" s="5" t="s">
        <v>1061</v>
      </c>
      <c r="AG28" s="5">
        <v>987200</v>
      </c>
      <c r="AH28" s="5">
        <v>0</v>
      </c>
      <c r="AI28" s="5"/>
      <c r="AJ28" s="5"/>
      <c r="AK28" s="9"/>
      <c r="AL28" t="e">
        <v>#N/A</v>
      </c>
      <c r="AM28">
        <v>0</v>
      </c>
    </row>
    <row r="29" spans="1:39" hidden="1" x14ac:dyDescent="0.25">
      <c r="A29" s="6">
        <v>406</v>
      </c>
      <c r="B29" s="7" t="s">
        <v>37</v>
      </c>
      <c r="C29" s="7" t="s">
        <v>5141</v>
      </c>
      <c r="D29" s="7" t="s">
        <v>4811</v>
      </c>
      <c r="E29" s="7" t="s">
        <v>40</v>
      </c>
      <c r="F29" s="7" t="s">
        <v>1774</v>
      </c>
      <c r="G29" s="7" t="s">
        <v>5142</v>
      </c>
      <c r="H29" s="7" t="s">
        <v>188</v>
      </c>
      <c r="I29" s="7" t="s">
        <v>5143</v>
      </c>
      <c r="J29" s="7" t="s">
        <v>5144</v>
      </c>
      <c r="K29" s="7" t="s">
        <v>5144</v>
      </c>
      <c r="L29" s="7" t="s">
        <v>5145</v>
      </c>
      <c r="M29" s="7" t="s">
        <v>5146</v>
      </c>
      <c r="N29" s="7">
        <v>34564</v>
      </c>
      <c r="O29" s="7">
        <v>1094000</v>
      </c>
      <c r="P29" s="7" t="s">
        <v>5147</v>
      </c>
      <c r="Q29" s="12">
        <v>45589</v>
      </c>
      <c r="R29" s="7" t="s">
        <v>5148</v>
      </c>
      <c r="S29" s="7" t="s">
        <v>5149</v>
      </c>
      <c r="T29" s="7" t="s">
        <v>51</v>
      </c>
      <c r="U29" s="7" t="s">
        <v>5150</v>
      </c>
      <c r="V29" s="7" t="s">
        <v>364</v>
      </c>
      <c r="W29" s="7" t="s">
        <v>1393</v>
      </c>
      <c r="X29" s="7" t="s">
        <v>1410</v>
      </c>
      <c r="Y29" s="7" t="s">
        <v>1395</v>
      </c>
      <c r="Z29" s="7" t="s">
        <v>181</v>
      </c>
      <c r="AA29" s="7" t="s">
        <v>5151</v>
      </c>
      <c r="AB29" s="7">
        <v>7</v>
      </c>
      <c r="AC29" s="7" t="s">
        <v>123</v>
      </c>
      <c r="AD29" s="7" t="s">
        <v>5152</v>
      </c>
      <c r="AE29" s="7" t="s">
        <v>1414</v>
      </c>
      <c r="AF29" s="7" t="s">
        <v>1398</v>
      </c>
      <c r="AG29" s="7">
        <v>875200</v>
      </c>
      <c r="AH29" s="7">
        <v>0</v>
      </c>
      <c r="AI29" s="7"/>
      <c r="AJ29" s="7"/>
      <c r="AK29" s="10"/>
      <c r="AL29" t="e">
        <v>#N/A</v>
      </c>
      <c r="AM29">
        <v>0</v>
      </c>
    </row>
    <row r="30" spans="1:39" hidden="1" x14ac:dyDescent="0.25">
      <c r="A30" s="4">
        <v>407</v>
      </c>
      <c r="B30" s="5" t="s">
        <v>37</v>
      </c>
      <c r="C30" s="5" t="s">
        <v>5153</v>
      </c>
      <c r="D30" s="5" t="s">
        <v>4811</v>
      </c>
      <c r="E30" s="5" t="s">
        <v>40</v>
      </c>
      <c r="F30" s="5" t="s">
        <v>715</v>
      </c>
      <c r="G30" s="5" t="s">
        <v>5154</v>
      </c>
      <c r="H30" s="5" t="s">
        <v>83</v>
      </c>
      <c r="I30" s="5" t="s">
        <v>5155</v>
      </c>
      <c r="J30" s="5" t="s">
        <v>5156</v>
      </c>
      <c r="K30" s="5" t="s">
        <v>5157</v>
      </c>
      <c r="L30" s="5" t="s">
        <v>5158</v>
      </c>
      <c r="M30" s="5" t="s">
        <v>5159</v>
      </c>
      <c r="N30" s="5">
        <v>55288</v>
      </c>
      <c r="O30" s="5">
        <v>3183000</v>
      </c>
      <c r="P30" s="5" t="s">
        <v>5160</v>
      </c>
      <c r="Q30" s="11">
        <v>45588</v>
      </c>
      <c r="R30" s="5" t="s">
        <v>5161</v>
      </c>
      <c r="S30" s="5" t="s">
        <v>5162</v>
      </c>
      <c r="T30" s="5" t="s">
        <v>51</v>
      </c>
      <c r="U30" s="5" t="s">
        <v>5163</v>
      </c>
      <c r="V30" s="5" t="s">
        <v>2583</v>
      </c>
      <c r="W30" s="5" t="s">
        <v>536</v>
      </c>
      <c r="X30" s="5" t="s">
        <v>5164</v>
      </c>
      <c r="Y30" s="5" t="s">
        <v>1182</v>
      </c>
      <c r="Z30" s="5" t="s">
        <v>879</v>
      </c>
      <c r="AA30" s="5" t="s">
        <v>5165</v>
      </c>
      <c r="AB30" s="5">
        <v>5</v>
      </c>
      <c r="AC30" s="5" t="s">
        <v>78</v>
      </c>
      <c r="AD30" s="5" t="s">
        <v>5166</v>
      </c>
      <c r="AE30" s="5" t="s">
        <v>5167</v>
      </c>
      <c r="AF30" s="5" t="s">
        <v>61</v>
      </c>
      <c r="AG30" s="5">
        <v>2546400</v>
      </c>
      <c r="AH30" s="5">
        <v>0</v>
      </c>
      <c r="AI30" s="5"/>
      <c r="AJ30" s="5"/>
      <c r="AK30" s="9"/>
      <c r="AL30" t="e">
        <v>#N/A</v>
      </c>
      <c r="AM30">
        <v>0</v>
      </c>
    </row>
    <row r="31" spans="1:39" hidden="1" x14ac:dyDescent="0.25">
      <c r="A31" s="6">
        <v>408</v>
      </c>
      <c r="B31" s="7" t="s">
        <v>37</v>
      </c>
      <c r="C31" s="7" t="s">
        <v>5168</v>
      </c>
      <c r="D31" s="7" t="s">
        <v>4811</v>
      </c>
      <c r="E31" s="7" t="s">
        <v>40</v>
      </c>
      <c r="F31" s="7" t="s">
        <v>868</v>
      </c>
      <c r="G31" s="7" t="s">
        <v>5169</v>
      </c>
      <c r="H31" s="7" t="s">
        <v>83</v>
      </c>
      <c r="I31" s="7" t="s">
        <v>5170</v>
      </c>
      <c r="J31" s="7" t="s">
        <v>5171</v>
      </c>
      <c r="K31" s="7" t="s">
        <v>5171</v>
      </c>
      <c r="L31" s="7" t="s">
        <v>5172</v>
      </c>
      <c r="M31" s="7" t="s">
        <v>5173</v>
      </c>
      <c r="N31" s="7">
        <v>57927</v>
      </c>
      <c r="O31" s="7">
        <v>2333000</v>
      </c>
      <c r="P31" s="7" t="s">
        <v>5174</v>
      </c>
      <c r="Q31" s="12">
        <v>45588</v>
      </c>
      <c r="R31" s="7" t="s">
        <v>5175</v>
      </c>
      <c r="S31" s="7" t="s">
        <v>5176</v>
      </c>
      <c r="T31" s="7" t="s">
        <v>51</v>
      </c>
      <c r="U31" s="7" t="s">
        <v>5177</v>
      </c>
      <c r="V31" s="7" t="s">
        <v>5178</v>
      </c>
      <c r="W31" s="7" t="s">
        <v>1393</v>
      </c>
      <c r="X31" s="7" t="s">
        <v>5179</v>
      </c>
      <c r="Y31" s="7" t="s">
        <v>1395</v>
      </c>
      <c r="Z31" s="7" t="s">
        <v>181</v>
      </c>
      <c r="AA31" s="7" t="s">
        <v>5180</v>
      </c>
      <c r="AB31" s="7">
        <v>7</v>
      </c>
      <c r="AC31" s="7" t="s">
        <v>123</v>
      </c>
      <c r="AD31" s="7" t="s">
        <v>5181</v>
      </c>
      <c r="AE31" s="7" t="s">
        <v>2259</v>
      </c>
      <c r="AF31" s="7" t="s">
        <v>1061</v>
      </c>
      <c r="AG31" s="7">
        <v>1866400</v>
      </c>
      <c r="AH31" s="7">
        <v>0</v>
      </c>
      <c r="AI31" s="7"/>
      <c r="AJ31" s="7"/>
      <c r="AK31" s="10"/>
      <c r="AL31" t="e">
        <v>#N/A</v>
      </c>
      <c r="AM31">
        <v>0</v>
      </c>
    </row>
    <row r="32" spans="1:39" hidden="1" x14ac:dyDescent="0.25">
      <c r="A32" s="4">
        <v>409</v>
      </c>
      <c r="B32" s="5" t="s">
        <v>37</v>
      </c>
      <c r="C32" s="5" t="s">
        <v>5182</v>
      </c>
      <c r="D32" s="5" t="s">
        <v>4811</v>
      </c>
      <c r="E32" s="5" t="s">
        <v>40</v>
      </c>
      <c r="F32" s="5" t="s">
        <v>63</v>
      </c>
      <c r="G32" s="5" t="s">
        <v>5183</v>
      </c>
      <c r="H32" s="5" t="s">
        <v>83</v>
      </c>
      <c r="I32" s="5" t="s">
        <v>5184</v>
      </c>
      <c r="J32" s="5" t="s">
        <v>48</v>
      </c>
      <c r="K32" s="5" t="s">
        <v>5185</v>
      </c>
      <c r="L32" s="5" t="s">
        <v>5186</v>
      </c>
      <c r="M32" s="5" t="s">
        <v>5187</v>
      </c>
      <c r="N32" s="5">
        <v>35180</v>
      </c>
      <c r="O32" s="5">
        <v>1094000</v>
      </c>
      <c r="P32" s="5" t="s">
        <v>5188</v>
      </c>
      <c r="Q32" s="11">
        <v>45583</v>
      </c>
      <c r="R32" s="5" t="s">
        <v>5189</v>
      </c>
      <c r="S32" s="5" t="s">
        <v>5190</v>
      </c>
      <c r="T32" s="5" t="s">
        <v>51</v>
      </c>
      <c r="U32" s="5" t="s">
        <v>5191</v>
      </c>
      <c r="V32" s="5" t="s">
        <v>1591</v>
      </c>
      <c r="W32" s="5" t="s">
        <v>1393</v>
      </c>
      <c r="X32" s="5" t="s">
        <v>5192</v>
      </c>
      <c r="Y32" s="5" t="s">
        <v>1395</v>
      </c>
      <c r="Z32" s="5" t="s">
        <v>181</v>
      </c>
      <c r="AA32" s="5" t="s">
        <v>5193</v>
      </c>
      <c r="AB32" s="5">
        <v>7</v>
      </c>
      <c r="AC32" s="5" t="s">
        <v>78</v>
      </c>
      <c r="AD32" s="5" t="s">
        <v>5194</v>
      </c>
      <c r="AE32" s="5" t="s">
        <v>5195</v>
      </c>
      <c r="AF32" s="5" t="s">
        <v>1061</v>
      </c>
      <c r="AG32" s="5">
        <v>875200</v>
      </c>
      <c r="AH32" s="5">
        <v>0</v>
      </c>
      <c r="AI32" s="5"/>
      <c r="AJ32" s="5"/>
      <c r="AK32" s="9"/>
      <c r="AL32" t="e">
        <v>#N/A</v>
      </c>
      <c r="AM32">
        <v>0</v>
      </c>
    </row>
    <row r="33" spans="1:39" hidden="1" x14ac:dyDescent="0.25">
      <c r="A33" s="6">
        <v>410</v>
      </c>
      <c r="B33" s="7" t="s">
        <v>37</v>
      </c>
      <c r="C33" s="7" t="s">
        <v>5196</v>
      </c>
      <c r="D33" s="7" t="s">
        <v>4811</v>
      </c>
      <c r="E33" s="7" t="s">
        <v>40</v>
      </c>
      <c r="F33" s="7" t="s">
        <v>2290</v>
      </c>
      <c r="G33" s="7" t="s">
        <v>5197</v>
      </c>
      <c r="H33" s="7" t="s">
        <v>188</v>
      </c>
      <c r="I33" s="7" t="s">
        <v>5198</v>
      </c>
      <c r="J33" s="7" t="s">
        <v>5199</v>
      </c>
      <c r="K33" s="7" t="s">
        <v>5199</v>
      </c>
      <c r="L33" s="7" t="s">
        <v>438</v>
      </c>
      <c r="M33" s="7" t="s">
        <v>5200</v>
      </c>
      <c r="N33" s="7">
        <v>21248</v>
      </c>
      <c r="O33" s="7">
        <v>2000000</v>
      </c>
      <c r="P33" s="7" t="s">
        <v>5201</v>
      </c>
      <c r="Q33" s="12">
        <v>45581</v>
      </c>
      <c r="R33" s="7" t="s">
        <v>5202</v>
      </c>
      <c r="S33" s="7" t="s">
        <v>5203</v>
      </c>
      <c r="T33" s="7" t="s">
        <v>196</v>
      </c>
      <c r="U33" s="7" t="s">
        <v>5204</v>
      </c>
      <c r="V33" s="7" t="s">
        <v>2925</v>
      </c>
      <c r="W33" s="7" t="s">
        <v>1393</v>
      </c>
      <c r="X33" s="7" t="s">
        <v>5195</v>
      </c>
      <c r="Y33" s="7" t="s">
        <v>2730</v>
      </c>
      <c r="Z33" s="7" t="s">
        <v>242</v>
      </c>
      <c r="AA33" s="7" t="s">
        <v>5205</v>
      </c>
      <c r="AB33" s="7">
        <v>7</v>
      </c>
      <c r="AC33" s="7" t="s">
        <v>78</v>
      </c>
      <c r="AD33" s="7" t="s">
        <v>5206</v>
      </c>
      <c r="AE33" s="7" t="s">
        <v>2729</v>
      </c>
      <c r="AF33" s="7" t="s">
        <v>1398</v>
      </c>
      <c r="AG33" s="7">
        <v>1600000</v>
      </c>
      <c r="AH33" s="7">
        <v>0</v>
      </c>
      <c r="AI33" s="7"/>
      <c r="AJ33" s="7"/>
      <c r="AK33" s="10"/>
      <c r="AL33" t="e">
        <v>#N/A</v>
      </c>
      <c r="AM33">
        <v>0</v>
      </c>
    </row>
    <row r="34" spans="1:39" hidden="1" x14ac:dyDescent="0.25">
      <c r="A34" s="4">
        <v>411</v>
      </c>
      <c r="B34" s="5" t="s">
        <v>37</v>
      </c>
      <c r="C34" s="5" t="s">
        <v>5207</v>
      </c>
      <c r="D34" s="5" t="s">
        <v>4811</v>
      </c>
      <c r="E34" s="5" t="s">
        <v>40</v>
      </c>
      <c r="F34" s="5" t="s">
        <v>2813</v>
      </c>
      <c r="G34" s="5" t="s">
        <v>5208</v>
      </c>
      <c r="H34" s="5" t="s">
        <v>65</v>
      </c>
      <c r="I34" s="5" t="s">
        <v>5209</v>
      </c>
      <c r="J34" s="5" t="s">
        <v>5210</v>
      </c>
      <c r="K34" s="5" t="s">
        <v>5211</v>
      </c>
      <c r="L34" s="5" t="s">
        <v>5212</v>
      </c>
      <c r="M34" s="5" t="s">
        <v>5213</v>
      </c>
      <c r="N34" s="5">
        <v>100474</v>
      </c>
      <c r="O34" s="5">
        <v>5399000</v>
      </c>
      <c r="P34" s="5" t="s">
        <v>5214</v>
      </c>
      <c r="Q34" s="11">
        <v>45580</v>
      </c>
      <c r="R34" s="5" t="s">
        <v>5215</v>
      </c>
      <c r="S34" s="5" t="s">
        <v>5216</v>
      </c>
      <c r="T34" s="5" t="s">
        <v>51</v>
      </c>
      <c r="U34" s="5" t="s">
        <v>5217</v>
      </c>
      <c r="V34" s="5" t="s">
        <v>164</v>
      </c>
      <c r="W34" s="5" t="s">
        <v>536</v>
      </c>
      <c r="X34" s="5" t="s">
        <v>5218</v>
      </c>
      <c r="Y34" s="5" t="s">
        <v>1182</v>
      </c>
      <c r="Z34" s="5" t="s">
        <v>879</v>
      </c>
      <c r="AA34" s="5" t="s">
        <v>5219</v>
      </c>
      <c r="AB34" s="5">
        <v>5</v>
      </c>
      <c r="AC34" s="5" t="s">
        <v>48</v>
      </c>
      <c r="AD34" s="5" t="s">
        <v>48</v>
      </c>
      <c r="AE34" s="5" t="s">
        <v>48</v>
      </c>
      <c r="AF34" s="5" t="s">
        <v>1061</v>
      </c>
      <c r="AG34" s="5">
        <v>4319200</v>
      </c>
      <c r="AH34" s="5">
        <v>0</v>
      </c>
      <c r="AI34" s="5"/>
      <c r="AJ34" s="5"/>
      <c r="AK34" s="9"/>
      <c r="AL34" t="e">
        <v>#N/A</v>
      </c>
      <c r="AM34">
        <v>0</v>
      </c>
    </row>
    <row r="35" spans="1:39" hidden="1" x14ac:dyDescent="0.25">
      <c r="A35" s="6">
        <v>412</v>
      </c>
      <c r="B35" s="7" t="s">
        <v>37</v>
      </c>
      <c r="C35" s="7" t="s">
        <v>5220</v>
      </c>
      <c r="D35" s="7" t="s">
        <v>4811</v>
      </c>
      <c r="E35" s="7" t="s">
        <v>40</v>
      </c>
      <c r="F35" s="7" t="s">
        <v>3720</v>
      </c>
      <c r="G35" s="7" t="s">
        <v>5221</v>
      </c>
      <c r="H35" s="7" t="s">
        <v>65</v>
      </c>
      <c r="I35" s="7" t="s">
        <v>5222</v>
      </c>
      <c r="J35" s="7" t="s">
        <v>48</v>
      </c>
      <c r="K35" s="7" t="s">
        <v>5223</v>
      </c>
      <c r="L35" s="7" t="s">
        <v>5224</v>
      </c>
      <c r="M35" s="7" t="s">
        <v>5225</v>
      </c>
      <c r="N35" s="7">
        <v>37845</v>
      </c>
      <c r="O35" s="7">
        <v>1295000</v>
      </c>
      <c r="P35" s="7" t="s">
        <v>5226</v>
      </c>
      <c r="Q35" s="12">
        <v>45580</v>
      </c>
      <c r="R35" s="7" t="s">
        <v>5227</v>
      </c>
      <c r="S35" s="7" t="s">
        <v>5228</v>
      </c>
      <c r="T35" s="7" t="s">
        <v>51</v>
      </c>
      <c r="U35" s="7" t="s">
        <v>5229</v>
      </c>
      <c r="V35" s="7" t="s">
        <v>389</v>
      </c>
      <c r="W35" s="7" t="s">
        <v>536</v>
      </c>
      <c r="X35" s="7" t="s">
        <v>5164</v>
      </c>
      <c r="Y35" s="7" t="s">
        <v>2716</v>
      </c>
      <c r="Z35" s="7" t="s">
        <v>242</v>
      </c>
      <c r="AA35" s="7" t="s">
        <v>5230</v>
      </c>
      <c r="AB35" s="7">
        <v>5</v>
      </c>
      <c r="AC35" s="7" t="s">
        <v>556</v>
      </c>
      <c r="AD35" s="7" t="s">
        <v>5231</v>
      </c>
      <c r="AE35" s="7" t="s">
        <v>2841</v>
      </c>
      <c r="AF35" s="7" t="s">
        <v>1079</v>
      </c>
      <c r="AG35" s="7">
        <v>1036000</v>
      </c>
      <c r="AH35" s="7">
        <v>0</v>
      </c>
      <c r="AI35" s="7"/>
      <c r="AJ35" s="7"/>
      <c r="AK35" s="10"/>
      <c r="AL35" t="e">
        <v>#N/A</v>
      </c>
      <c r="AM35">
        <v>0</v>
      </c>
    </row>
    <row r="36" spans="1:39" hidden="1" x14ac:dyDescent="0.25">
      <c r="A36" s="4">
        <v>413</v>
      </c>
      <c r="B36" s="5" t="s">
        <v>37</v>
      </c>
      <c r="C36" s="5" t="s">
        <v>5232</v>
      </c>
      <c r="D36" s="5" t="s">
        <v>4811</v>
      </c>
      <c r="E36" s="5" t="s">
        <v>40</v>
      </c>
      <c r="F36" s="5" t="s">
        <v>868</v>
      </c>
      <c r="G36" s="5" t="s">
        <v>5233</v>
      </c>
      <c r="H36" s="5" t="s">
        <v>83</v>
      </c>
      <c r="I36" s="5" t="s">
        <v>5234</v>
      </c>
      <c r="J36" s="5" t="s">
        <v>5235</v>
      </c>
      <c r="K36" s="5" t="s">
        <v>5235</v>
      </c>
      <c r="L36" s="5" t="s">
        <v>5236</v>
      </c>
      <c r="M36" s="5" t="s">
        <v>5237</v>
      </c>
      <c r="N36" s="5">
        <v>44426</v>
      </c>
      <c r="O36" s="5">
        <v>2577500</v>
      </c>
      <c r="P36" s="5" t="s">
        <v>5238</v>
      </c>
      <c r="Q36" s="11">
        <v>45576</v>
      </c>
      <c r="R36" s="5" t="s">
        <v>5239</v>
      </c>
      <c r="S36" s="5" t="s">
        <v>5240</v>
      </c>
      <c r="T36" s="5" t="s">
        <v>51</v>
      </c>
      <c r="U36" s="5" t="s">
        <v>5241</v>
      </c>
      <c r="V36" s="5" t="s">
        <v>5242</v>
      </c>
      <c r="W36" s="5" t="s">
        <v>1393</v>
      </c>
      <c r="X36" s="5" t="s">
        <v>5243</v>
      </c>
      <c r="Y36" s="5" t="s">
        <v>2730</v>
      </c>
      <c r="Z36" s="5" t="s">
        <v>242</v>
      </c>
      <c r="AA36" s="5" t="s">
        <v>5244</v>
      </c>
      <c r="AB36" s="5">
        <v>7</v>
      </c>
      <c r="AC36" s="5" t="s">
        <v>123</v>
      </c>
      <c r="AD36" s="5" t="s">
        <v>5245</v>
      </c>
      <c r="AE36" s="5" t="s">
        <v>3041</v>
      </c>
      <c r="AF36" s="5" t="s">
        <v>1061</v>
      </c>
      <c r="AG36" s="5">
        <v>2062000</v>
      </c>
      <c r="AH36" s="5">
        <v>0</v>
      </c>
      <c r="AI36" s="5"/>
      <c r="AJ36" s="5"/>
      <c r="AK36" s="9"/>
      <c r="AL36" t="e">
        <v>#N/A</v>
      </c>
      <c r="AM36">
        <v>0</v>
      </c>
    </row>
    <row r="37" spans="1:39" hidden="1" x14ac:dyDescent="0.25">
      <c r="A37" s="6">
        <v>414</v>
      </c>
      <c r="B37" s="7" t="s">
        <v>37</v>
      </c>
      <c r="C37" s="7" t="s">
        <v>5246</v>
      </c>
      <c r="D37" s="7" t="s">
        <v>4811</v>
      </c>
      <c r="E37" s="7" t="s">
        <v>40</v>
      </c>
      <c r="F37" s="7" t="s">
        <v>585</v>
      </c>
      <c r="G37" s="7" t="s">
        <v>5247</v>
      </c>
      <c r="H37" s="7" t="s">
        <v>233</v>
      </c>
      <c r="I37" s="7" t="s">
        <v>5248</v>
      </c>
      <c r="J37" s="7" t="s">
        <v>5249</v>
      </c>
      <c r="K37" s="7" t="s">
        <v>5249</v>
      </c>
      <c r="L37" s="7" t="s">
        <v>5249</v>
      </c>
      <c r="M37" s="7" t="s">
        <v>5250</v>
      </c>
      <c r="N37" s="7">
        <v>21034</v>
      </c>
      <c r="O37" s="7">
        <v>1050000</v>
      </c>
      <c r="P37" s="7" t="s">
        <v>5251</v>
      </c>
      <c r="Q37" s="12">
        <v>45574</v>
      </c>
      <c r="R37" s="7" t="s">
        <v>5252</v>
      </c>
      <c r="S37" s="7" t="s">
        <v>5253</v>
      </c>
      <c r="T37" s="7" t="s">
        <v>51</v>
      </c>
      <c r="U37" s="7" t="s">
        <v>5254</v>
      </c>
      <c r="V37" s="7" t="s">
        <v>5255</v>
      </c>
      <c r="W37" s="7" t="s">
        <v>536</v>
      </c>
      <c r="X37" s="7" t="s">
        <v>5256</v>
      </c>
      <c r="Y37" s="7" t="s">
        <v>2716</v>
      </c>
      <c r="Z37" s="7" t="s">
        <v>242</v>
      </c>
      <c r="AA37" s="7" t="s">
        <v>5257</v>
      </c>
      <c r="AB37" s="7">
        <v>5</v>
      </c>
      <c r="AC37" s="7" t="s">
        <v>556</v>
      </c>
      <c r="AD37" s="7" t="s">
        <v>5258</v>
      </c>
      <c r="AE37" s="7" t="s">
        <v>1075</v>
      </c>
      <c r="AF37" s="7" t="s">
        <v>1079</v>
      </c>
      <c r="AG37" s="7">
        <v>840000</v>
      </c>
      <c r="AH37" s="7">
        <v>0</v>
      </c>
      <c r="AI37" s="7"/>
      <c r="AJ37" s="7"/>
      <c r="AK37" s="10"/>
      <c r="AL37" t="e">
        <v>#N/A</v>
      </c>
      <c r="AM37">
        <v>0</v>
      </c>
    </row>
    <row r="38" spans="1:39" hidden="1" x14ac:dyDescent="0.25">
      <c r="A38" s="4">
        <v>415</v>
      </c>
      <c r="B38" s="5" t="s">
        <v>37</v>
      </c>
      <c r="C38" s="5" t="s">
        <v>5259</v>
      </c>
      <c r="D38" s="5" t="s">
        <v>4811</v>
      </c>
      <c r="E38" s="5" t="s">
        <v>40</v>
      </c>
      <c r="F38" s="5" t="s">
        <v>63</v>
      </c>
      <c r="G38" s="5" t="s">
        <v>5260</v>
      </c>
      <c r="H38" s="5" t="s">
        <v>188</v>
      </c>
      <c r="I38" s="5" t="s">
        <v>5261</v>
      </c>
      <c r="J38" s="5" t="s">
        <v>5262</v>
      </c>
      <c r="K38" s="5" t="s">
        <v>5262</v>
      </c>
      <c r="L38" s="5" t="s">
        <v>438</v>
      </c>
      <c r="M38" s="5" t="s">
        <v>5263</v>
      </c>
      <c r="N38" s="5">
        <v>32926</v>
      </c>
      <c r="O38" s="5">
        <v>1375000</v>
      </c>
      <c r="P38" s="5" t="s">
        <v>5264</v>
      </c>
      <c r="Q38" s="11">
        <v>45570</v>
      </c>
      <c r="R38" s="5" t="s">
        <v>5265</v>
      </c>
      <c r="S38" s="5" t="s">
        <v>5266</v>
      </c>
      <c r="T38" s="5" t="s">
        <v>51</v>
      </c>
      <c r="U38" s="5" t="s">
        <v>5267</v>
      </c>
      <c r="V38" s="5" t="s">
        <v>5268</v>
      </c>
      <c r="W38" s="5" t="s">
        <v>1393</v>
      </c>
      <c r="X38" s="5" t="s">
        <v>3038</v>
      </c>
      <c r="Y38" s="5" t="s">
        <v>3534</v>
      </c>
      <c r="Z38" s="5" t="s">
        <v>281</v>
      </c>
      <c r="AA38" s="5" t="s">
        <v>5269</v>
      </c>
      <c r="AB38" s="5">
        <v>7</v>
      </c>
      <c r="AC38" s="5" t="s">
        <v>123</v>
      </c>
      <c r="AD38" s="5" t="s">
        <v>5270</v>
      </c>
      <c r="AE38" s="5" t="s">
        <v>3537</v>
      </c>
      <c r="AF38" s="5" t="s">
        <v>1061</v>
      </c>
      <c r="AG38" s="5">
        <v>1100000</v>
      </c>
      <c r="AH38" s="5">
        <v>0</v>
      </c>
      <c r="AI38" s="5"/>
      <c r="AJ38" s="5"/>
      <c r="AK38" s="9"/>
      <c r="AL38" t="e">
        <v>#N/A</v>
      </c>
      <c r="AM38">
        <v>0</v>
      </c>
    </row>
    <row r="39" spans="1:39" x14ac:dyDescent="0.25">
      <c r="A39" s="6">
        <v>416</v>
      </c>
      <c r="B39" s="7" t="s">
        <v>37</v>
      </c>
      <c r="C39" s="7" t="s">
        <v>5271</v>
      </c>
      <c r="D39" s="7" t="s">
        <v>4811</v>
      </c>
      <c r="E39" s="7" t="s">
        <v>40</v>
      </c>
      <c r="F39" s="7" t="s">
        <v>5050</v>
      </c>
      <c r="G39" s="7" t="s">
        <v>5272</v>
      </c>
      <c r="H39" s="7" t="s">
        <v>43</v>
      </c>
      <c r="I39" s="7" t="s">
        <v>5273</v>
      </c>
      <c r="J39" s="7" t="s">
        <v>5274</v>
      </c>
      <c r="K39" s="7" t="s">
        <v>5275</v>
      </c>
      <c r="L39" s="7" t="s">
        <v>5274</v>
      </c>
      <c r="M39" s="7" t="s">
        <v>5276</v>
      </c>
      <c r="N39" s="7">
        <v>1678685</v>
      </c>
      <c r="O39" s="7">
        <v>2935000</v>
      </c>
      <c r="P39" s="7" t="s">
        <v>5277</v>
      </c>
      <c r="Q39" s="7" t="s">
        <v>3571</v>
      </c>
      <c r="R39" s="7" t="s">
        <v>5278</v>
      </c>
      <c r="S39" s="7" t="s">
        <v>5279</v>
      </c>
      <c r="T39" s="7" t="s">
        <v>51</v>
      </c>
      <c r="U39" s="7" t="s">
        <v>48</v>
      </c>
      <c r="V39" s="7" t="s">
        <v>73</v>
      </c>
      <c r="W39" s="7" t="s">
        <v>74</v>
      </c>
      <c r="X39" s="12">
        <v>45231</v>
      </c>
      <c r="Y39" s="7" t="s">
        <v>3575</v>
      </c>
      <c r="Z39" s="7" t="s">
        <v>153</v>
      </c>
      <c r="AA39" s="7" t="s">
        <v>5280</v>
      </c>
      <c r="AB39" s="7">
        <v>3</v>
      </c>
      <c r="AC39" s="7" t="s">
        <v>540</v>
      </c>
      <c r="AD39" s="7" t="s">
        <v>5281</v>
      </c>
      <c r="AE39" s="7" t="s">
        <v>3578</v>
      </c>
      <c r="AF39" s="7" t="s">
        <v>155</v>
      </c>
      <c r="AG39" s="7">
        <v>2641500</v>
      </c>
      <c r="AH39" s="7">
        <v>0</v>
      </c>
      <c r="AI39" s="7"/>
      <c r="AJ39" s="7"/>
      <c r="AK39" s="10"/>
      <c r="AL39" t="s">
        <v>6234</v>
      </c>
      <c r="AM39" s="13">
        <v>46226.250000000007</v>
      </c>
    </row>
    <row r="40" spans="1:39" hidden="1" x14ac:dyDescent="0.25">
      <c r="A40" s="4">
        <v>417</v>
      </c>
      <c r="B40" s="5" t="s">
        <v>37</v>
      </c>
      <c r="C40" s="5" t="s">
        <v>5282</v>
      </c>
      <c r="D40" s="5" t="s">
        <v>4811</v>
      </c>
      <c r="E40" s="5" t="s">
        <v>40</v>
      </c>
      <c r="F40" s="5" t="s">
        <v>41</v>
      </c>
      <c r="G40" s="5" t="s">
        <v>5283</v>
      </c>
      <c r="H40" s="5" t="s">
        <v>43</v>
      </c>
      <c r="I40" s="5" t="s">
        <v>5284</v>
      </c>
      <c r="J40" s="5" t="s">
        <v>48</v>
      </c>
      <c r="K40" s="5" t="s">
        <v>48</v>
      </c>
      <c r="L40" s="5" t="s">
        <v>48</v>
      </c>
      <c r="M40" s="5" t="s">
        <v>5285</v>
      </c>
      <c r="N40" s="5">
        <v>100326</v>
      </c>
      <c r="O40" s="5">
        <v>2703000</v>
      </c>
      <c r="P40" s="5" t="s">
        <v>5286</v>
      </c>
      <c r="Q40" s="11">
        <v>45594</v>
      </c>
      <c r="R40" s="5" t="s">
        <v>5287</v>
      </c>
      <c r="S40" s="5" t="s">
        <v>5288</v>
      </c>
      <c r="T40" s="5" t="s">
        <v>51</v>
      </c>
      <c r="U40" s="5" t="s">
        <v>48</v>
      </c>
      <c r="V40" s="5" t="s">
        <v>1305</v>
      </c>
      <c r="W40" s="5" t="s">
        <v>53</v>
      </c>
      <c r="X40" s="5" t="s">
        <v>5289</v>
      </c>
      <c r="Y40" s="5" t="s">
        <v>152</v>
      </c>
      <c r="Z40" s="5" t="s">
        <v>181</v>
      </c>
      <c r="AA40" s="5" t="s">
        <v>5290</v>
      </c>
      <c r="AB40" s="5">
        <v>3</v>
      </c>
      <c r="AC40" s="5" t="s">
        <v>78</v>
      </c>
      <c r="AD40" s="5" t="s">
        <v>5291</v>
      </c>
      <c r="AE40" s="5" t="s">
        <v>1885</v>
      </c>
      <c r="AF40" s="5" t="s">
        <v>61</v>
      </c>
      <c r="AG40" s="5">
        <v>2162400</v>
      </c>
      <c r="AH40" s="5">
        <v>0</v>
      </c>
      <c r="AI40" s="5"/>
      <c r="AJ40" s="5"/>
      <c r="AK40" s="9"/>
      <c r="AL40" t="e">
        <v>#N/A</v>
      </c>
      <c r="AM40">
        <v>0</v>
      </c>
    </row>
    <row r="41" spans="1:39" hidden="1" x14ac:dyDescent="0.25">
      <c r="A41" s="6">
        <v>418</v>
      </c>
      <c r="B41" s="7" t="s">
        <v>37</v>
      </c>
      <c r="C41" s="7" t="s">
        <v>5292</v>
      </c>
      <c r="D41" s="7" t="s">
        <v>4811</v>
      </c>
      <c r="E41" s="7" t="s">
        <v>40</v>
      </c>
      <c r="F41" s="7" t="s">
        <v>1401</v>
      </c>
      <c r="G41" s="7" t="s">
        <v>5293</v>
      </c>
      <c r="H41" s="7" t="s">
        <v>188</v>
      </c>
      <c r="I41" s="7" t="s">
        <v>5294</v>
      </c>
      <c r="J41" s="7" t="s">
        <v>5295</v>
      </c>
      <c r="K41" s="7" t="s">
        <v>5296</v>
      </c>
      <c r="L41" s="7" t="s">
        <v>5297</v>
      </c>
      <c r="M41" s="7" t="s">
        <v>5298</v>
      </c>
      <c r="N41" s="7">
        <v>89707</v>
      </c>
      <c r="O41" s="7">
        <v>1521000</v>
      </c>
      <c r="P41" s="7" t="s">
        <v>5299</v>
      </c>
      <c r="Q41" s="12">
        <v>45594</v>
      </c>
      <c r="R41" s="7" t="s">
        <v>5300</v>
      </c>
      <c r="S41" s="7" t="s">
        <v>5301</v>
      </c>
      <c r="T41" s="7" t="s">
        <v>51</v>
      </c>
      <c r="U41" s="7" t="s">
        <v>48</v>
      </c>
      <c r="V41" s="7" t="s">
        <v>73</v>
      </c>
      <c r="W41" s="7" t="s">
        <v>53</v>
      </c>
      <c r="X41" s="7" t="s">
        <v>3136</v>
      </c>
      <c r="Y41" s="7" t="s">
        <v>152</v>
      </c>
      <c r="Z41" s="7" t="s">
        <v>181</v>
      </c>
      <c r="AA41" s="7" t="s">
        <v>5302</v>
      </c>
      <c r="AB41" s="7">
        <v>3</v>
      </c>
      <c r="AC41" s="7" t="s">
        <v>123</v>
      </c>
      <c r="AD41" s="7" t="s">
        <v>5303</v>
      </c>
      <c r="AE41" s="7" t="s">
        <v>3136</v>
      </c>
      <c r="AF41" s="7" t="s">
        <v>61</v>
      </c>
      <c r="AG41" s="7">
        <v>1216800</v>
      </c>
      <c r="AH41" s="7">
        <v>0</v>
      </c>
      <c r="AI41" s="7"/>
      <c r="AJ41" s="7"/>
      <c r="AK41" s="10"/>
      <c r="AL41" t="e">
        <v>#N/A</v>
      </c>
      <c r="AM41">
        <v>0</v>
      </c>
    </row>
    <row r="42" spans="1:39" x14ac:dyDescent="0.25">
      <c r="A42" s="4">
        <v>419</v>
      </c>
      <c r="B42" s="5" t="s">
        <v>37</v>
      </c>
      <c r="C42" s="5" t="s">
        <v>5304</v>
      </c>
      <c r="D42" s="5" t="s">
        <v>4811</v>
      </c>
      <c r="E42" s="5" t="s">
        <v>40</v>
      </c>
      <c r="F42" s="5" t="s">
        <v>5305</v>
      </c>
      <c r="G42" s="5" t="s">
        <v>5306</v>
      </c>
      <c r="H42" s="5" t="s">
        <v>188</v>
      </c>
      <c r="I42" s="5" t="s">
        <v>5307</v>
      </c>
      <c r="J42" s="5" t="s">
        <v>5308</v>
      </c>
      <c r="K42" s="5" t="s">
        <v>5309</v>
      </c>
      <c r="L42" s="5" t="s">
        <v>5308</v>
      </c>
      <c r="M42" s="5" t="s">
        <v>5310</v>
      </c>
      <c r="N42" s="5">
        <v>672804</v>
      </c>
      <c r="O42" s="5">
        <v>1700000</v>
      </c>
      <c r="P42" s="5" t="s">
        <v>5311</v>
      </c>
      <c r="Q42" s="11">
        <v>45593</v>
      </c>
      <c r="R42" s="5" t="s">
        <v>5312</v>
      </c>
      <c r="S42" s="5" t="s">
        <v>5313</v>
      </c>
      <c r="T42" s="5" t="s">
        <v>196</v>
      </c>
      <c r="U42" s="5" t="s">
        <v>5314</v>
      </c>
      <c r="V42" s="5" t="s">
        <v>73</v>
      </c>
      <c r="W42" s="5" t="s">
        <v>198</v>
      </c>
      <c r="X42" s="5" t="s">
        <v>3136</v>
      </c>
      <c r="Y42" s="5" t="s">
        <v>152</v>
      </c>
      <c r="Z42" s="5" t="s">
        <v>153</v>
      </c>
      <c r="AA42" s="5" t="s">
        <v>5315</v>
      </c>
      <c r="AB42" s="5">
        <v>5</v>
      </c>
      <c r="AC42" s="5" t="s">
        <v>78</v>
      </c>
      <c r="AD42" s="5" t="s">
        <v>5316</v>
      </c>
      <c r="AE42" s="5" t="s">
        <v>3136</v>
      </c>
      <c r="AF42" s="5" t="s">
        <v>61</v>
      </c>
      <c r="AG42" s="5">
        <v>1360000</v>
      </c>
      <c r="AH42" s="5">
        <v>0</v>
      </c>
      <c r="AI42" s="5"/>
      <c r="AJ42" s="5"/>
      <c r="AK42" s="9"/>
      <c r="AL42" t="s">
        <v>6228</v>
      </c>
      <c r="AM42" s="13">
        <v>27200</v>
      </c>
    </row>
    <row r="43" spans="1:39" hidden="1" x14ac:dyDescent="0.25">
      <c r="A43" s="6">
        <v>420</v>
      </c>
      <c r="B43" s="7" t="s">
        <v>37</v>
      </c>
      <c r="C43" s="7" t="s">
        <v>5317</v>
      </c>
      <c r="D43" s="7" t="s">
        <v>4811</v>
      </c>
      <c r="E43" s="7" t="s">
        <v>40</v>
      </c>
      <c r="F43" s="7" t="s">
        <v>63</v>
      </c>
      <c r="G43" s="7" t="s">
        <v>5318</v>
      </c>
      <c r="H43" s="7" t="s">
        <v>83</v>
      </c>
      <c r="I43" s="7" t="s">
        <v>5319</v>
      </c>
      <c r="J43" s="7" t="s">
        <v>5320</v>
      </c>
      <c r="K43" s="7" t="s">
        <v>5320</v>
      </c>
      <c r="L43" s="7" t="s">
        <v>5320</v>
      </c>
      <c r="M43" s="7" t="s">
        <v>5321</v>
      </c>
      <c r="N43" s="7">
        <v>87195</v>
      </c>
      <c r="O43" s="7">
        <v>1886000</v>
      </c>
      <c r="P43" s="7" t="s">
        <v>5322</v>
      </c>
      <c r="Q43" s="12">
        <v>45592</v>
      </c>
      <c r="R43" s="7" t="s">
        <v>5323</v>
      </c>
      <c r="S43" s="7" t="s">
        <v>5324</v>
      </c>
      <c r="T43" s="7" t="s">
        <v>51</v>
      </c>
      <c r="U43" s="7" t="s">
        <v>48</v>
      </c>
      <c r="V43" s="7" t="s">
        <v>73</v>
      </c>
      <c r="W43" s="7" t="s">
        <v>552</v>
      </c>
      <c r="X43" s="7" t="s">
        <v>5325</v>
      </c>
      <c r="Y43" s="7" t="s">
        <v>2996</v>
      </c>
      <c r="Z43" s="7" t="s">
        <v>181</v>
      </c>
      <c r="AA43" s="7" t="s">
        <v>5326</v>
      </c>
      <c r="AB43" s="7">
        <v>2</v>
      </c>
      <c r="AC43" s="7" t="s">
        <v>556</v>
      </c>
      <c r="AD43" s="7" t="s">
        <v>5327</v>
      </c>
      <c r="AE43" s="7" t="s">
        <v>2995</v>
      </c>
      <c r="AF43" s="7" t="s">
        <v>882</v>
      </c>
      <c r="AG43" s="7">
        <v>1508800</v>
      </c>
      <c r="AH43" s="7">
        <v>0</v>
      </c>
      <c r="AI43" s="7"/>
      <c r="AJ43" s="7"/>
      <c r="AK43" s="10"/>
      <c r="AL43" t="e">
        <v>#N/A</v>
      </c>
      <c r="AM43">
        <v>0</v>
      </c>
    </row>
    <row r="44" spans="1:39" hidden="1" x14ac:dyDescent="0.25">
      <c r="A44" s="4">
        <v>421</v>
      </c>
      <c r="B44" s="5" t="s">
        <v>37</v>
      </c>
      <c r="C44" s="5" t="s">
        <v>5328</v>
      </c>
      <c r="D44" s="5" t="s">
        <v>4811</v>
      </c>
      <c r="E44" s="5" t="s">
        <v>40</v>
      </c>
      <c r="F44" s="5" t="s">
        <v>316</v>
      </c>
      <c r="G44" s="5" t="s">
        <v>5329</v>
      </c>
      <c r="H44" s="5" t="s">
        <v>65</v>
      </c>
      <c r="I44" s="5" t="s">
        <v>5330</v>
      </c>
      <c r="J44" s="5" t="s">
        <v>5331</v>
      </c>
      <c r="K44" s="5" t="s">
        <v>48</v>
      </c>
      <c r="L44" s="5" t="s">
        <v>5332</v>
      </c>
      <c r="M44" s="5" t="s">
        <v>5333</v>
      </c>
      <c r="N44" s="5">
        <v>67247</v>
      </c>
      <c r="O44" s="5">
        <v>1521000</v>
      </c>
      <c r="P44" s="5" t="s">
        <v>5334</v>
      </c>
      <c r="Q44" s="11">
        <v>45592</v>
      </c>
      <c r="R44" s="5" t="s">
        <v>5335</v>
      </c>
      <c r="S44" s="5" t="s">
        <v>5336</v>
      </c>
      <c r="T44" s="5" t="s">
        <v>51</v>
      </c>
      <c r="U44" s="5" t="s">
        <v>48</v>
      </c>
      <c r="V44" s="5" t="s">
        <v>73</v>
      </c>
      <c r="W44" s="5" t="s">
        <v>53</v>
      </c>
      <c r="X44" s="5" t="s">
        <v>311</v>
      </c>
      <c r="Y44" s="5" t="s">
        <v>152</v>
      </c>
      <c r="Z44" s="5" t="s">
        <v>181</v>
      </c>
      <c r="AA44" s="5" t="s">
        <v>5337</v>
      </c>
      <c r="AB44" s="5">
        <v>3</v>
      </c>
      <c r="AC44" s="5" t="s">
        <v>58</v>
      </c>
      <c r="AD44" s="5" t="s">
        <v>5338</v>
      </c>
      <c r="AE44" s="5" t="s">
        <v>4087</v>
      </c>
      <c r="AF44" s="5" t="s">
        <v>61</v>
      </c>
      <c r="AG44" s="5">
        <v>1216800</v>
      </c>
      <c r="AH44" s="5">
        <v>0</v>
      </c>
      <c r="AI44" s="5"/>
      <c r="AJ44" s="5"/>
      <c r="AK44" s="9"/>
      <c r="AL44" t="e">
        <v>#N/A</v>
      </c>
      <c r="AM44">
        <v>0</v>
      </c>
    </row>
    <row r="45" spans="1:39" hidden="1" x14ac:dyDescent="0.25">
      <c r="A45" s="6">
        <v>422</v>
      </c>
      <c r="B45" s="7" t="s">
        <v>37</v>
      </c>
      <c r="C45" s="7" t="s">
        <v>5339</v>
      </c>
      <c r="D45" s="7" t="s">
        <v>4811</v>
      </c>
      <c r="E45" s="7" t="s">
        <v>40</v>
      </c>
      <c r="F45" s="7" t="s">
        <v>285</v>
      </c>
      <c r="G45" s="7" t="s">
        <v>5340</v>
      </c>
      <c r="H45" s="7" t="s">
        <v>188</v>
      </c>
      <c r="I45" s="7" t="s">
        <v>5341</v>
      </c>
      <c r="J45" s="7" t="s">
        <v>48</v>
      </c>
      <c r="K45" s="7" t="s">
        <v>5342</v>
      </c>
      <c r="L45" s="7" t="s">
        <v>5343</v>
      </c>
      <c r="M45" s="7" t="s">
        <v>5344</v>
      </c>
      <c r="N45" s="7">
        <v>165952</v>
      </c>
      <c r="O45" s="7">
        <v>3255000</v>
      </c>
      <c r="P45" s="7" t="s">
        <v>5345</v>
      </c>
      <c r="Q45" s="12">
        <v>45591</v>
      </c>
      <c r="R45" s="7" t="s">
        <v>5346</v>
      </c>
      <c r="S45" s="7" t="s">
        <v>5347</v>
      </c>
      <c r="T45" s="7" t="s">
        <v>51</v>
      </c>
      <c r="U45" s="7" t="s">
        <v>48</v>
      </c>
      <c r="V45" s="7" t="s">
        <v>2583</v>
      </c>
      <c r="W45" s="7" t="s">
        <v>53</v>
      </c>
      <c r="X45" s="7" t="s">
        <v>5348</v>
      </c>
      <c r="Y45" s="7" t="s">
        <v>152</v>
      </c>
      <c r="Z45" s="7" t="s">
        <v>181</v>
      </c>
      <c r="AA45" s="7" t="s">
        <v>5349</v>
      </c>
      <c r="AB45" s="7">
        <v>3</v>
      </c>
      <c r="AC45" s="7" t="s">
        <v>123</v>
      </c>
      <c r="AD45" s="7" t="s">
        <v>5350</v>
      </c>
      <c r="AE45" s="7" t="s">
        <v>1143</v>
      </c>
      <c r="AF45" s="7" t="s">
        <v>61</v>
      </c>
      <c r="AG45" s="7">
        <v>2604000</v>
      </c>
      <c r="AH45" s="7">
        <v>0</v>
      </c>
      <c r="AI45" s="7"/>
      <c r="AJ45" s="7"/>
      <c r="AK45" s="10"/>
      <c r="AL45" t="e">
        <v>#N/A</v>
      </c>
      <c r="AM45">
        <v>0</v>
      </c>
    </row>
    <row r="46" spans="1:39" hidden="1" x14ac:dyDescent="0.25">
      <c r="A46" s="4">
        <v>423</v>
      </c>
      <c r="B46" s="5" t="s">
        <v>37</v>
      </c>
      <c r="C46" s="5" t="s">
        <v>5351</v>
      </c>
      <c r="D46" s="5" t="s">
        <v>4811</v>
      </c>
      <c r="E46" s="5" t="s">
        <v>40</v>
      </c>
      <c r="F46" s="5" t="s">
        <v>659</v>
      </c>
      <c r="G46" s="5" t="s">
        <v>5352</v>
      </c>
      <c r="H46" s="5" t="s">
        <v>83</v>
      </c>
      <c r="I46" s="5" t="s">
        <v>5353</v>
      </c>
      <c r="J46" s="5" t="s">
        <v>5354</v>
      </c>
      <c r="K46" s="5" t="s">
        <v>5354</v>
      </c>
      <c r="L46" s="5" t="s">
        <v>5354</v>
      </c>
      <c r="M46" s="5" t="s">
        <v>5355</v>
      </c>
      <c r="N46" s="5">
        <v>161610</v>
      </c>
      <c r="O46" s="5">
        <v>3500000</v>
      </c>
      <c r="P46" s="5" t="s">
        <v>5356</v>
      </c>
      <c r="Q46" s="11">
        <v>45590</v>
      </c>
      <c r="R46" s="5" t="s">
        <v>5357</v>
      </c>
      <c r="S46" s="5" t="s">
        <v>5358</v>
      </c>
      <c r="T46" s="5" t="s">
        <v>196</v>
      </c>
      <c r="U46" s="5" t="s">
        <v>5359</v>
      </c>
      <c r="V46" s="5" t="s">
        <v>2700</v>
      </c>
      <c r="W46" s="5" t="s">
        <v>1393</v>
      </c>
      <c r="X46" s="5" t="s">
        <v>1490</v>
      </c>
      <c r="Y46" s="5" t="s">
        <v>1490</v>
      </c>
      <c r="Z46" s="5" t="s">
        <v>879</v>
      </c>
      <c r="AA46" s="5" t="s">
        <v>5360</v>
      </c>
      <c r="AB46" s="5">
        <v>2</v>
      </c>
      <c r="AC46" s="5" t="s">
        <v>540</v>
      </c>
      <c r="AD46" s="5" t="s">
        <v>5361</v>
      </c>
      <c r="AE46" s="5" t="s">
        <v>3834</v>
      </c>
      <c r="AF46" s="5" t="s">
        <v>155</v>
      </c>
      <c r="AG46" s="5">
        <v>2800000</v>
      </c>
      <c r="AH46" s="5">
        <v>0</v>
      </c>
      <c r="AI46" s="5"/>
      <c r="AJ46" s="5"/>
      <c r="AK46" s="9"/>
      <c r="AL46" t="s">
        <v>514</v>
      </c>
      <c r="AM46">
        <v>0</v>
      </c>
    </row>
    <row r="47" spans="1:39" x14ac:dyDescent="0.25">
      <c r="A47" s="6">
        <v>424</v>
      </c>
      <c r="B47" s="7" t="s">
        <v>37</v>
      </c>
      <c r="C47" s="7" t="s">
        <v>5362</v>
      </c>
      <c r="D47" s="7" t="s">
        <v>4811</v>
      </c>
      <c r="E47" s="7" t="s">
        <v>40</v>
      </c>
      <c r="F47" s="7" t="s">
        <v>5363</v>
      </c>
      <c r="G47" s="7" t="s">
        <v>5364</v>
      </c>
      <c r="H47" s="7" t="s">
        <v>65</v>
      </c>
      <c r="I47" s="7" t="s">
        <v>5365</v>
      </c>
      <c r="J47" s="7" t="s">
        <v>5366</v>
      </c>
      <c r="K47" s="7" t="s">
        <v>48</v>
      </c>
      <c r="L47" s="7" t="s">
        <v>5367</v>
      </c>
      <c r="M47" s="7" t="s">
        <v>5368</v>
      </c>
      <c r="N47" s="7">
        <v>1098166</v>
      </c>
      <c r="O47" s="7">
        <v>2815000</v>
      </c>
      <c r="P47" s="7" t="s">
        <v>5369</v>
      </c>
      <c r="Q47" s="12">
        <v>45590</v>
      </c>
      <c r="R47" s="7" t="s">
        <v>5370</v>
      </c>
      <c r="S47" s="7" t="s">
        <v>5371</v>
      </c>
      <c r="T47" s="7" t="s">
        <v>51</v>
      </c>
      <c r="U47" s="7" t="s">
        <v>48</v>
      </c>
      <c r="V47" s="7" t="s">
        <v>3160</v>
      </c>
      <c r="W47" s="7" t="s">
        <v>53</v>
      </c>
      <c r="X47" s="7" t="s">
        <v>1885</v>
      </c>
      <c r="Y47" s="7" t="s">
        <v>152</v>
      </c>
      <c r="Z47" s="7" t="s">
        <v>153</v>
      </c>
      <c r="AA47" s="7" t="s">
        <v>5372</v>
      </c>
      <c r="AB47" s="7">
        <v>5</v>
      </c>
      <c r="AC47" s="7" t="s">
        <v>78</v>
      </c>
      <c r="AD47" s="7" t="s">
        <v>5373</v>
      </c>
      <c r="AE47" s="7" t="s">
        <v>3374</v>
      </c>
      <c r="AF47" s="7" t="s">
        <v>61</v>
      </c>
      <c r="AG47" s="7">
        <v>2252000</v>
      </c>
      <c r="AH47" s="7">
        <v>0</v>
      </c>
      <c r="AI47" s="7"/>
      <c r="AJ47" s="7"/>
      <c r="AK47" s="10"/>
      <c r="AL47" t="s">
        <v>6229</v>
      </c>
      <c r="AM47" s="13">
        <v>45040</v>
      </c>
    </row>
    <row r="48" spans="1:39" hidden="1" x14ac:dyDescent="0.25">
      <c r="A48" s="4">
        <v>425</v>
      </c>
      <c r="B48" s="5" t="s">
        <v>37</v>
      </c>
      <c r="C48" s="5" t="s">
        <v>5374</v>
      </c>
      <c r="D48" s="5" t="s">
        <v>4811</v>
      </c>
      <c r="E48" s="5" t="s">
        <v>40</v>
      </c>
      <c r="F48" s="5" t="s">
        <v>41</v>
      </c>
      <c r="G48" s="5" t="s">
        <v>5375</v>
      </c>
      <c r="H48" s="5" t="s">
        <v>43</v>
      </c>
      <c r="I48" s="5" t="s">
        <v>5376</v>
      </c>
      <c r="J48" s="5" t="s">
        <v>48</v>
      </c>
      <c r="K48" s="5" t="s">
        <v>5377</v>
      </c>
      <c r="L48" s="5" t="s">
        <v>48</v>
      </c>
      <c r="M48" s="5" t="s">
        <v>5378</v>
      </c>
      <c r="N48" s="5">
        <v>150500</v>
      </c>
      <c r="O48" s="5">
        <v>2703000</v>
      </c>
      <c r="P48" s="5" t="s">
        <v>5379</v>
      </c>
      <c r="Q48" s="11">
        <v>45589</v>
      </c>
      <c r="R48" s="5" t="s">
        <v>5380</v>
      </c>
      <c r="S48" s="5" t="s">
        <v>5381</v>
      </c>
      <c r="T48" s="5" t="s">
        <v>51</v>
      </c>
      <c r="U48" s="5" t="s">
        <v>48</v>
      </c>
      <c r="V48" s="5" t="s">
        <v>416</v>
      </c>
      <c r="W48" s="5" t="s">
        <v>53</v>
      </c>
      <c r="X48" s="5" t="s">
        <v>641</v>
      </c>
      <c r="Y48" s="5" t="s">
        <v>697</v>
      </c>
      <c r="Z48" s="5" t="s">
        <v>3547</v>
      </c>
      <c r="AA48" s="5" t="s">
        <v>5382</v>
      </c>
      <c r="AB48" s="5">
        <v>3</v>
      </c>
      <c r="AC48" s="5" t="s">
        <v>78</v>
      </c>
      <c r="AD48" s="5" t="s">
        <v>5383</v>
      </c>
      <c r="AE48" s="5" t="s">
        <v>1430</v>
      </c>
      <c r="AF48" s="5" t="s">
        <v>61</v>
      </c>
      <c r="AG48" s="5">
        <v>2162400</v>
      </c>
      <c r="AH48" s="5">
        <v>0</v>
      </c>
      <c r="AI48" s="5"/>
      <c r="AJ48" s="5"/>
      <c r="AK48" s="9"/>
      <c r="AL48" t="e">
        <v>#N/A</v>
      </c>
      <c r="AM48">
        <v>0</v>
      </c>
    </row>
    <row r="49" spans="1:39" hidden="1" x14ac:dyDescent="0.25">
      <c r="A49" s="6">
        <v>426</v>
      </c>
      <c r="B49" s="7" t="s">
        <v>37</v>
      </c>
      <c r="C49" s="7" t="s">
        <v>5384</v>
      </c>
      <c r="D49" s="7" t="s">
        <v>4811</v>
      </c>
      <c r="E49" s="7" t="s">
        <v>40</v>
      </c>
      <c r="F49" s="7" t="s">
        <v>143</v>
      </c>
      <c r="G49" s="7" t="s">
        <v>5385</v>
      </c>
      <c r="H49" s="7" t="s">
        <v>83</v>
      </c>
      <c r="I49" s="7" t="s">
        <v>5386</v>
      </c>
      <c r="J49" s="7" t="s">
        <v>48</v>
      </c>
      <c r="K49" s="7" t="s">
        <v>5387</v>
      </c>
      <c r="L49" s="7" t="s">
        <v>48</v>
      </c>
      <c r="M49" s="7" t="s">
        <v>5388</v>
      </c>
      <c r="N49" s="7">
        <v>37495</v>
      </c>
      <c r="O49" s="7">
        <v>1806000</v>
      </c>
      <c r="P49" s="7" t="s">
        <v>5389</v>
      </c>
      <c r="Q49" s="12">
        <v>45589</v>
      </c>
      <c r="R49" s="7" t="s">
        <v>5390</v>
      </c>
      <c r="S49" s="7" t="s">
        <v>5391</v>
      </c>
      <c r="T49" s="7" t="s">
        <v>51</v>
      </c>
      <c r="U49" s="7" t="s">
        <v>48</v>
      </c>
      <c r="V49" s="7" t="s">
        <v>5392</v>
      </c>
      <c r="W49" s="7" t="s">
        <v>53</v>
      </c>
      <c r="X49" s="7" t="s">
        <v>60</v>
      </c>
      <c r="Y49" s="7" t="s">
        <v>152</v>
      </c>
      <c r="Z49" s="7" t="s">
        <v>181</v>
      </c>
      <c r="AA49" s="7" t="s">
        <v>5393</v>
      </c>
      <c r="AB49" s="7">
        <v>3</v>
      </c>
      <c r="AC49" s="7" t="s">
        <v>78</v>
      </c>
      <c r="AD49" s="7" t="s">
        <v>5394</v>
      </c>
      <c r="AE49" s="7" t="s">
        <v>1430</v>
      </c>
      <c r="AF49" s="7" t="s">
        <v>61</v>
      </c>
      <c r="AG49" s="7">
        <v>1444800</v>
      </c>
      <c r="AH49" s="7">
        <v>0</v>
      </c>
      <c r="AI49" s="7"/>
      <c r="AJ49" s="7"/>
      <c r="AK49" s="10"/>
      <c r="AL49" t="e">
        <v>#N/A</v>
      </c>
      <c r="AM49">
        <v>0</v>
      </c>
    </row>
    <row r="50" spans="1:39" hidden="1" x14ac:dyDescent="0.25">
      <c r="A50" s="4">
        <v>427</v>
      </c>
      <c r="B50" s="5" t="s">
        <v>37</v>
      </c>
      <c r="C50" s="5" t="s">
        <v>5395</v>
      </c>
      <c r="D50" s="5" t="s">
        <v>4811</v>
      </c>
      <c r="E50" s="5" t="s">
        <v>40</v>
      </c>
      <c r="F50" s="5" t="s">
        <v>5396</v>
      </c>
      <c r="G50" s="5" t="s">
        <v>5397</v>
      </c>
      <c r="H50" s="5" t="s">
        <v>188</v>
      </c>
      <c r="I50" s="5" t="s">
        <v>5398</v>
      </c>
      <c r="J50" s="5" t="s">
        <v>5399</v>
      </c>
      <c r="K50" s="5" t="s">
        <v>5399</v>
      </c>
      <c r="L50" s="5" t="s">
        <v>5399</v>
      </c>
      <c r="M50" s="5" t="s">
        <v>5400</v>
      </c>
      <c r="N50" s="5">
        <v>457129</v>
      </c>
      <c r="O50" s="5">
        <v>4960000</v>
      </c>
      <c r="P50" s="5" t="s">
        <v>5401</v>
      </c>
      <c r="Q50" s="5" t="s">
        <v>4022</v>
      </c>
      <c r="R50" s="5" t="s">
        <v>5402</v>
      </c>
      <c r="S50" s="5" t="s">
        <v>5403</v>
      </c>
      <c r="T50" s="5" t="s">
        <v>51</v>
      </c>
      <c r="U50" s="5" t="s">
        <v>48</v>
      </c>
      <c r="V50" s="5" t="s">
        <v>5404</v>
      </c>
      <c r="W50" s="5" t="s">
        <v>74</v>
      </c>
      <c r="X50" s="11">
        <v>45224</v>
      </c>
      <c r="Y50" s="5" t="s">
        <v>4026</v>
      </c>
      <c r="Z50" s="5" t="s">
        <v>879</v>
      </c>
      <c r="AA50" s="5" t="s">
        <v>5405</v>
      </c>
      <c r="AB50" s="5">
        <v>1</v>
      </c>
      <c r="AC50" s="5" t="s">
        <v>540</v>
      </c>
      <c r="AD50" s="5" t="s">
        <v>5406</v>
      </c>
      <c r="AE50" s="5" t="s">
        <v>4029</v>
      </c>
      <c r="AF50" s="5" t="s">
        <v>882</v>
      </c>
      <c r="AG50" s="5">
        <v>3968000</v>
      </c>
      <c r="AH50" s="5">
        <v>0</v>
      </c>
      <c r="AI50" s="5"/>
      <c r="AJ50" s="5"/>
      <c r="AK50" s="9"/>
      <c r="AL50" t="e">
        <v>#N/A</v>
      </c>
      <c r="AM50">
        <v>0</v>
      </c>
    </row>
    <row r="51" spans="1:39" hidden="1" x14ac:dyDescent="0.25">
      <c r="A51" s="6">
        <v>428</v>
      </c>
      <c r="B51" s="7" t="s">
        <v>37</v>
      </c>
      <c r="C51" s="7" t="s">
        <v>5407</v>
      </c>
      <c r="D51" s="7" t="s">
        <v>4811</v>
      </c>
      <c r="E51" s="7" t="s">
        <v>40</v>
      </c>
      <c r="F51" s="7" t="s">
        <v>483</v>
      </c>
      <c r="G51" s="7" t="s">
        <v>5408</v>
      </c>
      <c r="H51" s="7" t="s">
        <v>83</v>
      </c>
      <c r="I51" s="7" t="s">
        <v>5409</v>
      </c>
      <c r="J51" s="7" t="s">
        <v>48</v>
      </c>
      <c r="K51" s="7" t="s">
        <v>5410</v>
      </c>
      <c r="L51" s="7" t="s">
        <v>48</v>
      </c>
      <c r="M51" s="7" t="s">
        <v>5411</v>
      </c>
      <c r="N51" s="7">
        <v>296726</v>
      </c>
      <c r="O51" s="7">
        <v>3903000</v>
      </c>
      <c r="P51" s="7" t="s">
        <v>5412</v>
      </c>
      <c r="Q51" s="12">
        <v>45586</v>
      </c>
      <c r="R51" s="7" t="s">
        <v>5413</v>
      </c>
      <c r="S51" s="7" t="s">
        <v>5414</v>
      </c>
      <c r="T51" s="7" t="s">
        <v>51</v>
      </c>
      <c r="U51" s="7" t="s">
        <v>48</v>
      </c>
      <c r="V51" s="7" t="s">
        <v>5415</v>
      </c>
      <c r="W51" s="7" t="s">
        <v>53</v>
      </c>
      <c r="X51" s="7" t="s">
        <v>1555</v>
      </c>
      <c r="Y51" s="7" t="s">
        <v>152</v>
      </c>
      <c r="Z51" s="7" t="s">
        <v>181</v>
      </c>
      <c r="AA51" s="7" t="s">
        <v>5416</v>
      </c>
      <c r="AB51" s="7">
        <v>3</v>
      </c>
      <c r="AC51" s="7" t="s">
        <v>78</v>
      </c>
      <c r="AD51" s="7" t="s">
        <v>5417</v>
      </c>
      <c r="AE51" s="7" t="s">
        <v>403</v>
      </c>
      <c r="AF51" s="7" t="s">
        <v>61</v>
      </c>
      <c r="AG51" s="7">
        <v>3122400</v>
      </c>
      <c r="AH51" s="7">
        <v>0</v>
      </c>
      <c r="AI51" s="7"/>
      <c r="AJ51" s="7"/>
      <c r="AK51" s="10"/>
      <c r="AL51" t="e">
        <v>#N/A</v>
      </c>
      <c r="AM51">
        <v>0</v>
      </c>
    </row>
    <row r="52" spans="1:39" hidden="1" x14ac:dyDescent="0.25">
      <c r="A52" s="4">
        <v>429</v>
      </c>
      <c r="B52" s="5" t="s">
        <v>37</v>
      </c>
      <c r="C52" s="5" t="s">
        <v>5418</v>
      </c>
      <c r="D52" s="5" t="s">
        <v>4811</v>
      </c>
      <c r="E52" s="5" t="s">
        <v>40</v>
      </c>
      <c r="F52" s="5" t="s">
        <v>5419</v>
      </c>
      <c r="G52" s="5" t="s">
        <v>5420</v>
      </c>
      <c r="H52" s="5" t="s">
        <v>43</v>
      </c>
      <c r="I52" s="5" t="s">
        <v>5421</v>
      </c>
      <c r="J52" s="5" t="s">
        <v>48</v>
      </c>
      <c r="K52" s="5" t="s">
        <v>5422</v>
      </c>
      <c r="L52" s="5" t="s">
        <v>5423</v>
      </c>
      <c r="M52" s="5" t="s">
        <v>5424</v>
      </c>
      <c r="N52" s="5">
        <v>1957507</v>
      </c>
      <c r="O52" s="5">
        <v>40800000</v>
      </c>
      <c r="P52" s="5" t="s">
        <v>5425</v>
      </c>
      <c r="Q52" s="11">
        <v>45586</v>
      </c>
      <c r="R52" s="5" t="s">
        <v>5426</v>
      </c>
      <c r="S52" s="5" t="s">
        <v>5427</v>
      </c>
      <c r="T52" s="5" t="s">
        <v>51</v>
      </c>
      <c r="U52" s="5" t="s">
        <v>48</v>
      </c>
      <c r="V52" s="5" t="s">
        <v>5428</v>
      </c>
      <c r="W52" s="5" t="s">
        <v>53</v>
      </c>
      <c r="X52" s="5" t="s">
        <v>4651</v>
      </c>
      <c r="Y52" s="5" t="s">
        <v>697</v>
      </c>
      <c r="Z52" s="5" t="s">
        <v>3547</v>
      </c>
      <c r="AA52" s="5" t="s">
        <v>5429</v>
      </c>
      <c r="AB52" s="5">
        <v>3</v>
      </c>
      <c r="AC52" s="5" t="s">
        <v>48</v>
      </c>
      <c r="AD52" s="5" t="s">
        <v>48</v>
      </c>
      <c r="AE52" s="5" t="s">
        <v>48</v>
      </c>
      <c r="AF52" s="5" t="s">
        <v>155</v>
      </c>
      <c r="AG52" s="5">
        <v>32640000</v>
      </c>
      <c r="AH52" s="5">
        <v>0</v>
      </c>
      <c r="AI52" s="5"/>
      <c r="AJ52" s="5"/>
      <c r="AK52" s="9"/>
      <c r="AL52" t="e">
        <v>#N/A</v>
      </c>
      <c r="AM52">
        <v>0</v>
      </c>
    </row>
    <row r="53" spans="1:39" hidden="1" x14ac:dyDescent="0.25">
      <c r="A53" s="6">
        <v>430</v>
      </c>
      <c r="B53" s="7" t="s">
        <v>37</v>
      </c>
      <c r="C53" s="7" t="s">
        <v>5430</v>
      </c>
      <c r="D53" s="7" t="s">
        <v>4811</v>
      </c>
      <c r="E53" s="7" t="s">
        <v>40</v>
      </c>
      <c r="F53" s="7" t="s">
        <v>3899</v>
      </c>
      <c r="G53" s="7" t="s">
        <v>5375</v>
      </c>
      <c r="H53" s="7" t="s">
        <v>188</v>
      </c>
      <c r="I53" s="7" t="s">
        <v>5431</v>
      </c>
      <c r="J53" s="7" t="s">
        <v>48</v>
      </c>
      <c r="K53" s="7" t="s">
        <v>5432</v>
      </c>
      <c r="L53" s="7" t="s">
        <v>5433</v>
      </c>
      <c r="M53" s="7" t="s">
        <v>5434</v>
      </c>
      <c r="N53" s="7">
        <v>505366</v>
      </c>
      <c r="O53" s="7">
        <v>9278000</v>
      </c>
      <c r="P53" s="7" t="s">
        <v>5435</v>
      </c>
      <c r="Q53" s="12">
        <v>45586</v>
      </c>
      <c r="R53" s="7" t="s">
        <v>5436</v>
      </c>
      <c r="S53" s="7" t="s">
        <v>5437</v>
      </c>
      <c r="T53" s="7" t="s">
        <v>51</v>
      </c>
      <c r="U53" s="7" t="s">
        <v>48</v>
      </c>
      <c r="V53" s="7" t="s">
        <v>5438</v>
      </c>
      <c r="W53" s="7" t="s">
        <v>53</v>
      </c>
      <c r="X53" s="7" t="s">
        <v>4651</v>
      </c>
      <c r="Y53" s="7" t="s">
        <v>152</v>
      </c>
      <c r="Z53" s="7" t="s">
        <v>181</v>
      </c>
      <c r="AA53" s="7" t="s">
        <v>5439</v>
      </c>
      <c r="AB53" s="7">
        <v>3</v>
      </c>
      <c r="AC53" s="7" t="s">
        <v>123</v>
      </c>
      <c r="AD53" s="7" t="s">
        <v>5440</v>
      </c>
      <c r="AE53" s="7" t="s">
        <v>137</v>
      </c>
      <c r="AF53" s="7" t="s">
        <v>155</v>
      </c>
      <c r="AG53" s="7">
        <v>7422400</v>
      </c>
      <c r="AH53" s="7">
        <v>0</v>
      </c>
      <c r="AI53" s="7"/>
      <c r="AJ53" s="7"/>
      <c r="AK53" s="10"/>
      <c r="AL53" t="e">
        <v>#N/A</v>
      </c>
      <c r="AM53">
        <v>0</v>
      </c>
    </row>
    <row r="54" spans="1:39" hidden="1" x14ac:dyDescent="0.25">
      <c r="A54" s="4">
        <v>431</v>
      </c>
      <c r="B54" s="5" t="s">
        <v>37</v>
      </c>
      <c r="C54" s="5" t="s">
        <v>5441</v>
      </c>
      <c r="D54" s="5" t="s">
        <v>4811</v>
      </c>
      <c r="E54" s="5" t="s">
        <v>40</v>
      </c>
      <c r="F54" s="5" t="s">
        <v>1325</v>
      </c>
      <c r="G54" s="5" t="s">
        <v>5442</v>
      </c>
      <c r="H54" s="5" t="s">
        <v>83</v>
      </c>
      <c r="I54" s="5" t="s">
        <v>5443</v>
      </c>
      <c r="J54" s="5" t="s">
        <v>5444</v>
      </c>
      <c r="K54" s="5" t="s">
        <v>5444</v>
      </c>
      <c r="L54" s="5" t="s">
        <v>5445</v>
      </c>
      <c r="M54" s="5" t="s">
        <v>5446</v>
      </c>
      <c r="N54" s="5">
        <v>239319</v>
      </c>
      <c r="O54" s="5">
        <v>5390000</v>
      </c>
      <c r="P54" s="5" t="s">
        <v>5447</v>
      </c>
      <c r="Q54" s="11">
        <v>45586</v>
      </c>
      <c r="R54" s="5" t="s">
        <v>5448</v>
      </c>
      <c r="S54" s="5" t="s">
        <v>5449</v>
      </c>
      <c r="T54" s="5" t="s">
        <v>51</v>
      </c>
      <c r="U54" s="5" t="s">
        <v>48</v>
      </c>
      <c r="V54" s="5" t="s">
        <v>5450</v>
      </c>
      <c r="W54" s="5" t="s">
        <v>53</v>
      </c>
      <c r="X54" s="5" t="s">
        <v>5451</v>
      </c>
      <c r="Y54" s="5" t="s">
        <v>152</v>
      </c>
      <c r="Z54" s="5" t="s">
        <v>181</v>
      </c>
      <c r="AA54" s="5" t="s">
        <v>5452</v>
      </c>
      <c r="AB54" s="5">
        <v>3</v>
      </c>
      <c r="AC54" s="5" t="s">
        <v>540</v>
      </c>
      <c r="AD54" s="5" t="s">
        <v>5453</v>
      </c>
      <c r="AE54" s="5" t="s">
        <v>403</v>
      </c>
      <c r="AF54" s="5" t="s">
        <v>155</v>
      </c>
      <c r="AG54" s="5">
        <v>4312000</v>
      </c>
      <c r="AH54" s="5">
        <v>0</v>
      </c>
      <c r="AI54" s="5"/>
      <c r="AJ54" s="5"/>
      <c r="AK54" s="9"/>
      <c r="AL54" t="e">
        <v>#N/A</v>
      </c>
      <c r="AM54">
        <v>0</v>
      </c>
    </row>
    <row r="55" spans="1:39" hidden="1" x14ac:dyDescent="0.25">
      <c r="A55" s="6">
        <v>432</v>
      </c>
      <c r="B55" s="7" t="s">
        <v>37</v>
      </c>
      <c r="C55" s="7" t="s">
        <v>5454</v>
      </c>
      <c r="D55" s="7" t="s">
        <v>4811</v>
      </c>
      <c r="E55" s="7" t="s">
        <v>40</v>
      </c>
      <c r="F55" s="7" t="s">
        <v>1325</v>
      </c>
      <c r="G55" s="7" t="s">
        <v>5455</v>
      </c>
      <c r="H55" s="7" t="s">
        <v>188</v>
      </c>
      <c r="I55" s="7" t="s">
        <v>5456</v>
      </c>
      <c r="J55" s="7" t="s">
        <v>48</v>
      </c>
      <c r="K55" s="7" t="s">
        <v>5457</v>
      </c>
      <c r="L55" s="7" t="s">
        <v>5458</v>
      </c>
      <c r="M55" s="7" t="s">
        <v>5459</v>
      </c>
      <c r="N55" s="7">
        <v>219056</v>
      </c>
      <c r="O55" s="7">
        <v>5390000</v>
      </c>
      <c r="P55" s="7" t="s">
        <v>5460</v>
      </c>
      <c r="Q55" s="12">
        <v>45586</v>
      </c>
      <c r="R55" s="7" t="s">
        <v>5461</v>
      </c>
      <c r="S55" s="7" t="s">
        <v>5462</v>
      </c>
      <c r="T55" s="7" t="s">
        <v>51</v>
      </c>
      <c r="U55" s="7" t="s">
        <v>48</v>
      </c>
      <c r="V55" s="7" t="s">
        <v>1334</v>
      </c>
      <c r="W55" s="7" t="s">
        <v>53</v>
      </c>
      <c r="X55" s="7" t="s">
        <v>1464</v>
      </c>
      <c r="Y55" s="7" t="s">
        <v>92</v>
      </c>
      <c r="Z55" s="7" t="s">
        <v>879</v>
      </c>
      <c r="AA55" s="7" t="s">
        <v>5463</v>
      </c>
      <c r="AB55" s="7">
        <v>3</v>
      </c>
      <c r="AC55" s="7" t="s">
        <v>78</v>
      </c>
      <c r="AD55" s="7" t="s">
        <v>5464</v>
      </c>
      <c r="AE55" s="7" t="s">
        <v>1430</v>
      </c>
      <c r="AF55" s="7" t="s">
        <v>155</v>
      </c>
      <c r="AG55" s="7">
        <v>4312000</v>
      </c>
      <c r="AH55" s="7">
        <v>0</v>
      </c>
      <c r="AI55" s="7"/>
      <c r="AJ55" s="7"/>
      <c r="AK55" s="10"/>
      <c r="AL55" t="e">
        <v>#N/A</v>
      </c>
      <c r="AM55">
        <v>0</v>
      </c>
    </row>
    <row r="56" spans="1:39" hidden="1" x14ac:dyDescent="0.25">
      <c r="A56" s="4">
        <v>433</v>
      </c>
      <c r="B56" s="5" t="s">
        <v>37</v>
      </c>
      <c r="C56" s="5" t="s">
        <v>5465</v>
      </c>
      <c r="D56" s="5" t="s">
        <v>4811</v>
      </c>
      <c r="E56" s="5" t="s">
        <v>40</v>
      </c>
      <c r="F56" s="5" t="s">
        <v>1618</v>
      </c>
      <c r="G56" s="5" t="s">
        <v>5466</v>
      </c>
      <c r="H56" s="5" t="s">
        <v>188</v>
      </c>
      <c r="I56" s="5" t="s">
        <v>5467</v>
      </c>
      <c r="J56" s="5" t="s">
        <v>48</v>
      </c>
      <c r="K56" s="5" t="s">
        <v>5468</v>
      </c>
      <c r="L56" s="5" t="s">
        <v>5469</v>
      </c>
      <c r="M56" s="5" t="s">
        <v>5470</v>
      </c>
      <c r="N56" s="5">
        <v>97508</v>
      </c>
      <c r="O56" s="5">
        <v>4700000</v>
      </c>
      <c r="P56" s="5" t="s">
        <v>5471</v>
      </c>
      <c r="Q56" s="11">
        <v>45585</v>
      </c>
      <c r="R56" s="5" t="s">
        <v>5472</v>
      </c>
      <c r="S56" s="5" t="s">
        <v>5473</v>
      </c>
      <c r="T56" s="5" t="s">
        <v>196</v>
      </c>
      <c r="U56" s="5" t="s">
        <v>5474</v>
      </c>
      <c r="V56" s="5" t="s">
        <v>5475</v>
      </c>
      <c r="W56" s="5" t="s">
        <v>365</v>
      </c>
      <c r="X56" s="5" t="s">
        <v>3221</v>
      </c>
      <c r="Y56" s="5" t="s">
        <v>1490</v>
      </c>
      <c r="Z56" s="5" t="s">
        <v>879</v>
      </c>
      <c r="AA56" s="5" t="s">
        <v>5476</v>
      </c>
      <c r="AB56" s="5">
        <v>2</v>
      </c>
      <c r="AC56" s="5" t="s">
        <v>540</v>
      </c>
      <c r="AD56" s="5" t="s">
        <v>5477</v>
      </c>
      <c r="AE56" s="5" t="s">
        <v>669</v>
      </c>
      <c r="AF56" s="5" t="s">
        <v>155</v>
      </c>
      <c r="AG56" s="5">
        <v>3760000</v>
      </c>
      <c r="AH56" s="5">
        <v>0</v>
      </c>
      <c r="AI56" s="5"/>
      <c r="AJ56" s="5"/>
      <c r="AK56" s="9"/>
      <c r="AL56" t="e">
        <v>#N/A</v>
      </c>
      <c r="AM56">
        <v>0</v>
      </c>
    </row>
    <row r="57" spans="1:39" hidden="1" x14ac:dyDescent="0.25">
      <c r="A57" s="6">
        <v>434</v>
      </c>
      <c r="B57" s="7" t="s">
        <v>37</v>
      </c>
      <c r="C57" s="7" t="s">
        <v>5478</v>
      </c>
      <c r="D57" s="7" t="s">
        <v>4811</v>
      </c>
      <c r="E57" s="7" t="s">
        <v>40</v>
      </c>
      <c r="F57" s="7" t="s">
        <v>2957</v>
      </c>
      <c r="G57" s="7" t="s">
        <v>5479</v>
      </c>
      <c r="H57" s="7" t="s">
        <v>188</v>
      </c>
      <c r="I57" s="7" t="s">
        <v>5480</v>
      </c>
      <c r="J57" s="7" t="s">
        <v>5481</v>
      </c>
      <c r="K57" s="7" t="s">
        <v>5482</v>
      </c>
      <c r="L57" s="7" t="s">
        <v>5483</v>
      </c>
      <c r="M57" s="7" t="s">
        <v>5484</v>
      </c>
      <c r="N57" s="7">
        <v>434908</v>
      </c>
      <c r="O57" s="7">
        <v>8408000</v>
      </c>
      <c r="P57" s="7" t="s">
        <v>5485</v>
      </c>
      <c r="Q57" s="12">
        <v>45585</v>
      </c>
      <c r="R57" s="7" t="s">
        <v>5486</v>
      </c>
      <c r="S57" s="7" t="s">
        <v>5487</v>
      </c>
      <c r="T57" s="7" t="s">
        <v>51</v>
      </c>
      <c r="U57" s="7" t="s">
        <v>48</v>
      </c>
      <c r="V57" s="7" t="s">
        <v>2888</v>
      </c>
      <c r="W57" s="7" t="s">
        <v>53</v>
      </c>
      <c r="X57" s="7" t="s">
        <v>1464</v>
      </c>
      <c r="Y57" s="7" t="s">
        <v>92</v>
      </c>
      <c r="Z57" s="7" t="s">
        <v>879</v>
      </c>
      <c r="AA57" s="7" t="s">
        <v>5488</v>
      </c>
      <c r="AB57" s="7">
        <v>3</v>
      </c>
      <c r="AC57" s="7" t="s">
        <v>78</v>
      </c>
      <c r="AD57" s="7" t="s">
        <v>5489</v>
      </c>
      <c r="AE57" s="7" t="s">
        <v>629</v>
      </c>
      <c r="AF57" s="7" t="s">
        <v>155</v>
      </c>
      <c r="AG57" s="7">
        <v>6726400</v>
      </c>
      <c r="AH57" s="7">
        <v>0</v>
      </c>
      <c r="AI57" s="7"/>
      <c r="AJ57" s="7"/>
      <c r="AK57" s="10"/>
      <c r="AL57" t="e">
        <v>#N/A</v>
      </c>
      <c r="AM57">
        <v>0</v>
      </c>
    </row>
    <row r="58" spans="1:39" hidden="1" x14ac:dyDescent="0.25">
      <c r="A58" s="4">
        <v>435</v>
      </c>
      <c r="B58" s="5" t="s">
        <v>37</v>
      </c>
      <c r="C58" s="5" t="s">
        <v>5490</v>
      </c>
      <c r="D58" s="5" t="s">
        <v>4811</v>
      </c>
      <c r="E58" s="5" t="s">
        <v>40</v>
      </c>
      <c r="F58" s="5" t="s">
        <v>446</v>
      </c>
      <c r="G58" s="5" t="s">
        <v>5491</v>
      </c>
      <c r="H58" s="5" t="s">
        <v>188</v>
      </c>
      <c r="I58" s="5" t="s">
        <v>5492</v>
      </c>
      <c r="J58" s="5" t="s">
        <v>5493</v>
      </c>
      <c r="K58" s="5" t="s">
        <v>5494</v>
      </c>
      <c r="L58" s="5" t="s">
        <v>5495</v>
      </c>
      <c r="M58" s="5" t="s">
        <v>5496</v>
      </c>
      <c r="N58" s="5">
        <v>192534</v>
      </c>
      <c r="O58" s="5">
        <v>7386500</v>
      </c>
      <c r="P58" s="5" t="s">
        <v>5497</v>
      </c>
      <c r="Q58" s="11">
        <v>45585</v>
      </c>
      <c r="R58" s="5" t="s">
        <v>5498</v>
      </c>
      <c r="S58" s="5" t="s">
        <v>5499</v>
      </c>
      <c r="T58" s="5" t="s">
        <v>51</v>
      </c>
      <c r="U58" s="5" t="s">
        <v>48</v>
      </c>
      <c r="V58" s="5" t="s">
        <v>5500</v>
      </c>
      <c r="W58" s="5" t="s">
        <v>53</v>
      </c>
      <c r="X58" s="5" t="s">
        <v>1003</v>
      </c>
      <c r="Y58" s="5" t="s">
        <v>92</v>
      </c>
      <c r="Z58" s="5" t="s">
        <v>879</v>
      </c>
      <c r="AA58" s="5" t="s">
        <v>5501</v>
      </c>
      <c r="AB58" s="5">
        <v>3</v>
      </c>
      <c r="AC58" s="5" t="s">
        <v>78</v>
      </c>
      <c r="AD58" s="5" t="s">
        <v>5502</v>
      </c>
      <c r="AE58" s="5" t="s">
        <v>629</v>
      </c>
      <c r="AF58" s="5" t="s">
        <v>155</v>
      </c>
      <c r="AG58" s="5">
        <v>5909200</v>
      </c>
      <c r="AH58" s="5">
        <v>0</v>
      </c>
      <c r="AI58" s="5"/>
      <c r="AJ58" s="5"/>
      <c r="AK58" s="9"/>
      <c r="AL58" t="e">
        <v>#N/A</v>
      </c>
      <c r="AM58">
        <v>0</v>
      </c>
    </row>
    <row r="59" spans="1:39" hidden="1" x14ac:dyDescent="0.25">
      <c r="A59" s="6">
        <v>436</v>
      </c>
      <c r="B59" s="7" t="s">
        <v>37</v>
      </c>
      <c r="C59" s="7" t="s">
        <v>5503</v>
      </c>
      <c r="D59" s="7" t="s">
        <v>4811</v>
      </c>
      <c r="E59" s="7" t="s">
        <v>40</v>
      </c>
      <c r="F59" s="7" t="s">
        <v>853</v>
      </c>
      <c r="G59" s="7" t="s">
        <v>5504</v>
      </c>
      <c r="H59" s="7" t="s">
        <v>43</v>
      </c>
      <c r="I59" s="7" t="s">
        <v>5505</v>
      </c>
      <c r="J59" s="7" t="s">
        <v>5506</v>
      </c>
      <c r="K59" s="7" t="s">
        <v>5507</v>
      </c>
      <c r="L59" s="7" t="s">
        <v>5506</v>
      </c>
      <c r="M59" s="7" t="s">
        <v>5508</v>
      </c>
      <c r="N59" s="7">
        <v>130119</v>
      </c>
      <c r="O59" s="7">
        <v>2525000</v>
      </c>
      <c r="P59" s="7" t="s">
        <v>5509</v>
      </c>
      <c r="Q59" s="12">
        <v>45585</v>
      </c>
      <c r="R59" s="7" t="s">
        <v>5510</v>
      </c>
      <c r="S59" s="7" t="s">
        <v>5511</v>
      </c>
      <c r="T59" s="7" t="s">
        <v>196</v>
      </c>
      <c r="U59" s="7" t="s">
        <v>5512</v>
      </c>
      <c r="V59" s="7" t="s">
        <v>5513</v>
      </c>
      <c r="W59" s="7" t="s">
        <v>536</v>
      </c>
      <c r="X59" s="7" t="s">
        <v>3374</v>
      </c>
      <c r="Y59" s="7" t="s">
        <v>92</v>
      </c>
      <c r="Z59" s="7" t="s">
        <v>879</v>
      </c>
      <c r="AA59" s="7" t="s">
        <v>5514</v>
      </c>
      <c r="AB59" s="7">
        <v>3</v>
      </c>
      <c r="AC59" s="7" t="s">
        <v>78</v>
      </c>
      <c r="AD59" s="7" t="s">
        <v>5515</v>
      </c>
      <c r="AE59" s="7" t="s">
        <v>1430</v>
      </c>
      <c r="AF59" s="7" t="s">
        <v>61</v>
      </c>
      <c r="AG59" s="7">
        <v>2020000</v>
      </c>
      <c r="AH59" s="7">
        <v>0</v>
      </c>
      <c r="AI59" s="7"/>
      <c r="AJ59" s="7"/>
      <c r="AK59" s="10"/>
      <c r="AL59" t="e">
        <v>#N/A</v>
      </c>
      <c r="AM59">
        <v>0</v>
      </c>
    </row>
    <row r="60" spans="1:39" hidden="1" x14ac:dyDescent="0.25">
      <c r="A60" s="4">
        <v>437</v>
      </c>
      <c r="B60" s="5" t="s">
        <v>37</v>
      </c>
      <c r="C60" s="5" t="s">
        <v>5516</v>
      </c>
      <c r="D60" s="5" t="s">
        <v>4811</v>
      </c>
      <c r="E60" s="5" t="s">
        <v>40</v>
      </c>
      <c r="F60" s="5" t="s">
        <v>4147</v>
      </c>
      <c r="G60" s="5" t="s">
        <v>5517</v>
      </c>
      <c r="H60" s="5" t="s">
        <v>128</v>
      </c>
      <c r="I60" s="5" t="s">
        <v>5518</v>
      </c>
      <c r="J60" s="5" t="s">
        <v>48</v>
      </c>
      <c r="K60" s="5" t="s">
        <v>5519</v>
      </c>
      <c r="L60" s="5" t="s">
        <v>48</v>
      </c>
      <c r="M60" s="5" t="s">
        <v>5520</v>
      </c>
      <c r="N60" s="5">
        <v>162627</v>
      </c>
      <c r="O60" s="5">
        <v>2935000</v>
      </c>
      <c r="P60" s="5" t="s">
        <v>5521</v>
      </c>
      <c r="Q60" s="5" t="s">
        <v>5522</v>
      </c>
      <c r="R60" s="5" t="s">
        <v>5523</v>
      </c>
      <c r="S60" s="5" t="s">
        <v>5524</v>
      </c>
      <c r="T60" s="5" t="s">
        <v>293</v>
      </c>
      <c r="U60" s="5" t="s">
        <v>48</v>
      </c>
      <c r="V60" s="5" t="s">
        <v>73</v>
      </c>
      <c r="W60" s="5" t="s">
        <v>74</v>
      </c>
      <c r="X60" s="11">
        <v>45223</v>
      </c>
      <c r="Y60" s="5" t="s">
        <v>4026</v>
      </c>
      <c r="Z60" s="5" t="s">
        <v>879</v>
      </c>
      <c r="AA60" s="5" t="s">
        <v>5525</v>
      </c>
      <c r="AB60" s="5">
        <v>1</v>
      </c>
      <c r="AC60" s="5" t="s">
        <v>78</v>
      </c>
      <c r="AD60" s="5" t="s">
        <v>5526</v>
      </c>
      <c r="AE60" s="5" t="s">
        <v>3813</v>
      </c>
      <c r="AF60" s="5" t="s">
        <v>299</v>
      </c>
      <c r="AG60" s="5">
        <v>2348000</v>
      </c>
      <c r="AH60" s="5">
        <v>0</v>
      </c>
      <c r="AI60" s="5"/>
      <c r="AJ60" s="5"/>
      <c r="AK60" s="9"/>
      <c r="AL60" t="e">
        <v>#N/A</v>
      </c>
      <c r="AM60">
        <v>0</v>
      </c>
    </row>
    <row r="61" spans="1:39" hidden="1" x14ac:dyDescent="0.25">
      <c r="A61" s="6">
        <v>438</v>
      </c>
      <c r="B61" s="7" t="s">
        <v>37</v>
      </c>
      <c r="C61" s="7" t="s">
        <v>5527</v>
      </c>
      <c r="D61" s="7" t="s">
        <v>4811</v>
      </c>
      <c r="E61" s="7" t="s">
        <v>40</v>
      </c>
      <c r="F61" s="7" t="s">
        <v>715</v>
      </c>
      <c r="G61" s="7" t="s">
        <v>5528</v>
      </c>
      <c r="H61" s="7" t="s">
        <v>83</v>
      </c>
      <c r="I61" s="7" t="s">
        <v>5529</v>
      </c>
      <c r="J61" s="7" t="s">
        <v>5530</v>
      </c>
      <c r="K61" s="7" t="s">
        <v>5530</v>
      </c>
      <c r="L61" s="7" t="s">
        <v>5530</v>
      </c>
      <c r="M61" s="7" t="s">
        <v>5531</v>
      </c>
      <c r="N61" s="7">
        <v>166563</v>
      </c>
      <c r="O61" s="7">
        <v>3283000</v>
      </c>
      <c r="P61" s="7" t="s">
        <v>5532</v>
      </c>
      <c r="Q61" s="12">
        <v>45584</v>
      </c>
      <c r="R61" s="7" t="s">
        <v>5533</v>
      </c>
      <c r="S61" s="7" t="s">
        <v>5534</v>
      </c>
      <c r="T61" s="7" t="s">
        <v>51</v>
      </c>
      <c r="U61" s="7" t="s">
        <v>48</v>
      </c>
      <c r="V61" s="7" t="s">
        <v>551</v>
      </c>
      <c r="W61" s="7" t="s">
        <v>53</v>
      </c>
      <c r="X61" s="7" t="s">
        <v>4860</v>
      </c>
      <c r="Y61" s="7" t="s">
        <v>152</v>
      </c>
      <c r="Z61" s="7" t="s">
        <v>181</v>
      </c>
      <c r="AA61" s="7" t="s">
        <v>5535</v>
      </c>
      <c r="AB61" s="7">
        <v>3</v>
      </c>
      <c r="AC61" s="7" t="s">
        <v>78</v>
      </c>
      <c r="AD61" s="7" t="s">
        <v>5536</v>
      </c>
      <c r="AE61" s="7" t="s">
        <v>629</v>
      </c>
      <c r="AF61" s="7" t="s">
        <v>61</v>
      </c>
      <c r="AG61" s="7">
        <v>2626400</v>
      </c>
      <c r="AH61" s="7">
        <v>0</v>
      </c>
      <c r="AI61" s="7"/>
      <c r="AJ61" s="7"/>
      <c r="AK61" s="10"/>
      <c r="AL61" t="e">
        <v>#N/A</v>
      </c>
      <c r="AM61">
        <v>0</v>
      </c>
    </row>
    <row r="62" spans="1:39" hidden="1" x14ac:dyDescent="0.25">
      <c r="A62" s="4">
        <v>439</v>
      </c>
      <c r="B62" s="5" t="s">
        <v>37</v>
      </c>
      <c r="C62" s="5" t="s">
        <v>5537</v>
      </c>
      <c r="D62" s="5" t="s">
        <v>4811</v>
      </c>
      <c r="E62" s="5" t="s">
        <v>40</v>
      </c>
      <c r="F62" s="5" t="s">
        <v>41</v>
      </c>
      <c r="G62" s="5" t="s">
        <v>5538</v>
      </c>
      <c r="H62" s="5" t="s">
        <v>43</v>
      </c>
      <c r="I62" s="5" t="s">
        <v>5539</v>
      </c>
      <c r="J62" s="5" t="s">
        <v>5540</v>
      </c>
      <c r="K62" s="5" t="s">
        <v>5541</v>
      </c>
      <c r="L62" s="5" t="s">
        <v>5542</v>
      </c>
      <c r="M62" s="5" t="s">
        <v>5543</v>
      </c>
      <c r="N62" s="5">
        <v>120866</v>
      </c>
      <c r="O62" s="5">
        <v>3283000</v>
      </c>
      <c r="P62" s="5" t="s">
        <v>5544</v>
      </c>
      <c r="Q62" s="11">
        <v>45584</v>
      </c>
      <c r="R62" s="5" t="s">
        <v>5545</v>
      </c>
      <c r="S62" s="5" t="s">
        <v>5546</v>
      </c>
      <c r="T62" s="5" t="s">
        <v>51</v>
      </c>
      <c r="U62" s="5" t="s">
        <v>48</v>
      </c>
      <c r="V62" s="5" t="s">
        <v>551</v>
      </c>
      <c r="W62" s="5" t="s">
        <v>53</v>
      </c>
      <c r="X62" s="5" t="s">
        <v>5547</v>
      </c>
      <c r="Y62" s="5" t="s">
        <v>152</v>
      </c>
      <c r="Z62" s="5" t="s">
        <v>181</v>
      </c>
      <c r="AA62" s="5" t="s">
        <v>5548</v>
      </c>
      <c r="AB62" s="5">
        <v>3</v>
      </c>
      <c r="AC62" s="5" t="s">
        <v>78</v>
      </c>
      <c r="AD62" s="5" t="s">
        <v>5549</v>
      </c>
      <c r="AE62" s="5" t="s">
        <v>629</v>
      </c>
      <c r="AF62" s="5" t="s">
        <v>61</v>
      </c>
      <c r="AG62" s="5">
        <v>2626400</v>
      </c>
      <c r="AH62" s="5">
        <v>0</v>
      </c>
      <c r="AI62" s="5"/>
      <c r="AJ62" s="5"/>
      <c r="AK62" s="9"/>
      <c r="AL62" t="e">
        <v>#N/A</v>
      </c>
      <c r="AM62">
        <v>0</v>
      </c>
    </row>
    <row r="63" spans="1:39" hidden="1" x14ac:dyDescent="0.25">
      <c r="A63" s="6">
        <v>440</v>
      </c>
      <c r="B63" s="7" t="s">
        <v>37</v>
      </c>
      <c r="C63" s="7" t="s">
        <v>5550</v>
      </c>
      <c r="D63" s="7" t="s">
        <v>4811</v>
      </c>
      <c r="E63" s="7" t="s">
        <v>40</v>
      </c>
      <c r="F63" s="7" t="s">
        <v>63</v>
      </c>
      <c r="G63" s="7" t="s">
        <v>5551</v>
      </c>
      <c r="H63" s="7" t="s">
        <v>128</v>
      </c>
      <c r="I63" s="7" t="s">
        <v>5552</v>
      </c>
      <c r="J63" s="7" t="s">
        <v>5553</v>
      </c>
      <c r="K63" s="7" t="s">
        <v>48</v>
      </c>
      <c r="L63" s="7" t="s">
        <v>438</v>
      </c>
      <c r="M63" s="7" t="s">
        <v>5554</v>
      </c>
      <c r="N63" s="7">
        <v>108755</v>
      </c>
      <c r="O63" s="7">
        <v>1521000</v>
      </c>
      <c r="P63" s="7" t="s">
        <v>5555</v>
      </c>
      <c r="Q63" s="12">
        <v>45584</v>
      </c>
      <c r="R63" s="7" t="s">
        <v>5556</v>
      </c>
      <c r="S63" s="7" t="s">
        <v>5557</v>
      </c>
      <c r="T63" s="7" t="s">
        <v>51</v>
      </c>
      <c r="U63" s="7" t="s">
        <v>48</v>
      </c>
      <c r="V63" s="7" t="s">
        <v>73</v>
      </c>
      <c r="W63" s="7" t="s">
        <v>53</v>
      </c>
      <c r="X63" s="7" t="s">
        <v>5558</v>
      </c>
      <c r="Y63" s="7" t="s">
        <v>152</v>
      </c>
      <c r="Z63" s="7" t="s">
        <v>181</v>
      </c>
      <c r="AA63" s="7" t="s">
        <v>5559</v>
      </c>
      <c r="AB63" s="7">
        <v>3</v>
      </c>
      <c r="AC63" s="7" t="s">
        <v>78</v>
      </c>
      <c r="AD63" s="7" t="s">
        <v>5560</v>
      </c>
      <c r="AE63" s="7" t="s">
        <v>92</v>
      </c>
      <c r="AF63" s="7" t="s">
        <v>61</v>
      </c>
      <c r="AG63" s="7">
        <v>1216800</v>
      </c>
      <c r="AH63" s="7">
        <v>0</v>
      </c>
      <c r="AI63" s="7"/>
      <c r="AJ63" s="7"/>
      <c r="AK63" s="10"/>
      <c r="AL63" t="e">
        <v>#N/A</v>
      </c>
      <c r="AM63">
        <v>0</v>
      </c>
    </row>
    <row r="64" spans="1:39" hidden="1" x14ac:dyDescent="0.25">
      <c r="A64" s="4">
        <v>441</v>
      </c>
      <c r="B64" s="5" t="s">
        <v>37</v>
      </c>
      <c r="C64" s="5" t="s">
        <v>5561</v>
      </c>
      <c r="D64" s="5" t="s">
        <v>4811</v>
      </c>
      <c r="E64" s="5" t="s">
        <v>40</v>
      </c>
      <c r="F64" s="5" t="s">
        <v>63</v>
      </c>
      <c r="G64" s="5" t="s">
        <v>5562</v>
      </c>
      <c r="H64" s="5" t="s">
        <v>65</v>
      </c>
      <c r="I64" s="5" t="s">
        <v>5563</v>
      </c>
      <c r="J64" s="5" t="s">
        <v>5564</v>
      </c>
      <c r="K64" s="5" t="s">
        <v>48</v>
      </c>
      <c r="L64" s="5" t="s">
        <v>5565</v>
      </c>
      <c r="M64" s="5" t="s">
        <v>5566</v>
      </c>
      <c r="N64" s="5">
        <v>52577</v>
      </c>
      <c r="O64" s="5">
        <v>1675000</v>
      </c>
      <c r="P64" s="5" t="s">
        <v>5567</v>
      </c>
      <c r="Q64" s="11">
        <v>45583</v>
      </c>
      <c r="R64" s="5" t="s">
        <v>5568</v>
      </c>
      <c r="S64" s="5" t="s">
        <v>5569</v>
      </c>
      <c r="T64" s="5" t="s">
        <v>51</v>
      </c>
      <c r="U64" s="5" t="s">
        <v>48</v>
      </c>
      <c r="V64" s="5" t="s">
        <v>784</v>
      </c>
      <c r="W64" s="5" t="s">
        <v>552</v>
      </c>
      <c r="X64" s="5" t="s">
        <v>5570</v>
      </c>
      <c r="Y64" s="5" t="s">
        <v>1490</v>
      </c>
      <c r="Z64" s="5" t="s">
        <v>879</v>
      </c>
      <c r="AA64" s="5" t="s">
        <v>5571</v>
      </c>
      <c r="AB64" s="5">
        <v>2</v>
      </c>
      <c r="AC64" s="5" t="s">
        <v>58</v>
      </c>
      <c r="AD64" s="5" t="s">
        <v>5572</v>
      </c>
      <c r="AE64" s="5" t="s">
        <v>2744</v>
      </c>
      <c r="AF64" s="5" t="s">
        <v>61</v>
      </c>
      <c r="AG64" s="5">
        <v>1340000</v>
      </c>
      <c r="AH64" s="5">
        <v>0</v>
      </c>
      <c r="AI64" s="5"/>
      <c r="AJ64" s="5"/>
      <c r="AK64" s="9"/>
      <c r="AL64" t="e">
        <v>#N/A</v>
      </c>
      <c r="AM64">
        <v>0</v>
      </c>
    </row>
    <row r="65" spans="1:39" hidden="1" x14ac:dyDescent="0.25">
      <c r="A65" s="6">
        <v>442</v>
      </c>
      <c r="B65" s="7" t="s">
        <v>37</v>
      </c>
      <c r="C65" s="7" t="s">
        <v>5573</v>
      </c>
      <c r="D65" s="7" t="s">
        <v>4811</v>
      </c>
      <c r="E65" s="7" t="s">
        <v>40</v>
      </c>
      <c r="F65" s="7" t="s">
        <v>2290</v>
      </c>
      <c r="G65" s="7" t="s">
        <v>5574</v>
      </c>
      <c r="H65" s="7" t="s">
        <v>188</v>
      </c>
      <c r="I65" s="7" t="s">
        <v>5575</v>
      </c>
      <c r="J65" s="7" t="s">
        <v>48</v>
      </c>
      <c r="K65" s="7" t="s">
        <v>5576</v>
      </c>
      <c r="L65" s="7" t="s">
        <v>48</v>
      </c>
      <c r="M65" s="7" t="s">
        <v>5577</v>
      </c>
      <c r="N65" s="7">
        <v>103732</v>
      </c>
      <c r="O65" s="7">
        <v>5000000</v>
      </c>
      <c r="P65" s="7" t="s">
        <v>5578</v>
      </c>
      <c r="Q65" s="12">
        <v>45583</v>
      </c>
      <c r="R65" s="7" t="s">
        <v>5579</v>
      </c>
      <c r="S65" s="7" t="s">
        <v>5580</v>
      </c>
      <c r="T65" s="7" t="s">
        <v>196</v>
      </c>
      <c r="U65" s="7" t="s">
        <v>5581</v>
      </c>
      <c r="V65" s="7" t="s">
        <v>5582</v>
      </c>
      <c r="W65" s="7" t="s">
        <v>53</v>
      </c>
      <c r="X65" s="7" t="s">
        <v>2744</v>
      </c>
      <c r="Y65" s="7" t="s">
        <v>669</v>
      </c>
      <c r="Z65" s="7" t="s">
        <v>242</v>
      </c>
      <c r="AA65" s="7" t="s">
        <v>5583</v>
      </c>
      <c r="AB65" s="7">
        <v>2</v>
      </c>
      <c r="AC65" s="7" t="s">
        <v>556</v>
      </c>
      <c r="AD65" s="7" t="s">
        <v>5584</v>
      </c>
      <c r="AE65" s="7" t="s">
        <v>2624</v>
      </c>
      <c r="AF65" s="7" t="s">
        <v>155</v>
      </c>
      <c r="AG65" s="7">
        <v>4000000</v>
      </c>
      <c r="AH65" s="7">
        <v>0</v>
      </c>
      <c r="AI65" s="7"/>
      <c r="AJ65" s="7"/>
      <c r="AK65" s="10"/>
      <c r="AL65" t="e">
        <v>#N/A</v>
      </c>
      <c r="AM65">
        <v>0</v>
      </c>
    </row>
    <row r="66" spans="1:39" hidden="1" x14ac:dyDescent="0.25">
      <c r="A66" s="4">
        <v>443</v>
      </c>
      <c r="B66" s="5" t="s">
        <v>184</v>
      </c>
      <c r="C66" s="5" t="s">
        <v>5585</v>
      </c>
      <c r="D66" s="5" t="s">
        <v>4811</v>
      </c>
      <c r="E66" s="5" t="s">
        <v>40</v>
      </c>
      <c r="F66" s="5" t="s">
        <v>789</v>
      </c>
      <c r="G66" s="5" t="s">
        <v>5586</v>
      </c>
      <c r="H66" s="5" t="s">
        <v>83</v>
      </c>
      <c r="I66" s="5" t="s">
        <v>5587</v>
      </c>
      <c r="J66" s="5" t="s">
        <v>5588</v>
      </c>
      <c r="K66" s="5" t="s">
        <v>5588</v>
      </c>
      <c r="L66" s="5" t="s">
        <v>5588</v>
      </c>
      <c r="M66" s="5" t="s">
        <v>5589</v>
      </c>
      <c r="N66" s="5">
        <v>104469</v>
      </c>
      <c r="O66" s="5">
        <v>4010000</v>
      </c>
      <c r="P66" s="5" t="s">
        <v>5590</v>
      </c>
      <c r="Q66" s="11">
        <v>45582</v>
      </c>
      <c r="R66" s="5" t="s">
        <v>5591</v>
      </c>
      <c r="S66" s="5" t="s">
        <v>5592</v>
      </c>
      <c r="T66" s="5" t="s">
        <v>196</v>
      </c>
      <c r="U66" s="5" t="s">
        <v>5593</v>
      </c>
      <c r="V66" s="5" t="s">
        <v>2524</v>
      </c>
      <c r="W66" s="5" t="s">
        <v>198</v>
      </c>
      <c r="X66" s="5" t="s">
        <v>403</v>
      </c>
      <c r="Y66" s="5" t="s">
        <v>92</v>
      </c>
      <c r="Z66" s="5" t="s">
        <v>879</v>
      </c>
      <c r="AA66" s="5" t="s">
        <v>5594</v>
      </c>
      <c r="AB66" s="5">
        <v>3</v>
      </c>
      <c r="AC66" s="5" t="s">
        <v>78</v>
      </c>
      <c r="AD66" s="5" t="s">
        <v>5595</v>
      </c>
      <c r="AE66" s="5" t="s">
        <v>1454</v>
      </c>
      <c r="AF66" s="5" t="s">
        <v>61</v>
      </c>
      <c r="AG66" s="5">
        <v>3208000</v>
      </c>
      <c r="AH66" s="5">
        <v>0</v>
      </c>
      <c r="AI66" s="5"/>
      <c r="AJ66" s="5"/>
      <c r="AK66" s="9"/>
      <c r="AL66" t="e">
        <v>#N/A</v>
      </c>
      <c r="AM66">
        <v>0</v>
      </c>
    </row>
    <row r="67" spans="1:39" hidden="1" x14ac:dyDescent="0.25">
      <c r="A67" s="6">
        <v>444</v>
      </c>
      <c r="B67" s="7" t="s">
        <v>37</v>
      </c>
      <c r="C67" s="7" t="s">
        <v>5596</v>
      </c>
      <c r="D67" s="7" t="s">
        <v>4811</v>
      </c>
      <c r="E67" s="7" t="s">
        <v>40</v>
      </c>
      <c r="F67" s="7" t="s">
        <v>1401</v>
      </c>
      <c r="G67" s="7" t="s">
        <v>5597</v>
      </c>
      <c r="H67" s="7" t="s">
        <v>188</v>
      </c>
      <c r="I67" s="7" t="s">
        <v>5598</v>
      </c>
      <c r="J67" s="7" t="s">
        <v>5599</v>
      </c>
      <c r="K67" s="7" t="s">
        <v>5599</v>
      </c>
      <c r="L67" s="7" t="s">
        <v>5600</v>
      </c>
      <c r="M67" s="7" t="s">
        <v>5601</v>
      </c>
      <c r="N67" s="7">
        <v>101656</v>
      </c>
      <c r="O67" s="7">
        <v>2800000</v>
      </c>
      <c r="P67" s="7" t="s">
        <v>5602</v>
      </c>
      <c r="Q67" s="12">
        <v>45582</v>
      </c>
      <c r="R67" s="7" t="s">
        <v>5603</v>
      </c>
      <c r="S67" s="7" t="s">
        <v>5604</v>
      </c>
      <c r="T67" s="7" t="s">
        <v>196</v>
      </c>
      <c r="U67" s="7" t="s">
        <v>5605</v>
      </c>
      <c r="V67" s="7" t="s">
        <v>5606</v>
      </c>
      <c r="W67" s="7" t="s">
        <v>552</v>
      </c>
      <c r="X67" s="7" t="s">
        <v>2624</v>
      </c>
      <c r="Y67" s="7" t="s">
        <v>669</v>
      </c>
      <c r="Z67" s="7" t="s">
        <v>242</v>
      </c>
      <c r="AA67" s="7" t="s">
        <v>5607</v>
      </c>
      <c r="AB67" s="7">
        <v>2</v>
      </c>
      <c r="AC67" s="7" t="s">
        <v>556</v>
      </c>
      <c r="AD67" s="7" t="s">
        <v>5608</v>
      </c>
      <c r="AE67" s="7" t="s">
        <v>2624</v>
      </c>
      <c r="AF67" s="7" t="s">
        <v>155</v>
      </c>
      <c r="AG67" s="7">
        <v>2240000</v>
      </c>
      <c r="AH67" s="7">
        <v>0</v>
      </c>
      <c r="AI67" s="7"/>
      <c r="AJ67" s="7"/>
      <c r="AK67" s="10"/>
      <c r="AL67" t="e">
        <v>#N/A</v>
      </c>
      <c r="AM67">
        <v>0</v>
      </c>
    </row>
    <row r="68" spans="1:39" x14ac:dyDescent="0.25">
      <c r="A68" s="4">
        <v>445</v>
      </c>
      <c r="B68" s="5" t="s">
        <v>37</v>
      </c>
      <c r="C68" s="5" t="s">
        <v>5609</v>
      </c>
      <c r="D68" s="5" t="s">
        <v>4811</v>
      </c>
      <c r="E68" s="5" t="s">
        <v>40</v>
      </c>
      <c r="F68" s="5" t="s">
        <v>41</v>
      </c>
      <c r="G68" s="5" t="s">
        <v>5610</v>
      </c>
      <c r="H68" s="5" t="s">
        <v>43</v>
      </c>
      <c r="I68" s="5" t="s">
        <v>5611</v>
      </c>
      <c r="J68" s="5" t="s">
        <v>5612</v>
      </c>
      <c r="K68" s="5" t="s">
        <v>5613</v>
      </c>
      <c r="L68" s="5" t="s">
        <v>5612</v>
      </c>
      <c r="M68" s="5" t="s">
        <v>5614</v>
      </c>
      <c r="N68" s="5">
        <v>838473</v>
      </c>
      <c r="O68" s="5">
        <v>2703000</v>
      </c>
      <c r="P68" s="5" t="s">
        <v>5615</v>
      </c>
      <c r="Q68" s="11">
        <v>45582</v>
      </c>
      <c r="R68" s="5" t="s">
        <v>5616</v>
      </c>
      <c r="S68" s="5" t="s">
        <v>5617</v>
      </c>
      <c r="T68" s="5" t="s">
        <v>51</v>
      </c>
      <c r="U68" s="5" t="s">
        <v>48</v>
      </c>
      <c r="V68" s="5" t="s">
        <v>1305</v>
      </c>
      <c r="W68" s="5" t="s">
        <v>53</v>
      </c>
      <c r="X68" s="5" t="s">
        <v>641</v>
      </c>
      <c r="Y68" s="5" t="s">
        <v>92</v>
      </c>
      <c r="Z68" s="5" t="s">
        <v>93</v>
      </c>
      <c r="AA68" s="5" t="s">
        <v>5618</v>
      </c>
      <c r="AB68" s="5">
        <v>5</v>
      </c>
      <c r="AC68" s="5" t="s">
        <v>78</v>
      </c>
      <c r="AD68" s="5" t="s">
        <v>5619</v>
      </c>
      <c r="AE68" s="5" t="s">
        <v>1454</v>
      </c>
      <c r="AF68" s="5" t="s">
        <v>61</v>
      </c>
      <c r="AG68" s="5">
        <v>2162400</v>
      </c>
      <c r="AH68" s="5">
        <v>0</v>
      </c>
      <c r="AI68" s="5"/>
      <c r="AJ68" s="5"/>
      <c r="AK68" s="9"/>
      <c r="AL68" t="s">
        <v>6235</v>
      </c>
      <c r="AM68" s="13">
        <v>43248</v>
      </c>
    </row>
    <row r="69" spans="1:39" hidden="1" x14ac:dyDescent="0.25">
      <c r="A69" s="6">
        <v>446</v>
      </c>
      <c r="B69" s="7" t="s">
        <v>37</v>
      </c>
      <c r="C69" s="7" t="s">
        <v>5620</v>
      </c>
      <c r="D69" s="7" t="s">
        <v>4811</v>
      </c>
      <c r="E69" s="7" t="s">
        <v>40</v>
      </c>
      <c r="F69" s="7" t="s">
        <v>186</v>
      </c>
      <c r="G69" s="7" t="s">
        <v>246</v>
      </c>
      <c r="H69" s="7" t="s">
        <v>188</v>
      </c>
      <c r="I69" s="7" t="s">
        <v>5621</v>
      </c>
      <c r="J69" s="7" t="s">
        <v>5622</v>
      </c>
      <c r="K69" s="7" t="s">
        <v>5622</v>
      </c>
      <c r="L69" s="7" t="s">
        <v>5622</v>
      </c>
      <c r="M69" s="7" t="s">
        <v>5623</v>
      </c>
      <c r="N69" s="7">
        <v>33786</v>
      </c>
      <c r="O69" s="7">
        <v>1521000</v>
      </c>
      <c r="P69" s="7" t="s">
        <v>5624</v>
      </c>
      <c r="Q69" s="12">
        <v>45582</v>
      </c>
      <c r="R69" s="7" t="s">
        <v>5625</v>
      </c>
      <c r="S69" s="7" t="s">
        <v>5626</v>
      </c>
      <c r="T69" s="7" t="s">
        <v>196</v>
      </c>
      <c r="U69" s="7" t="s">
        <v>48</v>
      </c>
      <c r="V69" s="7" t="s">
        <v>73</v>
      </c>
      <c r="W69" s="7" t="s">
        <v>53</v>
      </c>
      <c r="X69" s="7" t="s">
        <v>137</v>
      </c>
      <c r="Y69" s="7" t="s">
        <v>137</v>
      </c>
      <c r="Z69" s="7" t="s">
        <v>242</v>
      </c>
      <c r="AA69" s="7" t="s">
        <v>5627</v>
      </c>
      <c r="AB69" s="7">
        <v>3</v>
      </c>
      <c r="AC69" s="7" t="s">
        <v>78</v>
      </c>
      <c r="AD69" s="7" t="s">
        <v>5628</v>
      </c>
      <c r="AE69" s="7" t="s">
        <v>629</v>
      </c>
      <c r="AF69" s="7" t="s">
        <v>61</v>
      </c>
      <c r="AG69" s="7">
        <v>1216800</v>
      </c>
      <c r="AH69" s="7">
        <v>0</v>
      </c>
      <c r="AI69" s="7"/>
      <c r="AJ69" s="7"/>
      <c r="AK69" s="10"/>
      <c r="AL69" t="e">
        <v>#N/A</v>
      </c>
      <c r="AM69">
        <v>0</v>
      </c>
    </row>
    <row r="70" spans="1:39" hidden="1" x14ac:dyDescent="0.25">
      <c r="A70" s="4">
        <v>447</v>
      </c>
      <c r="B70" s="5" t="s">
        <v>37</v>
      </c>
      <c r="C70" s="5" t="s">
        <v>5629</v>
      </c>
      <c r="D70" s="5" t="s">
        <v>4811</v>
      </c>
      <c r="E70" s="5" t="s">
        <v>40</v>
      </c>
      <c r="F70" s="5" t="s">
        <v>1325</v>
      </c>
      <c r="G70" s="5" t="s">
        <v>5630</v>
      </c>
      <c r="H70" s="5" t="s">
        <v>83</v>
      </c>
      <c r="I70" s="5" t="s">
        <v>5631</v>
      </c>
      <c r="J70" s="5" t="s">
        <v>5632</v>
      </c>
      <c r="K70" s="5" t="s">
        <v>5632</v>
      </c>
      <c r="L70" s="5" t="s">
        <v>5633</v>
      </c>
      <c r="M70" s="5" t="s">
        <v>5634</v>
      </c>
      <c r="N70" s="5">
        <v>199435</v>
      </c>
      <c r="O70" s="5">
        <v>5390000</v>
      </c>
      <c r="P70" s="5" t="s">
        <v>5635</v>
      </c>
      <c r="Q70" s="11">
        <v>45579</v>
      </c>
      <c r="R70" s="5" t="s">
        <v>5636</v>
      </c>
      <c r="S70" s="5" t="s">
        <v>5637</v>
      </c>
      <c r="T70" s="5" t="s">
        <v>51</v>
      </c>
      <c r="U70" s="5" t="s">
        <v>48</v>
      </c>
      <c r="V70" s="5" t="s">
        <v>1334</v>
      </c>
      <c r="W70" s="5" t="s">
        <v>53</v>
      </c>
      <c r="X70" s="5" t="s">
        <v>1464</v>
      </c>
      <c r="Y70" s="5" t="s">
        <v>152</v>
      </c>
      <c r="Z70" s="5" t="s">
        <v>181</v>
      </c>
      <c r="AA70" s="5" t="s">
        <v>5638</v>
      </c>
      <c r="AB70" s="5">
        <v>3</v>
      </c>
      <c r="AC70" s="5" t="s">
        <v>78</v>
      </c>
      <c r="AD70" s="5" t="s">
        <v>5639</v>
      </c>
      <c r="AE70" s="5" t="s">
        <v>1454</v>
      </c>
      <c r="AF70" s="5" t="s">
        <v>155</v>
      </c>
      <c r="AG70" s="5">
        <v>4312000</v>
      </c>
      <c r="AH70" s="5">
        <v>0</v>
      </c>
      <c r="AI70" s="5"/>
      <c r="AJ70" s="5"/>
      <c r="AK70" s="9"/>
      <c r="AL70" t="e">
        <v>#N/A</v>
      </c>
      <c r="AM70">
        <v>0</v>
      </c>
    </row>
    <row r="71" spans="1:39" hidden="1" x14ac:dyDescent="0.25">
      <c r="A71" s="6">
        <v>448</v>
      </c>
      <c r="B71" s="7" t="s">
        <v>37</v>
      </c>
      <c r="C71" s="7" t="s">
        <v>5640</v>
      </c>
      <c r="D71" s="7" t="s">
        <v>4811</v>
      </c>
      <c r="E71" s="7" t="s">
        <v>40</v>
      </c>
      <c r="F71" s="7" t="s">
        <v>610</v>
      </c>
      <c r="G71" s="7" t="s">
        <v>5641</v>
      </c>
      <c r="H71" s="7" t="s">
        <v>43</v>
      </c>
      <c r="I71" s="7" t="s">
        <v>5642</v>
      </c>
      <c r="J71" s="7" t="s">
        <v>5643</v>
      </c>
      <c r="K71" s="7" t="s">
        <v>5644</v>
      </c>
      <c r="L71" s="7" t="s">
        <v>5645</v>
      </c>
      <c r="M71" s="7" t="s">
        <v>5646</v>
      </c>
      <c r="N71" s="7">
        <v>147675</v>
      </c>
      <c r="O71" s="7">
        <v>5270000</v>
      </c>
      <c r="P71" s="7" t="s">
        <v>5647</v>
      </c>
      <c r="Q71" s="12">
        <v>45577</v>
      </c>
      <c r="R71" s="7" t="s">
        <v>5648</v>
      </c>
      <c r="S71" s="7" t="s">
        <v>5649</v>
      </c>
      <c r="T71" s="7" t="s">
        <v>51</v>
      </c>
      <c r="U71" s="7" t="s">
        <v>48</v>
      </c>
      <c r="V71" s="7" t="s">
        <v>164</v>
      </c>
      <c r="W71" s="7" t="s">
        <v>53</v>
      </c>
      <c r="X71" s="7" t="s">
        <v>595</v>
      </c>
      <c r="Y71" s="7" t="s">
        <v>92</v>
      </c>
      <c r="Z71" s="7" t="s">
        <v>879</v>
      </c>
      <c r="AA71" s="7" t="s">
        <v>5650</v>
      </c>
      <c r="AB71" s="7">
        <v>3</v>
      </c>
      <c r="AC71" s="7" t="s">
        <v>48</v>
      </c>
      <c r="AD71" s="7" t="s">
        <v>48</v>
      </c>
      <c r="AE71" s="7" t="s">
        <v>48</v>
      </c>
      <c r="AF71" s="7" t="s">
        <v>155</v>
      </c>
      <c r="AG71" s="7">
        <v>4216000</v>
      </c>
      <c r="AH71" s="7">
        <v>0</v>
      </c>
      <c r="AI71" s="7"/>
      <c r="AJ71" s="7"/>
      <c r="AK71" s="10"/>
      <c r="AL71" t="e">
        <v>#N/A</v>
      </c>
      <c r="AM71">
        <v>0</v>
      </c>
    </row>
    <row r="72" spans="1:39" hidden="1" x14ac:dyDescent="0.25">
      <c r="A72" s="4">
        <v>449</v>
      </c>
      <c r="B72" s="5" t="s">
        <v>37</v>
      </c>
      <c r="C72" s="5" t="s">
        <v>5651</v>
      </c>
      <c r="D72" s="5" t="s">
        <v>4811</v>
      </c>
      <c r="E72" s="5" t="s">
        <v>40</v>
      </c>
      <c r="F72" s="5" t="s">
        <v>3164</v>
      </c>
      <c r="G72" s="5" t="s">
        <v>5652</v>
      </c>
      <c r="H72" s="5" t="s">
        <v>83</v>
      </c>
      <c r="I72" s="5" t="s">
        <v>5653</v>
      </c>
      <c r="J72" s="5" t="s">
        <v>48</v>
      </c>
      <c r="K72" s="5" t="s">
        <v>5654</v>
      </c>
      <c r="L72" s="5" t="s">
        <v>48</v>
      </c>
      <c r="M72" s="5" t="s">
        <v>5655</v>
      </c>
      <c r="N72" s="5">
        <v>136149</v>
      </c>
      <c r="O72" s="5">
        <v>2623000</v>
      </c>
      <c r="P72" s="5" t="s">
        <v>5656</v>
      </c>
      <c r="Q72" s="11">
        <v>45577</v>
      </c>
      <c r="R72" s="5" t="s">
        <v>5657</v>
      </c>
      <c r="S72" s="5" t="s">
        <v>5658</v>
      </c>
      <c r="T72" s="5" t="s">
        <v>51</v>
      </c>
      <c r="U72" s="5" t="s">
        <v>48</v>
      </c>
      <c r="V72" s="5" t="s">
        <v>5659</v>
      </c>
      <c r="W72" s="5" t="s">
        <v>53</v>
      </c>
      <c r="X72" s="5" t="s">
        <v>267</v>
      </c>
      <c r="Y72" s="5" t="s">
        <v>152</v>
      </c>
      <c r="Z72" s="5" t="s">
        <v>181</v>
      </c>
      <c r="AA72" s="5" t="s">
        <v>5660</v>
      </c>
      <c r="AB72" s="5">
        <v>3</v>
      </c>
      <c r="AC72" s="5" t="s">
        <v>78</v>
      </c>
      <c r="AD72" s="5" t="s">
        <v>5661</v>
      </c>
      <c r="AE72" s="5" t="s">
        <v>1143</v>
      </c>
      <c r="AF72" s="5" t="s">
        <v>61</v>
      </c>
      <c r="AG72" s="5">
        <v>2098400</v>
      </c>
      <c r="AH72" s="5">
        <v>0</v>
      </c>
      <c r="AI72" s="5"/>
      <c r="AJ72" s="5"/>
      <c r="AK72" s="9"/>
      <c r="AL72" t="e">
        <v>#N/A</v>
      </c>
      <c r="AM72">
        <v>0</v>
      </c>
    </row>
    <row r="73" spans="1:39" x14ac:dyDescent="0.25">
      <c r="A73" s="6">
        <v>450</v>
      </c>
      <c r="B73" s="7" t="s">
        <v>37</v>
      </c>
      <c r="C73" s="7" t="s">
        <v>5662</v>
      </c>
      <c r="D73" s="7" t="s">
        <v>4811</v>
      </c>
      <c r="E73" s="7" t="s">
        <v>40</v>
      </c>
      <c r="F73" s="7" t="s">
        <v>63</v>
      </c>
      <c r="G73" s="7" t="s">
        <v>5663</v>
      </c>
      <c r="H73" s="7" t="s">
        <v>2719</v>
      </c>
      <c r="I73" s="7" t="s">
        <v>5664</v>
      </c>
      <c r="J73" s="7" t="s">
        <v>5665</v>
      </c>
      <c r="K73" s="7" t="s">
        <v>48</v>
      </c>
      <c r="L73" s="7" t="s">
        <v>5666</v>
      </c>
      <c r="M73" s="7" t="s">
        <v>5667</v>
      </c>
      <c r="N73" s="7">
        <v>1401765</v>
      </c>
      <c r="O73" s="7">
        <v>1886000</v>
      </c>
      <c r="P73" s="7" t="s">
        <v>5668</v>
      </c>
      <c r="Q73" s="12">
        <v>45576</v>
      </c>
      <c r="R73" s="7" t="s">
        <v>5669</v>
      </c>
      <c r="S73" s="7" t="s">
        <v>5670</v>
      </c>
      <c r="T73" s="7" t="s">
        <v>51</v>
      </c>
      <c r="U73" s="7" t="s">
        <v>48</v>
      </c>
      <c r="V73" s="7" t="s">
        <v>106</v>
      </c>
      <c r="W73" s="7" t="s">
        <v>552</v>
      </c>
      <c r="X73" s="7" t="s">
        <v>5671</v>
      </c>
      <c r="Y73" s="7" t="s">
        <v>669</v>
      </c>
      <c r="Z73" s="7" t="s">
        <v>2621</v>
      </c>
      <c r="AA73" s="7" t="s">
        <v>5672</v>
      </c>
      <c r="AB73" s="7">
        <v>7</v>
      </c>
      <c r="AC73" s="7" t="s">
        <v>556</v>
      </c>
      <c r="AD73" s="7" t="s">
        <v>5673</v>
      </c>
      <c r="AE73" s="7" t="s">
        <v>668</v>
      </c>
      <c r="AF73" s="7" t="s">
        <v>155</v>
      </c>
      <c r="AG73" s="7">
        <v>1603100</v>
      </c>
      <c r="AH73" s="7">
        <v>0</v>
      </c>
      <c r="AI73" s="7"/>
      <c r="AJ73" s="7"/>
      <c r="AK73" s="10"/>
      <c r="AL73" t="s">
        <v>6230</v>
      </c>
      <c r="AM73" s="13">
        <v>28054.250000000004</v>
      </c>
    </row>
    <row r="74" spans="1:39" hidden="1" x14ac:dyDescent="0.25">
      <c r="A74" s="4">
        <v>451</v>
      </c>
      <c r="B74" s="5" t="s">
        <v>37</v>
      </c>
      <c r="C74" s="5" t="s">
        <v>5674</v>
      </c>
      <c r="D74" s="5" t="s">
        <v>4811</v>
      </c>
      <c r="E74" s="5" t="s">
        <v>40</v>
      </c>
      <c r="F74" s="5" t="s">
        <v>1325</v>
      </c>
      <c r="G74" s="5" t="s">
        <v>5675</v>
      </c>
      <c r="H74" s="5" t="s">
        <v>83</v>
      </c>
      <c r="I74" s="5" t="s">
        <v>5676</v>
      </c>
      <c r="J74" s="5" t="s">
        <v>5677</v>
      </c>
      <c r="K74" s="5" t="s">
        <v>5677</v>
      </c>
      <c r="L74" s="5" t="s">
        <v>5677</v>
      </c>
      <c r="M74" s="5" t="s">
        <v>5678</v>
      </c>
      <c r="N74" s="5">
        <v>279206</v>
      </c>
      <c r="O74" s="5">
        <v>5390000</v>
      </c>
      <c r="P74" s="5" t="s">
        <v>5679</v>
      </c>
      <c r="Q74" s="11">
        <v>45576</v>
      </c>
      <c r="R74" s="5" t="s">
        <v>5680</v>
      </c>
      <c r="S74" s="5" t="s">
        <v>5681</v>
      </c>
      <c r="T74" s="5" t="s">
        <v>51</v>
      </c>
      <c r="U74" s="5" t="s">
        <v>48</v>
      </c>
      <c r="V74" s="5" t="s">
        <v>1334</v>
      </c>
      <c r="W74" s="5" t="s">
        <v>53</v>
      </c>
      <c r="X74" s="5" t="s">
        <v>1464</v>
      </c>
      <c r="Y74" s="5" t="s">
        <v>152</v>
      </c>
      <c r="Z74" s="5" t="s">
        <v>181</v>
      </c>
      <c r="AA74" s="5" t="s">
        <v>5682</v>
      </c>
      <c r="AB74" s="5">
        <v>3</v>
      </c>
      <c r="AC74" s="5" t="s">
        <v>78</v>
      </c>
      <c r="AD74" s="5" t="s">
        <v>5683</v>
      </c>
      <c r="AE74" s="5" t="s">
        <v>406</v>
      </c>
      <c r="AF74" s="5" t="s">
        <v>155</v>
      </c>
      <c r="AG74" s="5">
        <v>4312000</v>
      </c>
      <c r="AH74" s="5">
        <v>0</v>
      </c>
      <c r="AI74" s="5"/>
      <c r="AJ74" s="5"/>
      <c r="AK74" s="9"/>
      <c r="AL74" t="e">
        <v>#N/A</v>
      </c>
      <c r="AM74">
        <v>0</v>
      </c>
    </row>
    <row r="75" spans="1:39" hidden="1" x14ac:dyDescent="0.25">
      <c r="A75" s="6">
        <v>452</v>
      </c>
      <c r="B75" s="7" t="s">
        <v>37</v>
      </c>
      <c r="C75" s="7" t="s">
        <v>5684</v>
      </c>
      <c r="D75" s="7" t="s">
        <v>4811</v>
      </c>
      <c r="E75" s="7" t="s">
        <v>40</v>
      </c>
      <c r="F75" s="7" t="s">
        <v>483</v>
      </c>
      <c r="G75" s="7" t="s">
        <v>5685</v>
      </c>
      <c r="H75" s="7" t="s">
        <v>172</v>
      </c>
      <c r="I75" s="7" t="s">
        <v>5686</v>
      </c>
      <c r="J75" s="7" t="s">
        <v>5687</v>
      </c>
      <c r="K75" s="7" t="s">
        <v>5687</v>
      </c>
      <c r="L75" s="7" t="s">
        <v>5687</v>
      </c>
      <c r="M75" s="7" t="s">
        <v>5688</v>
      </c>
      <c r="N75" s="7">
        <v>75306</v>
      </c>
      <c r="O75" s="7">
        <v>2703000</v>
      </c>
      <c r="P75" s="7" t="s">
        <v>5689</v>
      </c>
      <c r="Q75" s="12">
        <v>45576</v>
      </c>
      <c r="R75" s="7" t="s">
        <v>5690</v>
      </c>
      <c r="S75" s="7" t="s">
        <v>5691</v>
      </c>
      <c r="T75" s="7" t="s">
        <v>51</v>
      </c>
      <c r="U75" s="7" t="s">
        <v>48</v>
      </c>
      <c r="V75" s="7" t="s">
        <v>416</v>
      </c>
      <c r="W75" s="7" t="s">
        <v>53</v>
      </c>
      <c r="X75" s="7" t="s">
        <v>4501</v>
      </c>
      <c r="Y75" s="7" t="s">
        <v>137</v>
      </c>
      <c r="Z75" s="7" t="s">
        <v>242</v>
      </c>
      <c r="AA75" s="7" t="s">
        <v>5692</v>
      </c>
      <c r="AB75" s="7">
        <v>3</v>
      </c>
      <c r="AC75" s="7" t="s">
        <v>78</v>
      </c>
      <c r="AD75" s="7" t="s">
        <v>5693</v>
      </c>
      <c r="AE75" s="7" t="s">
        <v>864</v>
      </c>
      <c r="AF75" s="7" t="s">
        <v>61</v>
      </c>
      <c r="AG75" s="7">
        <v>2162400</v>
      </c>
      <c r="AH75" s="7">
        <v>0</v>
      </c>
      <c r="AI75" s="7"/>
      <c r="AJ75" s="7"/>
      <c r="AK75" s="10"/>
      <c r="AL75" t="e">
        <v>#N/A</v>
      </c>
      <c r="AM75">
        <v>0</v>
      </c>
    </row>
    <row r="76" spans="1:39" hidden="1" x14ac:dyDescent="0.25">
      <c r="A76" s="4">
        <v>453</v>
      </c>
      <c r="B76" s="5" t="s">
        <v>37</v>
      </c>
      <c r="C76" s="5" t="s">
        <v>5694</v>
      </c>
      <c r="D76" s="5" t="s">
        <v>4811</v>
      </c>
      <c r="E76" s="5" t="s">
        <v>40</v>
      </c>
      <c r="F76" s="5" t="s">
        <v>5695</v>
      </c>
      <c r="G76" s="5" t="s">
        <v>5696</v>
      </c>
      <c r="H76" s="5" t="s">
        <v>5697</v>
      </c>
      <c r="I76" s="5" t="s">
        <v>5698</v>
      </c>
      <c r="J76" s="5" t="s">
        <v>48</v>
      </c>
      <c r="K76" s="5" t="s">
        <v>5699</v>
      </c>
      <c r="L76" s="5" t="s">
        <v>48</v>
      </c>
      <c r="M76" s="5" t="s">
        <v>5700</v>
      </c>
      <c r="N76" s="5">
        <v>133999</v>
      </c>
      <c r="O76" s="5">
        <v>4549000</v>
      </c>
      <c r="P76" s="5" t="s">
        <v>5701</v>
      </c>
      <c r="Q76" s="11">
        <v>45576</v>
      </c>
      <c r="R76" s="5" t="s">
        <v>5702</v>
      </c>
      <c r="S76" s="5" t="s">
        <v>5703</v>
      </c>
      <c r="T76" s="5" t="s">
        <v>51</v>
      </c>
      <c r="U76" s="5" t="s">
        <v>48</v>
      </c>
      <c r="V76" s="5" t="s">
        <v>3634</v>
      </c>
      <c r="W76" s="5" t="s">
        <v>53</v>
      </c>
      <c r="X76" s="5" t="s">
        <v>5704</v>
      </c>
      <c r="Y76" s="5" t="s">
        <v>152</v>
      </c>
      <c r="Z76" s="5" t="s">
        <v>181</v>
      </c>
      <c r="AA76" s="5" t="s">
        <v>5705</v>
      </c>
      <c r="AB76" s="5">
        <v>3</v>
      </c>
      <c r="AC76" s="5" t="s">
        <v>78</v>
      </c>
      <c r="AD76" s="5" t="s">
        <v>5706</v>
      </c>
      <c r="AE76" s="5" t="s">
        <v>3136</v>
      </c>
      <c r="AF76" s="5" t="s">
        <v>61</v>
      </c>
      <c r="AG76" s="5">
        <v>3639200</v>
      </c>
      <c r="AH76" s="5">
        <v>0</v>
      </c>
      <c r="AI76" s="5"/>
      <c r="AJ76" s="5"/>
      <c r="AK76" s="9"/>
      <c r="AL76" t="e">
        <v>#N/A</v>
      </c>
      <c r="AM76">
        <v>0</v>
      </c>
    </row>
    <row r="77" spans="1:39" hidden="1" x14ac:dyDescent="0.25">
      <c r="A77" s="6">
        <v>454</v>
      </c>
      <c r="B77" s="7" t="s">
        <v>37</v>
      </c>
      <c r="C77" s="7" t="s">
        <v>5707</v>
      </c>
      <c r="D77" s="7" t="s">
        <v>4811</v>
      </c>
      <c r="E77" s="7" t="s">
        <v>40</v>
      </c>
      <c r="F77" s="7" t="s">
        <v>63</v>
      </c>
      <c r="G77" s="7" t="s">
        <v>5708</v>
      </c>
      <c r="H77" s="7" t="s">
        <v>43</v>
      </c>
      <c r="I77" s="7" t="s">
        <v>5709</v>
      </c>
      <c r="J77" s="7" t="s">
        <v>5710</v>
      </c>
      <c r="K77" s="7" t="s">
        <v>5711</v>
      </c>
      <c r="L77" s="7" t="s">
        <v>5710</v>
      </c>
      <c r="M77" s="7" t="s">
        <v>5712</v>
      </c>
      <c r="N77" s="7">
        <v>45733</v>
      </c>
      <c r="O77" s="7">
        <v>1760000</v>
      </c>
      <c r="P77" s="7" t="s">
        <v>5713</v>
      </c>
      <c r="Q77" s="12">
        <v>45576</v>
      </c>
      <c r="R77" s="7" t="s">
        <v>5714</v>
      </c>
      <c r="S77" s="7" t="s">
        <v>5715</v>
      </c>
      <c r="T77" s="7" t="s">
        <v>51</v>
      </c>
      <c r="U77" s="7" t="s">
        <v>48</v>
      </c>
      <c r="V77" s="7" t="s">
        <v>402</v>
      </c>
      <c r="W77" s="7" t="s">
        <v>53</v>
      </c>
      <c r="X77" s="7" t="s">
        <v>823</v>
      </c>
      <c r="Y77" s="7" t="s">
        <v>137</v>
      </c>
      <c r="Z77" s="7" t="s">
        <v>242</v>
      </c>
      <c r="AA77" s="7" t="s">
        <v>5716</v>
      </c>
      <c r="AB77" s="7">
        <v>3</v>
      </c>
      <c r="AC77" s="7" t="s">
        <v>78</v>
      </c>
      <c r="AD77" s="7" t="s">
        <v>5717</v>
      </c>
      <c r="AE77" s="7" t="s">
        <v>406</v>
      </c>
      <c r="AF77" s="7" t="s">
        <v>61</v>
      </c>
      <c r="AG77" s="7">
        <v>1408000</v>
      </c>
      <c r="AH77" s="7">
        <v>0</v>
      </c>
      <c r="AI77" s="7"/>
      <c r="AJ77" s="7"/>
      <c r="AK77" s="10"/>
      <c r="AL77" t="e">
        <v>#N/A</v>
      </c>
      <c r="AM77">
        <v>0</v>
      </c>
    </row>
    <row r="78" spans="1:39" hidden="1" x14ac:dyDescent="0.25">
      <c r="A78" s="4">
        <v>455</v>
      </c>
      <c r="B78" s="5" t="s">
        <v>37</v>
      </c>
      <c r="C78" s="5" t="s">
        <v>5718</v>
      </c>
      <c r="D78" s="5" t="s">
        <v>4811</v>
      </c>
      <c r="E78" s="5" t="s">
        <v>40</v>
      </c>
      <c r="F78" s="5" t="s">
        <v>5719</v>
      </c>
      <c r="G78" s="5" t="s">
        <v>5720</v>
      </c>
      <c r="H78" s="5" t="s">
        <v>128</v>
      </c>
      <c r="I78" s="5" t="s">
        <v>5721</v>
      </c>
      <c r="J78" s="5" t="s">
        <v>5722</v>
      </c>
      <c r="K78" s="5" t="s">
        <v>48</v>
      </c>
      <c r="L78" s="5" t="s">
        <v>438</v>
      </c>
      <c r="M78" s="5" t="s">
        <v>5723</v>
      </c>
      <c r="N78" s="5">
        <v>28431</v>
      </c>
      <c r="O78" s="5">
        <v>1521000</v>
      </c>
      <c r="P78" s="5" t="s">
        <v>5724</v>
      </c>
      <c r="Q78" s="11">
        <v>45576</v>
      </c>
      <c r="R78" s="5" t="s">
        <v>5725</v>
      </c>
      <c r="S78" s="5" t="s">
        <v>5726</v>
      </c>
      <c r="T78" s="5" t="s">
        <v>51</v>
      </c>
      <c r="U78" s="5" t="s">
        <v>48</v>
      </c>
      <c r="V78" s="5" t="s">
        <v>73</v>
      </c>
      <c r="W78" s="5" t="s">
        <v>53</v>
      </c>
      <c r="X78" s="5" t="s">
        <v>311</v>
      </c>
      <c r="Y78" s="5" t="s">
        <v>137</v>
      </c>
      <c r="Z78" s="5" t="s">
        <v>242</v>
      </c>
      <c r="AA78" s="5" t="s">
        <v>5727</v>
      </c>
      <c r="AB78" s="5">
        <v>3</v>
      </c>
      <c r="AC78" s="5" t="s">
        <v>58</v>
      </c>
      <c r="AD78" s="5" t="s">
        <v>5728</v>
      </c>
      <c r="AE78" s="5" t="s">
        <v>406</v>
      </c>
      <c r="AF78" s="5" t="s">
        <v>61</v>
      </c>
      <c r="AG78" s="5">
        <v>1216800</v>
      </c>
      <c r="AH78" s="5">
        <v>0</v>
      </c>
      <c r="AI78" s="5"/>
      <c r="AJ78" s="5"/>
      <c r="AK78" s="9"/>
      <c r="AL78" t="e">
        <v>#N/A</v>
      </c>
      <c r="AM78">
        <v>0</v>
      </c>
    </row>
    <row r="79" spans="1:39" hidden="1" x14ac:dyDescent="0.25">
      <c r="A79" s="6">
        <v>456</v>
      </c>
      <c r="B79" s="7" t="s">
        <v>37</v>
      </c>
      <c r="C79" s="7" t="s">
        <v>5729</v>
      </c>
      <c r="D79" s="7" t="s">
        <v>4811</v>
      </c>
      <c r="E79" s="7" t="s">
        <v>40</v>
      </c>
      <c r="F79" s="7" t="s">
        <v>63</v>
      </c>
      <c r="G79" s="7" t="s">
        <v>5730</v>
      </c>
      <c r="H79" s="7" t="s">
        <v>83</v>
      </c>
      <c r="I79" s="7" t="s">
        <v>5731</v>
      </c>
      <c r="J79" s="7" t="s">
        <v>5732</v>
      </c>
      <c r="K79" s="7" t="s">
        <v>5732</v>
      </c>
      <c r="L79" s="7" t="s">
        <v>5733</v>
      </c>
      <c r="M79" s="7" t="s">
        <v>5734</v>
      </c>
      <c r="N79" s="7">
        <v>29777</v>
      </c>
      <c r="O79" s="7">
        <v>1335000</v>
      </c>
      <c r="P79" s="7" t="s">
        <v>5735</v>
      </c>
      <c r="Q79" s="12">
        <v>45575</v>
      </c>
      <c r="R79" s="7" t="s">
        <v>5736</v>
      </c>
      <c r="S79" s="7" t="s">
        <v>5737</v>
      </c>
      <c r="T79" s="7" t="s">
        <v>51</v>
      </c>
      <c r="U79" s="7" t="s">
        <v>48</v>
      </c>
      <c r="V79" s="7" t="s">
        <v>2008</v>
      </c>
      <c r="W79" s="7" t="s">
        <v>53</v>
      </c>
      <c r="X79" s="7" t="s">
        <v>684</v>
      </c>
      <c r="Y79" s="7" t="s">
        <v>92</v>
      </c>
      <c r="Z79" s="7" t="s">
        <v>879</v>
      </c>
      <c r="AA79" s="7" t="s">
        <v>5738</v>
      </c>
      <c r="AB79" s="7">
        <v>3</v>
      </c>
      <c r="AC79" s="7" t="s">
        <v>78</v>
      </c>
      <c r="AD79" s="7" t="s">
        <v>5739</v>
      </c>
      <c r="AE79" s="7" t="s">
        <v>406</v>
      </c>
      <c r="AF79" s="7" t="s">
        <v>61</v>
      </c>
      <c r="AG79" s="7">
        <v>1068000</v>
      </c>
      <c r="AH79" s="7">
        <v>0</v>
      </c>
      <c r="AI79" s="7"/>
      <c r="AJ79" s="7"/>
      <c r="AK79" s="10"/>
      <c r="AL79" t="e">
        <v>#N/A</v>
      </c>
      <c r="AM79">
        <v>0</v>
      </c>
    </row>
    <row r="80" spans="1:39" hidden="1" x14ac:dyDescent="0.25">
      <c r="A80" s="4">
        <v>457</v>
      </c>
      <c r="B80" s="5" t="s">
        <v>37</v>
      </c>
      <c r="C80" s="5" t="s">
        <v>5740</v>
      </c>
      <c r="D80" s="5" t="s">
        <v>4811</v>
      </c>
      <c r="E80" s="5" t="s">
        <v>40</v>
      </c>
      <c r="F80" s="5" t="s">
        <v>63</v>
      </c>
      <c r="G80" s="5" t="s">
        <v>5730</v>
      </c>
      <c r="H80" s="5" t="s">
        <v>83</v>
      </c>
      <c r="I80" s="5" t="s">
        <v>5731</v>
      </c>
      <c r="J80" s="5" t="s">
        <v>5732</v>
      </c>
      <c r="K80" s="5" t="s">
        <v>5732</v>
      </c>
      <c r="L80" s="5" t="s">
        <v>5733</v>
      </c>
      <c r="M80" s="5" t="s">
        <v>5734</v>
      </c>
      <c r="N80" s="5">
        <v>27293</v>
      </c>
      <c r="O80" s="5">
        <v>1335000</v>
      </c>
      <c r="P80" s="5" t="s">
        <v>5741</v>
      </c>
      <c r="Q80" s="11">
        <v>45575</v>
      </c>
      <c r="R80" s="5" t="s">
        <v>5742</v>
      </c>
      <c r="S80" s="5" t="s">
        <v>5743</v>
      </c>
      <c r="T80" s="5" t="s">
        <v>51</v>
      </c>
      <c r="U80" s="5" t="s">
        <v>48</v>
      </c>
      <c r="V80" s="5" t="s">
        <v>2008</v>
      </c>
      <c r="W80" s="5" t="s">
        <v>53</v>
      </c>
      <c r="X80" s="5" t="s">
        <v>684</v>
      </c>
      <c r="Y80" s="5" t="s">
        <v>92</v>
      </c>
      <c r="Z80" s="5" t="s">
        <v>879</v>
      </c>
      <c r="AA80" s="5" t="s">
        <v>5744</v>
      </c>
      <c r="AB80" s="5">
        <v>3</v>
      </c>
      <c r="AC80" s="5" t="s">
        <v>78</v>
      </c>
      <c r="AD80" s="5" t="s">
        <v>5745</v>
      </c>
      <c r="AE80" s="5" t="s">
        <v>406</v>
      </c>
      <c r="AF80" s="5" t="s">
        <v>61</v>
      </c>
      <c r="AG80" s="5">
        <v>1068000</v>
      </c>
      <c r="AH80" s="5">
        <v>0</v>
      </c>
      <c r="AI80" s="5"/>
      <c r="AJ80" s="5"/>
      <c r="AK80" s="9"/>
      <c r="AL80" t="e">
        <v>#N/A</v>
      </c>
      <c r="AM80">
        <v>0</v>
      </c>
    </row>
    <row r="81" spans="1:39" hidden="1" x14ac:dyDescent="0.25">
      <c r="A81" s="6">
        <v>458</v>
      </c>
      <c r="B81" s="7" t="s">
        <v>37</v>
      </c>
      <c r="C81" s="7" t="s">
        <v>5746</v>
      </c>
      <c r="D81" s="7" t="s">
        <v>4811</v>
      </c>
      <c r="E81" s="7" t="s">
        <v>40</v>
      </c>
      <c r="F81" s="7" t="s">
        <v>5025</v>
      </c>
      <c r="G81" s="7" t="s">
        <v>5747</v>
      </c>
      <c r="H81" s="7" t="s">
        <v>43</v>
      </c>
      <c r="I81" s="7" t="s">
        <v>5748</v>
      </c>
      <c r="J81" s="7" t="s">
        <v>5749</v>
      </c>
      <c r="K81" s="7" t="s">
        <v>5750</v>
      </c>
      <c r="L81" s="7" t="s">
        <v>5751</v>
      </c>
      <c r="M81" s="7" t="s">
        <v>5752</v>
      </c>
      <c r="N81" s="7">
        <v>101438</v>
      </c>
      <c r="O81" s="7">
        <v>5473000</v>
      </c>
      <c r="P81" s="7" t="s">
        <v>5753</v>
      </c>
      <c r="Q81" s="12">
        <v>45572</v>
      </c>
      <c r="R81" s="7" t="s">
        <v>5754</v>
      </c>
      <c r="S81" s="7" t="s">
        <v>5755</v>
      </c>
      <c r="T81" s="7" t="s">
        <v>51</v>
      </c>
      <c r="U81" s="7" t="s">
        <v>48</v>
      </c>
      <c r="V81" s="7" t="s">
        <v>5756</v>
      </c>
      <c r="W81" s="7" t="s">
        <v>53</v>
      </c>
      <c r="X81" s="7" t="s">
        <v>5757</v>
      </c>
      <c r="Y81" s="7" t="s">
        <v>137</v>
      </c>
      <c r="Z81" s="7" t="s">
        <v>242</v>
      </c>
      <c r="AA81" s="7" t="s">
        <v>5758</v>
      </c>
      <c r="AB81" s="7">
        <v>3</v>
      </c>
      <c r="AC81" s="7" t="s">
        <v>78</v>
      </c>
      <c r="AD81" s="7" t="s">
        <v>5759</v>
      </c>
      <c r="AE81" s="7" t="s">
        <v>199</v>
      </c>
      <c r="AF81" s="7" t="s">
        <v>61</v>
      </c>
      <c r="AG81" s="7">
        <v>4378400</v>
      </c>
      <c r="AH81" s="7">
        <v>0</v>
      </c>
      <c r="AI81" s="7"/>
      <c r="AJ81" s="7"/>
      <c r="AK81" s="10"/>
      <c r="AL81" t="e">
        <v>#N/A</v>
      </c>
      <c r="AM81">
        <v>0</v>
      </c>
    </row>
    <row r="82" spans="1:39" hidden="1" x14ac:dyDescent="0.25">
      <c r="A82" s="4">
        <v>459</v>
      </c>
      <c r="B82" s="5" t="s">
        <v>37</v>
      </c>
      <c r="C82" s="5" t="s">
        <v>5760</v>
      </c>
      <c r="D82" s="5" t="s">
        <v>4811</v>
      </c>
      <c r="E82" s="5" t="s">
        <v>40</v>
      </c>
      <c r="F82" s="5" t="s">
        <v>354</v>
      </c>
      <c r="G82" s="5" t="s">
        <v>5761</v>
      </c>
      <c r="H82" s="5" t="s">
        <v>43</v>
      </c>
      <c r="I82" s="5" t="s">
        <v>5762</v>
      </c>
      <c r="J82" s="5" t="s">
        <v>5763</v>
      </c>
      <c r="K82" s="5" t="s">
        <v>5764</v>
      </c>
      <c r="L82" s="5" t="s">
        <v>5763</v>
      </c>
      <c r="M82" s="5" t="s">
        <v>5765</v>
      </c>
      <c r="N82" s="5">
        <v>95882</v>
      </c>
      <c r="O82" s="5">
        <v>1860000</v>
      </c>
      <c r="P82" s="5" t="s">
        <v>5766</v>
      </c>
      <c r="Q82" s="11">
        <v>45572</v>
      </c>
      <c r="R82" s="5" t="s">
        <v>5767</v>
      </c>
      <c r="S82" s="5" t="s">
        <v>5768</v>
      </c>
      <c r="T82" s="5" t="s">
        <v>196</v>
      </c>
      <c r="U82" s="5" t="s">
        <v>5769</v>
      </c>
      <c r="V82" s="5" t="s">
        <v>863</v>
      </c>
      <c r="W82" s="5" t="s">
        <v>536</v>
      </c>
      <c r="X82" s="5" t="s">
        <v>107</v>
      </c>
      <c r="Y82" s="5" t="s">
        <v>107</v>
      </c>
      <c r="Z82" s="5" t="s">
        <v>281</v>
      </c>
      <c r="AA82" s="5" t="s">
        <v>5770</v>
      </c>
      <c r="AB82" s="5">
        <v>3</v>
      </c>
      <c r="AC82" s="5" t="s">
        <v>78</v>
      </c>
      <c r="AD82" s="5" t="s">
        <v>5771</v>
      </c>
      <c r="AE82" s="5" t="s">
        <v>199</v>
      </c>
      <c r="AF82" s="5" t="s">
        <v>61</v>
      </c>
      <c r="AG82" s="5">
        <v>1488000</v>
      </c>
      <c r="AH82" s="5">
        <v>0</v>
      </c>
      <c r="AI82" s="5"/>
      <c r="AJ82" s="5"/>
      <c r="AK82" s="9"/>
      <c r="AL82" t="e">
        <v>#N/A</v>
      </c>
      <c r="AM82">
        <v>0</v>
      </c>
    </row>
    <row r="83" spans="1:39" hidden="1" x14ac:dyDescent="0.25">
      <c r="A83" s="6">
        <v>460</v>
      </c>
      <c r="B83" s="7" t="s">
        <v>37</v>
      </c>
      <c r="C83" s="7" t="s">
        <v>5772</v>
      </c>
      <c r="D83" s="7" t="s">
        <v>4811</v>
      </c>
      <c r="E83" s="7" t="s">
        <v>40</v>
      </c>
      <c r="F83" s="7" t="s">
        <v>354</v>
      </c>
      <c r="G83" s="7" t="s">
        <v>5773</v>
      </c>
      <c r="H83" s="7" t="s">
        <v>43</v>
      </c>
      <c r="I83" s="7" t="s">
        <v>5774</v>
      </c>
      <c r="J83" s="7" t="s">
        <v>5775</v>
      </c>
      <c r="K83" s="7" t="s">
        <v>5776</v>
      </c>
      <c r="L83" s="7" t="s">
        <v>5775</v>
      </c>
      <c r="M83" s="7" t="s">
        <v>5777</v>
      </c>
      <c r="N83" s="7">
        <v>37975</v>
      </c>
      <c r="O83" s="7">
        <v>1700000</v>
      </c>
      <c r="P83" s="7" t="s">
        <v>5778</v>
      </c>
      <c r="Q83" s="12">
        <v>45572</v>
      </c>
      <c r="R83" s="7" t="s">
        <v>5779</v>
      </c>
      <c r="S83" s="7" t="s">
        <v>5780</v>
      </c>
      <c r="T83" s="7" t="s">
        <v>196</v>
      </c>
      <c r="U83" s="7" t="s">
        <v>5781</v>
      </c>
      <c r="V83" s="7" t="s">
        <v>364</v>
      </c>
      <c r="W83" s="7" t="s">
        <v>1054</v>
      </c>
      <c r="X83" s="7" t="s">
        <v>107</v>
      </c>
      <c r="Y83" s="7" t="s">
        <v>107</v>
      </c>
      <c r="Z83" s="7" t="s">
        <v>281</v>
      </c>
      <c r="AA83" s="7" t="s">
        <v>5782</v>
      </c>
      <c r="AB83" s="7">
        <v>3</v>
      </c>
      <c r="AC83" s="7" t="s">
        <v>78</v>
      </c>
      <c r="AD83" s="7" t="s">
        <v>5783</v>
      </c>
      <c r="AE83" s="7" t="s">
        <v>107</v>
      </c>
      <c r="AF83" s="7" t="s">
        <v>61</v>
      </c>
      <c r="AG83" s="7">
        <v>1360000</v>
      </c>
      <c r="AH83" s="7">
        <v>0</v>
      </c>
      <c r="AI83" s="7"/>
      <c r="AJ83" s="7"/>
      <c r="AK83" s="10"/>
      <c r="AL83" t="e">
        <v>#N/A</v>
      </c>
      <c r="AM83">
        <v>0</v>
      </c>
    </row>
    <row r="84" spans="1:39" hidden="1" x14ac:dyDescent="0.25">
      <c r="A84" s="4">
        <v>461</v>
      </c>
      <c r="B84" s="5" t="s">
        <v>37</v>
      </c>
      <c r="C84" s="5" t="s">
        <v>5784</v>
      </c>
      <c r="D84" s="5" t="s">
        <v>4811</v>
      </c>
      <c r="E84" s="5" t="s">
        <v>40</v>
      </c>
      <c r="F84" s="5" t="s">
        <v>610</v>
      </c>
      <c r="G84" s="5" t="s">
        <v>5785</v>
      </c>
      <c r="H84" s="5" t="s">
        <v>43</v>
      </c>
      <c r="I84" s="5" t="s">
        <v>5786</v>
      </c>
      <c r="J84" s="5" t="s">
        <v>5787</v>
      </c>
      <c r="K84" s="5" t="s">
        <v>5788</v>
      </c>
      <c r="L84" s="5" t="s">
        <v>5789</v>
      </c>
      <c r="M84" s="5" t="s">
        <v>5790</v>
      </c>
      <c r="N84" s="5">
        <v>98129</v>
      </c>
      <c r="O84" s="5">
        <v>4782000</v>
      </c>
      <c r="P84" s="5" t="s">
        <v>5791</v>
      </c>
      <c r="Q84" s="11">
        <v>45570</v>
      </c>
      <c r="R84" s="5" t="s">
        <v>5792</v>
      </c>
      <c r="S84" s="5" t="s">
        <v>5793</v>
      </c>
      <c r="T84" s="5" t="s">
        <v>51</v>
      </c>
      <c r="U84" s="5" t="s">
        <v>48</v>
      </c>
      <c r="V84" s="5" t="s">
        <v>5794</v>
      </c>
      <c r="W84" s="5" t="s">
        <v>53</v>
      </c>
      <c r="X84" s="5" t="s">
        <v>522</v>
      </c>
      <c r="Y84" s="5" t="s">
        <v>137</v>
      </c>
      <c r="Z84" s="5" t="s">
        <v>242</v>
      </c>
      <c r="AA84" s="5" t="s">
        <v>5795</v>
      </c>
      <c r="AB84" s="5">
        <v>3</v>
      </c>
      <c r="AC84" s="5" t="s">
        <v>48</v>
      </c>
      <c r="AD84" s="5" t="s">
        <v>48</v>
      </c>
      <c r="AE84" s="5" t="s">
        <v>48</v>
      </c>
      <c r="AF84" s="5" t="s">
        <v>155</v>
      </c>
      <c r="AG84" s="5">
        <v>3825600</v>
      </c>
      <c r="AH84" s="5">
        <v>0</v>
      </c>
      <c r="AI84" s="5"/>
      <c r="AJ84" s="5"/>
      <c r="AK84" s="9"/>
      <c r="AL84" t="e">
        <v>#N/A</v>
      </c>
      <c r="AM84">
        <v>0</v>
      </c>
    </row>
    <row r="85" spans="1:39" hidden="1" x14ac:dyDescent="0.25">
      <c r="A85" s="6">
        <v>462</v>
      </c>
      <c r="B85" s="7" t="s">
        <v>37</v>
      </c>
      <c r="C85" s="7" t="s">
        <v>5796</v>
      </c>
      <c r="D85" s="7" t="s">
        <v>4811</v>
      </c>
      <c r="E85" s="7" t="s">
        <v>40</v>
      </c>
      <c r="F85" s="7" t="s">
        <v>63</v>
      </c>
      <c r="G85" s="7" t="s">
        <v>5797</v>
      </c>
      <c r="H85" s="7" t="s">
        <v>43</v>
      </c>
      <c r="I85" s="7" t="s">
        <v>5798</v>
      </c>
      <c r="J85" s="7" t="s">
        <v>5799</v>
      </c>
      <c r="K85" s="7" t="s">
        <v>5800</v>
      </c>
      <c r="L85" s="7" t="s">
        <v>5799</v>
      </c>
      <c r="M85" s="7" t="s">
        <v>5801</v>
      </c>
      <c r="N85" s="7">
        <v>99478</v>
      </c>
      <c r="O85" s="7">
        <v>1830000</v>
      </c>
      <c r="P85" s="7" t="s">
        <v>5802</v>
      </c>
      <c r="Q85" s="12">
        <v>45570</v>
      </c>
      <c r="R85" s="7" t="s">
        <v>5803</v>
      </c>
      <c r="S85" s="7" t="s">
        <v>5804</v>
      </c>
      <c r="T85" s="7" t="s">
        <v>51</v>
      </c>
      <c r="U85" s="7" t="s">
        <v>48</v>
      </c>
      <c r="V85" s="7" t="s">
        <v>3753</v>
      </c>
      <c r="W85" s="7" t="s">
        <v>53</v>
      </c>
      <c r="X85" s="7" t="s">
        <v>1266</v>
      </c>
      <c r="Y85" s="7" t="s">
        <v>137</v>
      </c>
      <c r="Z85" s="7" t="s">
        <v>242</v>
      </c>
      <c r="AA85" s="7" t="s">
        <v>5805</v>
      </c>
      <c r="AB85" s="7">
        <v>3</v>
      </c>
      <c r="AC85" s="7" t="s">
        <v>78</v>
      </c>
      <c r="AD85" s="7" t="s">
        <v>5806</v>
      </c>
      <c r="AE85" s="7" t="s">
        <v>141</v>
      </c>
      <c r="AF85" s="7" t="s">
        <v>61</v>
      </c>
      <c r="AG85" s="7">
        <v>1464000</v>
      </c>
      <c r="AH85" s="7">
        <v>0</v>
      </c>
      <c r="AI85" s="7"/>
      <c r="AJ85" s="7"/>
      <c r="AK85" s="10"/>
      <c r="AL85" t="e">
        <v>#N/A</v>
      </c>
      <c r="AM85">
        <v>0</v>
      </c>
    </row>
    <row r="86" spans="1:39" hidden="1" x14ac:dyDescent="0.25">
      <c r="A86" s="4">
        <v>463</v>
      </c>
      <c r="B86" s="5" t="s">
        <v>37</v>
      </c>
      <c r="C86" s="5" t="s">
        <v>5807</v>
      </c>
      <c r="D86" s="5" t="s">
        <v>4811</v>
      </c>
      <c r="E86" s="5" t="s">
        <v>40</v>
      </c>
      <c r="F86" s="5" t="s">
        <v>63</v>
      </c>
      <c r="G86" s="5" t="s">
        <v>5808</v>
      </c>
      <c r="H86" s="5" t="s">
        <v>83</v>
      </c>
      <c r="I86" s="5" t="s">
        <v>5809</v>
      </c>
      <c r="J86" s="5" t="s">
        <v>5810</v>
      </c>
      <c r="K86" s="5" t="s">
        <v>5810</v>
      </c>
      <c r="L86" s="5" t="s">
        <v>5811</v>
      </c>
      <c r="M86" s="5" t="s">
        <v>5812</v>
      </c>
      <c r="N86" s="5">
        <v>58900</v>
      </c>
      <c r="O86" s="5">
        <v>1335000</v>
      </c>
      <c r="P86" s="5" t="s">
        <v>5813</v>
      </c>
      <c r="Q86" s="11">
        <v>45570</v>
      </c>
      <c r="R86" s="5" t="s">
        <v>5814</v>
      </c>
      <c r="S86" s="5" t="s">
        <v>5815</v>
      </c>
      <c r="T86" s="5" t="s">
        <v>51</v>
      </c>
      <c r="U86" s="5" t="s">
        <v>48</v>
      </c>
      <c r="V86" s="5" t="s">
        <v>2008</v>
      </c>
      <c r="W86" s="5" t="s">
        <v>53</v>
      </c>
      <c r="X86" s="5" t="s">
        <v>227</v>
      </c>
      <c r="Y86" s="5" t="s">
        <v>92</v>
      </c>
      <c r="Z86" s="5" t="s">
        <v>879</v>
      </c>
      <c r="AA86" s="5" t="s">
        <v>5816</v>
      </c>
      <c r="AB86" s="5">
        <v>3</v>
      </c>
      <c r="AC86" s="5" t="s">
        <v>58</v>
      </c>
      <c r="AD86" s="5" t="s">
        <v>5817</v>
      </c>
      <c r="AE86" s="5" t="s">
        <v>141</v>
      </c>
      <c r="AF86" s="5" t="s">
        <v>61</v>
      </c>
      <c r="AG86" s="5">
        <v>1068000</v>
      </c>
      <c r="AH86" s="5">
        <v>0</v>
      </c>
      <c r="AI86" s="5"/>
      <c r="AJ86" s="5"/>
      <c r="AK86" s="9"/>
      <c r="AL86" t="e">
        <v>#N/A</v>
      </c>
      <c r="AM86">
        <v>0</v>
      </c>
    </row>
    <row r="87" spans="1:39" x14ac:dyDescent="0.25">
      <c r="A87" s="6">
        <v>464</v>
      </c>
      <c r="B87" s="7" t="s">
        <v>37</v>
      </c>
      <c r="C87" s="7" t="s">
        <v>5818</v>
      </c>
      <c r="D87" s="7" t="s">
        <v>4811</v>
      </c>
      <c r="E87" s="7" t="s">
        <v>40</v>
      </c>
      <c r="F87" s="7" t="s">
        <v>1788</v>
      </c>
      <c r="G87" s="7" t="s">
        <v>5819</v>
      </c>
      <c r="H87" s="7" t="s">
        <v>233</v>
      </c>
      <c r="I87" s="7" t="s">
        <v>5820</v>
      </c>
      <c r="J87" s="7" t="s">
        <v>5821</v>
      </c>
      <c r="K87" s="7" t="s">
        <v>5821</v>
      </c>
      <c r="L87" s="7" t="s">
        <v>5821</v>
      </c>
      <c r="M87" s="7" t="s">
        <v>5822</v>
      </c>
      <c r="N87" s="7">
        <v>900877</v>
      </c>
      <c r="O87" s="7">
        <v>1610000</v>
      </c>
      <c r="P87" s="7" t="s">
        <v>5823</v>
      </c>
      <c r="Q87" s="12">
        <v>45569</v>
      </c>
      <c r="R87" s="7" t="s">
        <v>5824</v>
      </c>
      <c r="S87" s="7" t="s">
        <v>5825</v>
      </c>
      <c r="T87" s="7" t="s">
        <v>51</v>
      </c>
      <c r="U87" s="7" t="s">
        <v>48</v>
      </c>
      <c r="V87" s="7" t="s">
        <v>1205</v>
      </c>
      <c r="W87" s="7" t="s">
        <v>53</v>
      </c>
      <c r="X87" s="7" t="s">
        <v>91</v>
      </c>
      <c r="Y87" s="7" t="s">
        <v>152</v>
      </c>
      <c r="Z87" s="7" t="s">
        <v>1156</v>
      </c>
      <c r="AA87" s="7" t="s">
        <v>5826</v>
      </c>
      <c r="AB87" s="7">
        <v>7</v>
      </c>
      <c r="AC87" s="7" t="s">
        <v>58</v>
      </c>
      <c r="AD87" s="7" t="s">
        <v>5827</v>
      </c>
      <c r="AE87" s="7" t="s">
        <v>168</v>
      </c>
      <c r="AF87" s="7" t="s">
        <v>61</v>
      </c>
      <c r="AG87" s="7">
        <v>1288000</v>
      </c>
      <c r="AH87" s="7">
        <v>0</v>
      </c>
      <c r="AI87" s="7"/>
      <c r="AJ87" s="7"/>
      <c r="AK87" s="10"/>
      <c r="AL87" t="s">
        <v>6231</v>
      </c>
      <c r="AM87" s="13">
        <v>25760</v>
      </c>
    </row>
    <row r="88" spans="1:39" hidden="1" x14ac:dyDescent="0.25">
      <c r="A88" s="4">
        <v>465</v>
      </c>
      <c r="B88" s="5" t="s">
        <v>37</v>
      </c>
      <c r="C88" s="5" t="s">
        <v>5828</v>
      </c>
      <c r="D88" s="5" t="s">
        <v>4811</v>
      </c>
      <c r="E88" s="5" t="s">
        <v>40</v>
      </c>
      <c r="F88" s="5" t="s">
        <v>204</v>
      </c>
      <c r="G88" s="5" t="s">
        <v>5829</v>
      </c>
      <c r="H88" s="5" t="s">
        <v>233</v>
      </c>
      <c r="I88" s="5" t="s">
        <v>5830</v>
      </c>
      <c r="J88" s="5" t="s">
        <v>5831</v>
      </c>
      <c r="K88" s="5" t="s">
        <v>5831</v>
      </c>
      <c r="L88" s="5" t="s">
        <v>5831</v>
      </c>
      <c r="M88" s="5" t="s">
        <v>5832</v>
      </c>
      <c r="N88" s="5">
        <v>39525</v>
      </c>
      <c r="O88" s="5">
        <v>1521000</v>
      </c>
      <c r="P88" s="5" t="s">
        <v>5833</v>
      </c>
      <c r="Q88" s="11">
        <v>45569</v>
      </c>
      <c r="R88" s="5" t="s">
        <v>5834</v>
      </c>
      <c r="S88" s="5" t="s">
        <v>5835</v>
      </c>
      <c r="T88" s="5" t="s">
        <v>51</v>
      </c>
      <c r="U88" s="5" t="s">
        <v>48</v>
      </c>
      <c r="V88" s="5" t="s">
        <v>5072</v>
      </c>
      <c r="W88" s="5" t="s">
        <v>53</v>
      </c>
      <c r="X88" s="5" t="s">
        <v>227</v>
      </c>
      <c r="Y88" s="5" t="s">
        <v>137</v>
      </c>
      <c r="Z88" s="5" t="s">
        <v>242</v>
      </c>
      <c r="AA88" s="5" t="s">
        <v>5836</v>
      </c>
      <c r="AB88" s="5">
        <v>3</v>
      </c>
      <c r="AC88" s="5" t="s">
        <v>556</v>
      </c>
      <c r="AD88" s="5" t="s">
        <v>5837</v>
      </c>
      <c r="AE88" s="5" t="s">
        <v>168</v>
      </c>
      <c r="AF88" s="5" t="s">
        <v>155</v>
      </c>
      <c r="AG88" s="5">
        <v>1216800</v>
      </c>
      <c r="AH88" s="5">
        <v>0</v>
      </c>
      <c r="AI88" s="5"/>
      <c r="AJ88" s="5"/>
      <c r="AK88" s="9"/>
      <c r="AL88" t="e">
        <v>#N/A</v>
      </c>
      <c r="AM88">
        <v>0</v>
      </c>
    </row>
    <row r="89" spans="1:39" hidden="1" x14ac:dyDescent="0.25">
      <c r="A89" s="6">
        <v>466</v>
      </c>
      <c r="B89" s="7" t="s">
        <v>37</v>
      </c>
      <c r="C89" s="7" t="s">
        <v>5838</v>
      </c>
      <c r="D89" s="7" t="s">
        <v>4811</v>
      </c>
      <c r="E89" s="7" t="s">
        <v>40</v>
      </c>
      <c r="F89" s="7" t="s">
        <v>2813</v>
      </c>
      <c r="G89" s="7" t="s">
        <v>5839</v>
      </c>
      <c r="H89" s="7" t="s">
        <v>43</v>
      </c>
      <c r="I89" s="7" t="s">
        <v>5840</v>
      </c>
      <c r="J89" s="7" t="s">
        <v>5841</v>
      </c>
      <c r="K89" s="7" t="s">
        <v>5842</v>
      </c>
      <c r="L89" s="7" t="s">
        <v>5843</v>
      </c>
      <c r="M89" s="7" t="s">
        <v>5844</v>
      </c>
      <c r="N89" s="7">
        <v>105274</v>
      </c>
      <c r="O89" s="7">
        <v>4327000</v>
      </c>
      <c r="P89" s="7" t="s">
        <v>5845</v>
      </c>
      <c r="Q89" s="12">
        <v>45568</v>
      </c>
      <c r="R89" s="7" t="s">
        <v>5846</v>
      </c>
      <c r="S89" s="7" t="s">
        <v>5847</v>
      </c>
      <c r="T89" s="7" t="s">
        <v>51</v>
      </c>
      <c r="U89" s="7" t="s">
        <v>48</v>
      </c>
      <c r="V89" s="7" t="s">
        <v>903</v>
      </c>
      <c r="W89" s="7" t="s">
        <v>53</v>
      </c>
      <c r="X89" s="7" t="s">
        <v>684</v>
      </c>
      <c r="Y89" s="7" t="s">
        <v>107</v>
      </c>
      <c r="Z89" s="7" t="s">
        <v>281</v>
      </c>
      <c r="AA89" s="7" t="s">
        <v>5848</v>
      </c>
      <c r="AB89" s="7">
        <v>3</v>
      </c>
      <c r="AC89" s="7" t="s">
        <v>48</v>
      </c>
      <c r="AD89" s="7" t="s">
        <v>48</v>
      </c>
      <c r="AE89" s="7" t="s">
        <v>48</v>
      </c>
      <c r="AF89" s="7" t="s">
        <v>61</v>
      </c>
      <c r="AG89" s="7">
        <v>3461600</v>
      </c>
      <c r="AH89" s="7">
        <v>0</v>
      </c>
      <c r="AI89" s="7"/>
      <c r="AJ89" s="7"/>
      <c r="AK89" s="10"/>
      <c r="AL89" t="e">
        <v>#N/A</v>
      </c>
      <c r="AM89">
        <v>0</v>
      </c>
    </row>
    <row r="90" spans="1:39" hidden="1" x14ac:dyDescent="0.25">
      <c r="A90" s="4">
        <v>467</v>
      </c>
      <c r="B90" s="5" t="s">
        <v>37</v>
      </c>
      <c r="C90" s="5" t="s">
        <v>5849</v>
      </c>
      <c r="D90" s="5" t="s">
        <v>4811</v>
      </c>
      <c r="E90" s="5" t="s">
        <v>40</v>
      </c>
      <c r="F90" s="5" t="s">
        <v>446</v>
      </c>
      <c r="G90" s="5" t="s">
        <v>5850</v>
      </c>
      <c r="H90" s="5" t="s">
        <v>188</v>
      </c>
      <c r="I90" s="5" t="s">
        <v>5851</v>
      </c>
      <c r="J90" s="5" t="s">
        <v>5852</v>
      </c>
      <c r="K90" s="5" t="s">
        <v>5853</v>
      </c>
      <c r="L90" s="5" t="s">
        <v>5854</v>
      </c>
      <c r="M90" s="5" t="s">
        <v>5855</v>
      </c>
      <c r="N90" s="5">
        <v>74872</v>
      </c>
      <c r="O90" s="5">
        <v>2675000</v>
      </c>
      <c r="P90" s="5" t="s">
        <v>5856</v>
      </c>
      <c r="Q90" s="11">
        <v>45568</v>
      </c>
      <c r="R90" s="5" t="s">
        <v>5857</v>
      </c>
      <c r="S90" s="5" t="s">
        <v>5858</v>
      </c>
      <c r="T90" s="5" t="s">
        <v>51</v>
      </c>
      <c r="U90" s="5" t="s">
        <v>48</v>
      </c>
      <c r="V90" s="5" t="s">
        <v>416</v>
      </c>
      <c r="W90" s="5" t="s">
        <v>53</v>
      </c>
      <c r="X90" s="5" t="s">
        <v>267</v>
      </c>
      <c r="Y90" s="5" t="s">
        <v>966</v>
      </c>
      <c r="Z90" s="5" t="s">
        <v>5859</v>
      </c>
      <c r="AA90" s="5" t="s">
        <v>5860</v>
      </c>
      <c r="AB90" s="5">
        <v>3</v>
      </c>
      <c r="AC90" s="5" t="s">
        <v>58</v>
      </c>
      <c r="AD90" s="5" t="s">
        <v>5861</v>
      </c>
      <c r="AE90" s="5" t="s">
        <v>987</v>
      </c>
      <c r="AF90" s="5" t="s">
        <v>61</v>
      </c>
      <c r="AG90" s="5">
        <v>2140000</v>
      </c>
      <c r="AH90" s="5">
        <v>0</v>
      </c>
      <c r="AI90" s="5"/>
      <c r="AJ90" s="5"/>
      <c r="AK90" s="9"/>
      <c r="AL90" t="s">
        <v>514</v>
      </c>
      <c r="AM90">
        <v>0</v>
      </c>
    </row>
    <row r="91" spans="1:39" hidden="1" x14ac:dyDescent="0.25">
      <c r="A91" s="6">
        <v>468</v>
      </c>
      <c r="B91" s="7" t="s">
        <v>37</v>
      </c>
      <c r="C91" s="7" t="s">
        <v>5862</v>
      </c>
      <c r="D91" s="7" t="s">
        <v>4811</v>
      </c>
      <c r="E91" s="7" t="s">
        <v>40</v>
      </c>
      <c r="F91" s="7" t="s">
        <v>63</v>
      </c>
      <c r="G91" s="7" t="s">
        <v>5863</v>
      </c>
      <c r="H91" s="7" t="s">
        <v>3346</v>
      </c>
      <c r="I91" s="7" t="s">
        <v>5864</v>
      </c>
      <c r="J91" s="7" t="s">
        <v>5865</v>
      </c>
      <c r="K91" s="7" t="s">
        <v>48</v>
      </c>
      <c r="L91" s="7" t="s">
        <v>438</v>
      </c>
      <c r="M91" s="7" t="s">
        <v>5866</v>
      </c>
      <c r="N91" s="7">
        <v>55023</v>
      </c>
      <c r="O91" s="7">
        <v>1975000</v>
      </c>
      <c r="P91" s="7" t="s">
        <v>5867</v>
      </c>
      <c r="Q91" s="12">
        <v>45568</v>
      </c>
      <c r="R91" s="7" t="s">
        <v>5868</v>
      </c>
      <c r="S91" s="7" t="s">
        <v>5869</v>
      </c>
      <c r="T91" s="7" t="s">
        <v>51</v>
      </c>
      <c r="U91" s="7" t="s">
        <v>48</v>
      </c>
      <c r="V91" s="7" t="s">
        <v>581</v>
      </c>
      <c r="W91" s="7" t="s">
        <v>53</v>
      </c>
      <c r="X91" s="7" t="s">
        <v>5870</v>
      </c>
      <c r="Y91" s="7" t="s">
        <v>137</v>
      </c>
      <c r="Z91" s="7" t="s">
        <v>242</v>
      </c>
      <c r="AA91" s="7" t="s">
        <v>5871</v>
      </c>
      <c r="AB91" s="7">
        <v>3</v>
      </c>
      <c r="AC91" s="7" t="s">
        <v>58</v>
      </c>
      <c r="AD91" s="7" t="s">
        <v>5872</v>
      </c>
      <c r="AE91" s="7" t="s">
        <v>96</v>
      </c>
      <c r="AF91" s="7" t="s">
        <v>61</v>
      </c>
      <c r="AG91" s="7">
        <v>1580000</v>
      </c>
      <c r="AH91" s="7">
        <v>0</v>
      </c>
      <c r="AI91" s="7"/>
      <c r="AJ91" s="7"/>
      <c r="AK91" s="10"/>
      <c r="AL91" t="e">
        <v>#N/A</v>
      </c>
      <c r="AM91">
        <v>0</v>
      </c>
    </row>
    <row r="92" spans="1:39" hidden="1" x14ac:dyDescent="0.25">
      <c r="A92" s="4">
        <v>469</v>
      </c>
      <c r="B92" s="5" t="s">
        <v>37</v>
      </c>
      <c r="C92" s="5" t="s">
        <v>5873</v>
      </c>
      <c r="D92" s="5" t="s">
        <v>4811</v>
      </c>
      <c r="E92" s="5" t="s">
        <v>40</v>
      </c>
      <c r="F92" s="5" t="s">
        <v>5874</v>
      </c>
      <c r="G92" s="5" t="s">
        <v>5875</v>
      </c>
      <c r="H92" s="5" t="s">
        <v>188</v>
      </c>
      <c r="I92" s="5" t="s">
        <v>5876</v>
      </c>
      <c r="J92" s="5" t="s">
        <v>5877</v>
      </c>
      <c r="K92" s="5" t="s">
        <v>5877</v>
      </c>
      <c r="L92" s="5" t="s">
        <v>438</v>
      </c>
      <c r="M92" s="5" t="s">
        <v>5878</v>
      </c>
      <c r="N92" s="5">
        <v>216438</v>
      </c>
      <c r="O92" s="5">
        <v>8230000</v>
      </c>
      <c r="P92" s="5" t="s">
        <v>5879</v>
      </c>
      <c r="Q92" s="5" t="s">
        <v>5880</v>
      </c>
      <c r="R92" s="5" t="s">
        <v>5881</v>
      </c>
      <c r="S92" s="5" t="s">
        <v>5882</v>
      </c>
      <c r="T92" s="5" t="s">
        <v>51</v>
      </c>
      <c r="U92" s="5" t="s">
        <v>48</v>
      </c>
      <c r="V92" s="5" t="s">
        <v>5883</v>
      </c>
      <c r="W92" s="5" t="s">
        <v>74</v>
      </c>
      <c r="X92" s="11">
        <v>45164</v>
      </c>
      <c r="Y92" s="5" t="s">
        <v>75</v>
      </c>
      <c r="Z92" s="5" t="s">
        <v>281</v>
      </c>
      <c r="AA92" s="5" t="s">
        <v>5884</v>
      </c>
      <c r="AB92" s="5">
        <v>1</v>
      </c>
      <c r="AC92" s="5" t="s">
        <v>78</v>
      </c>
      <c r="AD92" s="5" t="s">
        <v>5885</v>
      </c>
      <c r="AE92" s="5" t="s">
        <v>5886</v>
      </c>
      <c r="AF92" s="5" t="s">
        <v>155</v>
      </c>
      <c r="AG92" s="5">
        <v>6584000</v>
      </c>
      <c r="AH92" s="5">
        <v>0</v>
      </c>
      <c r="AI92" s="5"/>
      <c r="AJ92" s="5"/>
      <c r="AK92" s="9"/>
      <c r="AL92" t="e">
        <v>#N/A</v>
      </c>
      <c r="AM92">
        <v>0</v>
      </c>
    </row>
    <row r="93" spans="1:39" hidden="1" x14ac:dyDescent="0.25">
      <c r="A93" s="4">
        <v>9</v>
      </c>
      <c r="B93" s="5" t="s">
        <v>37</v>
      </c>
      <c r="C93" s="5" t="s">
        <v>169</v>
      </c>
      <c r="D93" s="5" t="s">
        <v>39</v>
      </c>
      <c r="E93" s="5" t="s">
        <v>40</v>
      </c>
      <c r="F93" s="5" t="s">
        <v>170</v>
      </c>
      <c r="G93" s="5" t="s">
        <v>171</v>
      </c>
      <c r="H93" s="5" t="s">
        <v>172</v>
      </c>
      <c r="I93" s="5" t="s">
        <v>173</v>
      </c>
      <c r="J93" s="5" t="s">
        <v>174</v>
      </c>
      <c r="K93" s="5" t="s">
        <v>174</v>
      </c>
      <c r="L93" s="5" t="s">
        <v>174</v>
      </c>
      <c r="M93" s="5" t="s">
        <v>175</v>
      </c>
      <c r="N93" s="5">
        <v>174347</v>
      </c>
      <c r="O93" s="5">
        <v>2455000</v>
      </c>
      <c r="P93" s="5" t="s">
        <v>176</v>
      </c>
      <c r="Q93" s="11">
        <v>45568</v>
      </c>
      <c r="R93" s="5" t="s">
        <v>177</v>
      </c>
      <c r="S93" s="5" t="s">
        <v>178</v>
      </c>
      <c r="T93" s="5" t="s">
        <v>51</v>
      </c>
      <c r="U93" s="5" t="s">
        <v>48</v>
      </c>
      <c r="V93" s="5" t="s">
        <v>179</v>
      </c>
      <c r="W93" s="5" t="s">
        <v>53</v>
      </c>
      <c r="X93" s="5" t="s">
        <v>180</v>
      </c>
      <c r="Y93" s="5" t="s">
        <v>152</v>
      </c>
      <c r="Z93" s="5" t="s">
        <v>181</v>
      </c>
      <c r="AA93" s="5" t="s">
        <v>182</v>
      </c>
      <c r="AB93" s="5">
        <v>3</v>
      </c>
      <c r="AC93" s="5" t="s">
        <v>78</v>
      </c>
      <c r="AD93" s="5" t="s">
        <v>183</v>
      </c>
      <c r="AE93" s="5" t="s">
        <v>141</v>
      </c>
      <c r="AF93" s="5" t="s">
        <v>61</v>
      </c>
      <c r="AG93" s="5">
        <v>1964000</v>
      </c>
      <c r="AH93" s="5">
        <v>0</v>
      </c>
      <c r="AI93" s="5"/>
      <c r="AJ93" s="5"/>
      <c r="AK93" s="9"/>
      <c r="AL93" t="e">
        <v>#N/A</v>
      </c>
      <c r="AM93">
        <v>0</v>
      </c>
    </row>
    <row r="94" spans="1:39" hidden="1" x14ac:dyDescent="0.25">
      <c r="A94" s="6">
        <v>13</v>
      </c>
      <c r="B94" s="7" t="s">
        <v>37</v>
      </c>
      <c r="C94" s="7" t="s">
        <v>230</v>
      </c>
      <c r="D94" s="7" t="s">
        <v>39</v>
      </c>
      <c r="E94" s="7" t="s">
        <v>40</v>
      </c>
      <c r="F94" s="7" t="s">
        <v>231</v>
      </c>
      <c r="G94" s="7" t="s">
        <v>232</v>
      </c>
      <c r="H94" s="7" t="s">
        <v>233</v>
      </c>
      <c r="I94" s="7" t="s">
        <v>234</v>
      </c>
      <c r="J94" s="7" t="s">
        <v>235</v>
      </c>
      <c r="K94" s="7" t="s">
        <v>235</v>
      </c>
      <c r="L94" s="7" t="s">
        <v>235</v>
      </c>
      <c r="M94" s="7" t="s">
        <v>236</v>
      </c>
      <c r="N94" s="7">
        <v>49084</v>
      </c>
      <c r="O94" s="7">
        <v>2645000</v>
      </c>
      <c r="P94" s="7" t="s">
        <v>237</v>
      </c>
      <c r="Q94" s="12">
        <v>45569</v>
      </c>
      <c r="R94" s="7" t="s">
        <v>238</v>
      </c>
      <c r="S94" s="7" t="s">
        <v>239</v>
      </c>
      <c r="T94" s="7" t="s">
        <v>51</v>
      </c>
      <c r="U94" s="7" t="s">
        <v>48</v>
      </c>
      <c r="V94" s="7" t="s">
        <v>240</v>
      </c>
      <c r="W94" s="7" t="s">
        <v>53</v>
      </c>
      <c r="X94" s="7" t="s">
        <v>241</v>
      </c>
      <c r="Y94" s="7" t="s">
        <v>137</v>
      </c>
      <c r="Z94" s="7" t="s">
        <v>242</v>
      </c>
      <c r="AA94" s="7" t="s">
        <v>243</v>
      </c>
      <c r="AB94" s="7">
        <v>3</v>
      </c>
      <c r="AC94" s="7" t="s">
        <v>78</v>
      </c>
      <c r="AD94" s="7" t="s">
        <v>244</v>
      </c>
      <c r="AE94" s="7" t="s">
        <v>141</v>
      </c>
      <c r="AF94" s="7" t="s">
        <v>61</v>
      </c>
      <c r="AG94" s="7">
        <v>2116000</v>
      </c>
      <c r="AH94" s="7">
        <v>0</v>
      </c>
      <c r="AI94" s="7"/>
      <c r="AJ94" s="7"/>
      <c r="AK94" s="10"/>
      <c r="AL94" t="e">
        <v>#N/A</v>
      </c>
      <c r="AM94">
        <v>0</v>
      </c>
    </row>
    <row r="95" spans="1:39" hidden="1" x14ac:dyDescent="0.25">
      <c r="A95" s="4">
        <v>16</v>
      </c>
      <c r="B95" s="5" t="s">
        <v>37</v>
      </c>
      <c r="C95" s="5" t="s">
        <v>270</v>
      </c>
      <c r="D95" s="5" t="s">
        <v>39</v>
      </c>
      <c r="E95" s="5" t="s">
        <v>40</v>
      </c>
      <c r="F95" s="5" t="s">
        <v>41</v>
      </c>
      <c r="G95" s="5" t="s">
        <v>271</v>
      </c>
      <c r="H95" s="5" t="s">
        <v>43</v>
      </c>
      <c r="I95" s="5" t="s">
        <v>272</v>
      </c>
      <c r="J95" s="5" t="s">
        <v>273</v>
      </c>
      <c r="K95" s="5" t="s">
        <v>274</v>
      </c>
      <c r="L95" s="5" t="s">
        <v>273</v>
      </c>
      <c r="M95" s="5" t="s">
        <v>275</v>
      </c>
      <c r="N95" s="5">
        <v>161919</v>
      </c>
      <c r="O95" s="5">
        <v>2933000</v>
      </c>
      <c r="P95" s="5" t="s">
        <v>276</v>
      </c>
      <c r="Q95" s="11">
        <v>45569</v>
      </c>
      <c r="R95" s="5" t="s">
        <v>277</v>
      </c>
      <c r="S95" s="5" t="s">
        <v>278</v>
      </c>
      <c r="T95" s="5" t="s">
        <v>51</v>
      </c>
      <c r="U95" s="5" t="s">
        <v>48</v>
      </c>
      <c r="V95" s="5" t="s">
        <v>279</v>
      </c>
      <c r="W95" s="5" t="s">
        <v>53</v>
      </c>
      <c r="X95" s="5" t="s">
        <v>280</v>
      </c>
      <c r="Y95" s="5" t="s">
        <v>107</v>
      </c>
      <c r="Z95" s="5" t="s">
        <v>281</v>
      </c>
      <c r="AA95" s="5" t="s">
        <v>282</v>
      </c>
      <c r="AB95" s="5">
        <v>3</v>
      </c>
      <c r="AC95" s="5" t="s">
        <v>78</v>
      </c>
      <c r="AD95" s="5" t="s">
        <v>283</v>
      </c>
      <c r="AE95" s="5" t="s">
        <v>168</v>
      </c>
      <c r="AF95" s="5" t="s">
        <v>61</v>
      </c>
      <c r="AG95" s="5">
        <v>2346400</v>
      </c>
      <c r="AH95" s="5">
        <v>0</v>
      </c>
      <c r="AI95" s="5"/>
      <c r="AJ95" s="5"/>
      <c r="AK95" s="9"/>
      <c r="AL95" t="e">
        <v>#N/A</v>
      </c>
      <c r="AM95">
        <v>0</v>
      </c>
    </row>
    <row r="96" spans="1:39" hidden="1" x14ac:dyDescent="0.25">
      <c r="A96" s="6">
        <v>26</v>
      </c>
      <c r="B96" s="7" t="s">
        <v>37</v>
      </c>
      <c r="C96" s="7" t="s">
        <v>407</v>
      </c>
      <c r="D96" s="7" t="s">
        <v>39</v>
      </c>
      <c r="E96" s="7" t="s">
        <v>40</v>
      </c>
      <c r="F96" s="7" t="s">
        <v>408</v>
      </c>
      <c r="G96" s="7" t="s">
        <v>409</v>
      </c>
      <c r="H96" s="7" t="s">
        <v>128</v>
      </c>
      <c r="I96" s="7" t="s">
        <v>410</v>
      </c>
      <c r="J96" s="7" t="s">
        <v>48</v>
      </c>
      <c r="K96" s="7" t="s">
        <v>411</v>
      </c>
      <c r="L96" s="7" t="s">
        <v>48</v>
      </c>
      <c r="M96" s="7" t="s">
        <v>412</v>
      </c>
      <c r="N96" s="7">
        <v>190306</v>
      </c>
      <c r="O96" s="7">
        <v>2669000</v>
      </c>
      <c r="P96" s="7" t="s">
        <v>413</v>
      </c>
      <c r="Q96" s="12">
        <v>45570</v>
      </c>
      <c r="R96" s="7" t="s">
        <v>414</v>
      </c>
      <c r="S96" s="7" t="s">
        <v>415</v>
      </c>
      <c r="T96" s="7" t="s">
        <v>51</v>
      </c>
      <c r="U96" s="7" t="s">
        <v>48</v>
      </c>
      <c r="V96" s="7" t="s">
        <v>416</v>
      </c>
      <c r="W96" s="7" t="s">
        <v>53</v>
      </c>
      <c r="X96" s="7" t="s">
        <v>417</v>
      </c>
      <c r="Y96" s="7" t="s">
        <v>137</v>
      </c>
      <c r="Z96" s="7" t="s">
        <v>242</v>
      </c>
      <c r="AA96" s="7" t="s">
        <v>418</v>
      </c>
      <c r="AB96" s="7">
        <v>3</v>
      </c>
      <c r="AC96" s="7" t="s">
        <v>78</v>
      </c>
      <c r="AD96" s="7" t="s">
        <v>419</v>
      </c>
      <c r="AE96" s="7" t="s">
        <v>141</v>
      </c>
      <c r="AF96" s="7" t="s">
        <v>61</v>
      </c>
      <c r="AG96" s="7">
        <v>2135200</v>
      </c>
      <c r="AH96" s="7">
        <v>0</v>
      </c>
      <c r="AI96" s="7"/>
      <c r="AJ96" s="7"/>
      <c r="AK96" s="10"/>
      <c r="AL96" t="e">
        <v>#N/A</v>
      </c>
      <c r="AM96">
        <v>0</v>
      </c>
    </row>
    <row r="97" spans="1:39" hidden="1" x14ac:dyDescent="0.25">
      <c r="A97" s="4">
        <v>40</v>
      </c>
      <c r="B97" s="5" t="s">
        <v>37</v>
      </c>
      <c r="C97" s="5" t="s">
        <v>598</v>
      </c>
      <c r="D97" s="5" t="s">
        <v>39</v>
      </c>
      <c r="E97" s="5" t="s">
        <v>40</v>
      </c>
      <c r="F97" s="5" t="s">
        <v>483</v>
      </c>
      <c r="G97" s="5" t="s">
        <v>599</v>
      </c>
      <c r="H97" s="5" t="s">
        <v>233</v>
      </c>
      <c r="I97" s="5" t="s">
        <v>600</v>
      </c>
      <c r="J97" s="5" t="s">
        <v>601</v>
      </c>
      <c r="K97" s="5" t="s">
        <v>601</v>
      </c>
      <c r="L97" s="5" t="s">
        <v>601</v>
      </c>
      <c r="M97" s="5" t="s">
        <v>602</v>
      </c>
      <c r="N97" s="5">
        <v>137113</v>
      </c>
      <c r="O97" s="5">
        <v>2703000</v>
      </c>
      <c r="P97" s="5" t="s">
        <v>603</v>
      </c>
      <c r="Q97" s="11">
        <v>45571</v>
      </c>
      <c r="R97" s="5" t="s">
        <v>604</v>
      </c>
      <c r="S97" s="5" t="s">
        <v>605</v>
      </c>
      <c r="T97" s="5" t="s">
        <v>51</v>
      </c>
      <c r="U97" s="5" t="s">
        <v>48</v>
      </c>
      <c r="V97" s="5" t="s">
        <v>606</v>
      </c>
      <c r="W97" s="5" t="s">
        <v>53</v>
      </c>
      <c r="X97" s="5" t="s">
        <v>91</v>
      </c>
      <c r="Y97" s="5" t="s">
        <v>137</v>
      </c>
      <c r="Z97" s="5" t="s">
        <v>242</v>
      </c>
      <c r="AA97" s="5" t="s">
        <v>607</v>
      </c>
      <c r="AB97" s="5">
        <v>3</v>
      </c>
      <c r="AC97" s="5" t="s">
        <v>58</v>
      </c>
      <c r="AD97" s="5" t="s">
        <v>608</v>
      </c>
      <c r="AE97" s="5" t="s">
        <v>481</v>
      </c>
      <c r="AF97" s="5" t="s">
        <v>61</v>
      </c>
      <c r="AG97" s="5">
        <v>2162400</v>
      </c>
      <c r="AH97" s="5">
        <v>0</v>
      </c>
      <c r="AI97" s="5"/>
      <c r="AJ97" s="5"/>
      <c r="AK97" s="9"/>
      <c r="AL97" t="e">
        <v>#N/A</v>
      </c>
      <c r="AM97">
        <v>0</v>
      </c>
    </row>
    <row r="98" spans="1:39" hidden="1" x14ac:dyDescent="0.25">
      <c r="A98" s="6">
        <v>45</v>
      </c>
      <c r="B98" s="7" t="s">
        <v>37</v>
      </c>
      <c r="C98" s="7" t="s">
        <v>658</v>
      </c>
      <c r="D98" s="7" t="s">
        <v>39</v>
      </c>
      <c r="E98" s="7" t="s">
        <v>40</v>
      </c>
      <c r="F98" s="7" t="s">
        <v>659</v>
      </c>
      <c r="G98" s="7" t="s">
        <v>660</v>
      </c>
      <c r="H98" s="7" t="s">
        <v>83</v>
      </c>
      <c r="I98" s="7" t="s">
        <v>661</v>
      </c>
      <c r="J98" s="7" t="s">
        <v>662</v>
      </c>
      <c r="K98" s="7" t="s">
        <v>662</v>
      </c>
      <c r="L98" s="7" t="s">
        <v>662</v>
      </c>
      <c r="M98" s="7" t="s">
        <v>663</v>
      </c>
      <c r="N98" s="7">
        <v>447729</v>
      </c>
      <c r="O98" s="7">
        <v>4200000</v>
      </c>
      <c r="P98" s="7" t="s">
        <v>664</v>
      </c>
      <c r="Q98" s="12">
        <v>45571</v>
      </c>
      <c r="R98" s="7" t="s">
        <v>665</v>
      </c>
      <c r="S98" s="7" t="s">
        <v>666</v>
      </c>
      <c r="T98" s="7" t="s">
        <v>196</v>
      </c>
      <c r="U98" s="7" t="s">
        <v>667</v>
      </c>
      <c r="V98" s="7" t="s">
        <v>551</v>
      </c>
      <c r="W98" s="7" t="s">
        <v>53</v>
      </c>
      <c r="X98" s="7" t="s">
        <v>668</v>
      </c>
      <c r="Y98" s="7" t="s">
        <v>669</v>
      </c>
      <c r="Z98" s="7" t="s">
        <v>242</v>
      </c>
      <c r="AA98" s="7" t="s">
        <v>670</v>
      </c>
      <c r="AB98" s="7">
        <v>2</v>
      </c>
      <c r="AC98" s="7" t="s">
        <v>556</v>
      </c>
      <c r="AD98" s="7" t="s">
        <v>671</v>
      </c>
      <c r="AE98" s="7" t="s">
        <v>672</v>
      </c>
      <c r="AF98" s="7" t="s">
        <v>155</v>
      </c>
      <c r="AG98" s="7">
        <v>3360000</v>
      </c>
      <c r="AH98" s="7">
        <v>0</v>
      </c>
      <c r="AI98" s="7"/>
      <c r="AJ98" s="7"/>
      <c r="AK98" s="10"/>
      <c r="AL98" t="e">
        <v>#N/A</v>
      </c>
      <c r="AM98">
        <v>0</v>
      </c>
    </row>
    <row r="99" spans="1:39" hidden="1" x14ac:dyDescent="0.25">
      <c r="A99" s="4">
        <v>61</v>
      </c>
      <c r="B99" s="5" t="s">
        <v>37</v>
      </c>
      <c r="C99" s="5" t="s">
        <v>867</v>
      </c>
      <c r="D99" s="5" t="s">
        <v>39</v>
      </c>
      <c r="E99" s="5" t="s">
        <v>40</v>
      </c>
      <c r="F99" s="5" t="s">
        <v>868</v>
      </c>
      <c r="G99" s="5" t="s">
        <v>869</v>
      </c>
      <c r="H99" s="5" t="s">
        <v>128</v>
      </c>
      <c r="I99" s="5" t="s">
        <v>870</v>
      </c>
      <c r="J99" s="5" t="s">
        <v>871</v>
      </c>
      <c r="K99" s="5" t="s">
        <v>48</v>
      </c>
      <c r="L99" s="5" t="s">
        <v>872</v>
      </c>
      <c r="M99" s="5" t="s">
        <v>873</v>
      </c>
      <c r="N99" s="5">
        <v>148116</v>
      </c>
      <c r="O99" s="5">
        <v>4022000</v>
      </c>
      <c r="P99" s="5" t="s">
        <v>874</v>
      </c>
      <c r="Q99" s="11">
        <v>45575</v>
      </c>
      <c r="R99" s="5" t="s">
        <v>875</v>
      </c>
      <c r="S99" s="5" t="s">
        <v>876</v>
      </c>
      <c r="T99" s="5" t="s">
        <v>51</v>
      </c>
      <c r="U99" s="5" t="s">
        <v>48</v>
      </c>
      <c r="V99" s="5" t="s">
        <v>877</v>
      </c>
      <c r="W99" s="5" t="s">
        <v>53</v>
      </c>
      <c r="X99" s="5" t="s">
        <v>878</v>
      </c>
      <c r="Y99" s="5" t="s">
        <v>92</v>
      </c>
      <c r="Z99" s="5" t="s">
        <v>879</v>
      </c>
      <c r="AA99" s="5" t="s">
        <v>880</v>
      </c>
      <c r="AB99" s="5">
        <v>3</v>
      </c>
      <c r="AC99" s="5" t="s">
        <v>78</v>
      </c>
      <c r="AD99" s="5" t="s">
        <v>881</v>
      </c>
      <c r="AE99" s="5" t="s">
        <v>406</v>
      </c>
      <c r="AF99" s="5" t="s">
        <v>882</v>
      </c>
      <c r="AG99" s="5">
        <v>3217600</v>
      </c>
      <c r="AH99" s="5">
        <v>0</v>
      </c>
      <c r="AI99" s="5"/>
      <c r="AJ99" s="5"/>
      <c r="AK99" s="9"/>
      <c r="AL99" t="e">
        <v>#N/A</v>
      </c>
      <c r="AM99">
        <v>0</v>
      </c>
    </row>
    <row r="100" spans="1:39" hidden="1" x14ac:dyDescent="0.25">
      <c r="A100" s="6">
        <v>74</v>
      </c>
      <c r="B100" s="7" t="s">
        <v>37</v>
      </c>
      <c r="C100" s="7" t="s">
        <v>1043</v>
      </c>
      <c r="D100" s="7" t="s">
        <v>39</v>
      </c>
      <c r="E100" s="7" t="s">
        <v>40</v>
      </c>
      <c r="F100" s="7" t="s">
        <v>1044</v>
      </c>
      <c r="G100" s="7" t="s">
        <v>1045</v>
      </c>
      <c r="H100" s="7" t="s">
        <v>43</v>
      </c>
      <c r="I100" s="7" t="s">
        <v>1046</v>
      </c>
      <c r="J100" s="7" t="s">
        <v>48</v>
      </c>
      <c r="K100" s="7" t="s">
        <v>1047</v>
      </c>
      <c r="L100" s="7" t="s">
        <v>1048</v>
      </c>
      <c r="M100" s="7" t="s">
        <v>1049</v>
      </c>
      <c r="N100" s="7">
        <v>79624</v>
      </c>
      <c r="O100" s="7">
        <v>1461000</v>
      </c>
      <c r="P100" s="7" t="s">
        <v>1050</v>
      </c>
      <c r="Q100" s="12">
        <v>45591</v>
      </c>
      <c r="R100" s="7" t="s">
        <v>1051</v>
      </c>
      <c r="S100" s="7" t="s">
        <v>1052</v>
      </c>
      <c r="T100" s="7" t="s">
        <v>51</v>
      </c>
      <c r="U100" s="7" t="s">
        <v>1053</v>
      </c>
      <c r="V100" s="7" t="s">
        <v>1039</v>
      </c>
      <c r="W100" s="7" t="s">
        <v>1054</v>
      </c>
      <c r="X100" s="7" t="s">
        <v>1055</v>
      </c>
      <c r="Y100" s="7" t="s">
        <v>1056</v>
      </c>
      <c r="Z100" s="7" t="s">
        <v>1057</v>
      </c>
      <c r="AA100" s="7" t="s">
        <v>1058</v>
      </c>
      <c r="AB100" s="7">
        <v>4</v>
      </c>
      <c r="AC100" s="7" t="s">
        <v>1059</v>
      </c>
      <c r="AD100" s="7" t="s">
        <v>1060</v>
      </c>
      <c r="AE100" s="7" t="s">
        <v>1056</v>
      </c>
      <c r="AF100" s="7" t="s">
        <v>1061</v>
      </c>
      <c r="AG100" s="7">
        <v>1168800</v>
      </c>
      <c r="AH100" s="7">
        <v>0</v>
      </c>
      <c r="AI100" s="7" t="s">
        <v>1062</v>
      </c>
      <c r="AJ100" s="7" t="s">
        <v>1063</v>
      </c>
      <c r="AK100" s="10"/>
      <c r="AL100" t="e">
        <v>#N/A</v>
      </c>
      <c r="AM100">
        <v>0</v>
      </c>
    </row>
    <row r="101" spans="1:39" hidden="1" x14ac:dyDescent="0.25">
      <c r="A101" s="4">
        <v>76</v>
      </c>
      <c r="B101" s="5" t="s">
        <v>37</v>
      </c>
      <c r="C101" s="5" t="s">
        <v>1081</v>
      </c>
      <c r="D101" s="5" t="s">
        <v>39</v>
      </c>
      <c r="E101" s="5" t="s">
        <v>40</v>
      </c>
      <c r="F101" s="5" t="s">
        <v>715</v>
      </c>
      <c r="G101" s="5" t="s">
        <v>1082</v>
      </c>
      <c r="H101" s="5" t="s">
        <v>83</v>
      </c>
      <c r="I101" s="5" t="s">
        <v>1083</v>
      </c>
      <c r="J101" s="5" t="s">
        <v>1084</v>
      </c>
      <c r="K101" s="5" t="s">
        <v>1084</v>
      </c>
      <c r="L101" s="5" t="s">
        <v>1084</v>
      </c>
      <c r="M101" s="5" t="s">
        <v>1085</v>
      </c>
      <c r="N101" s="5">
        <v>316380</v>
      </c>
      <c r="O101" s="5">
        <v>2783000</v>
      </c>
      <c r="P101" s="5" t="s">
        <v>1086</v>
      </c>
      <c r="Q101" s="11">
        <v>45573</v>
      </c>
      <c r="R101" s="5" t="s">
        <v>1087</v>
      </c>
      <c r="S101" s="5" t="s">
        <v>1088</v>
      </c>
      <c r="T101" s="5" t="s">
        <v>51</v>
      </c>
      <c r="U101" s="5" t="s">
        <v>1089</v>
      </c>
      <c r="V101" s="5" t="s">
        <v>1090</v>
      </c>
      <c r="W101" s="5" t="s">
        <v>536</v>
      </c>
      <c r="X101" s="5" t="s">
        <v>1091</v>
      </c>
      <c r="Y101" s="5" t="s">
        <v>1075</v>
      </c>
      <c r="Z101" s="5" t="s">
        <v>281</v>
      </c>
      <c r="AA101" s="5" t="s">
        <v>1092</v>
      </c>
      <c r="AB101" s="5">
        <v>5</v>
      </c>
      <c r="AC101" s="5" t="s">
        <v>556</v>
      </c>
      <c r="AD101" s="5" t="s">
        <v>1093</v>
      </c>
      <c r="AE101" s="5" t="s">
        <v>1078</v>
      </c>
      <c r="AF101" s="5" t="s">
        <v>1079</v>
      </c>
      <c r="AG101" s="5">
        <v>2226400</v>
      </c>
      <c r="AH101" s="5">
        <v>0</v>
      </c>
      <c r="AI101" s="5" t="s">
        <v>1094</v>
      </c>
      <c r="AJ101" s="5" t="s">
        <v>1063</v>
      </c>
      <c r="AK101" s="9"/>
      <c r="AL101" t="e">
        <v>#N/A</v>
      </c>
      <c r="AM101">
        <v>0</v>
      </c>
    </row>
    <row r="102" spans="1:39" hidden="1" x14ac:dyDescent="0.25">
      <c r="A102" s="6">
        <v>77</v>
      </c>
      <c r="B102" s="7" t="s">
        <v>37</v>
      </c>
      <c r="C102" s="7" t="s">
        <v>1095</v>
      </c>
      <c r="D102" s="7" t="s">
        <v>39</v>
      </c>
      <c r="E102" s="7" t="s">
        <v>40</v>
      </c>
      <c r="F102" s="7" t="s">
        <v>1096</v>
      </c>
      <c r="G102" s="7" t="s">
        <v>1097</v>
      </c>
      <c r="H102" s="7" t="s">
        <v>188</v>
      </c>
      <c r="I102" s="7" t="s">
        <v>1098</v>
      </c>
      <c r="J102" s="7" t="s">
        <v>48</v>
      </c>
      <c r="K102" s="7" t="s">
        <v>1099</v>
      </c>
      <c r="L102" s="7" t="s">
        <v>48</v>
      </c>
      <c r="M102" s="7" t="s">
        <v>1100</v>
      </c>
      <c r="N102" s="7">
        <v>66034</v>
      </c>
      <c r="O102" s="7">
        <v>840000</v>
      </c>
      <c r="P102" s="7" t="s">
        <v>1101</v>
      </c>
      <c r="Q102" s="12">
        <v>45595</v>
      </c>
      <c r="R102" s="7" t="s">
        <v>1102</v>
      </c>
      <c r="S102" s="7" t="s">
        <v>1103</v>
      </c>
      <c r="T102" s="7" t="s">
        <v>196</v>
      </c>
      <c r="U102" s="7" t="s">
        <v>1104</v>
      </c>
      <c r="V102" s="7" t="s">
        <v>1105</v>
      </c>
      <c r="W102" s="7" t="s">
        <v>1106</v>
      </c>
      <c r="X102" s="7" t="s">
        <v>1107</v>
      </c>
      <c r="Y102" s="7" t="s">
        <v>1108</v>
      </c>
      <c r="Z102" s="7" t="s">
        <v>1109</v>
      </c>
      <c r="AA102" s="7" t="s">
        <v>1110</v>
      </c>
      <c r="AB102" s="7">
        <v>4</v>
      </c>
      <c r="AC102" s="7" t="s">
        <v>78</v>
      </c>
      <c r="AD102" s="7" t="s">
        <v>1111</v>
      </c>
      <c r="AE102" s="7" t="s">
        <v>1112</v>
      </c>
      <c r="AF102" s="7" t="s">
        <v>1061</v>
      </c>
      <c r="AG102" s="7">
        <v>672000</v>
      </c>
      <c r="AH102" s="7">
        <v>0</v>
      </c>
      <c r="AI102" s="7" t="s">
        <v>1113</v>
      </c>
      <c r="AJ102" s="7" t="s">
        <v>1063</v>
      </c>
      <c r="AK102" s="10"/>
      <c r="AL102" t="e">
        <v>#N/A</v>
      </c>
      <c r="AM102">
        <v>0</v>
      </c>
    </row>
    <row r="103" spans="1:39" hidden="1" x14ac:dyDescent="0.25">
      <c r="A103" s="4">
        <v>78</v>
      </c>
      <c r="B103" s="5" t="s">
        <v>37</v>
      </c>
      <c r="C103" s="5" t="s">
        <v>1114</v>
      </c>
      <c r="D103" s="5" t="s">
        <v>39</v>
      </c>
      <c r="E103" s="5" t="s">
        <v>40</v>
      </c>
      <c r="F103" s="5" t="s">
        <v>1115</v>
      </c>
      <c r="G103" s="5" t="s">
        <v>1116</v>
      </c>
      <c r="H103" s="5" t="s">
        <v>83</v>
      </c>
      <c r="I103" s="5" t="s">
        <v>1117</v>
      </c>
      <c r="J103" s="5" t="s">
        <v>1118</v>
      </c>
      <c r="K103" s="5" t="s">
        <v>1119</v>
      </c>
      <c r="L103" s="5" t="s">
        <v>1120</v>
      </c>
      <c r="M103" s="5" t="s">
        <v>1121</v>
      </c>
      <c r="N103" s="5">
        <v>228490</v>
      </c>
      <c r="O103" s="5">
        <v>1518000</v>
      </c>
      <c r="P103" s="5" t="s">
        <v>1122</v>
      </c>
      <c r="Q103" s="11">
        <v>45593</v>
      </c>
      <c r="R103" s="5" t="s">
        <v>1123</v>
      </c>
      <c r="S103" s="5" t="s">
        <v>1124</v>
      </c>
      <c r="T103" s="5" t="s">
        <v>51</v>
      </c>
      <c r="U103" s="5" t="s">
        <v>1125</v>
      </c>
      <c r="V103" s="5" t="s">
        <v>1126</v>
      </c>
      <c r="W103" s="5" t="s">
        <v>536</v>
      </c>
      <c r="X103" s="5" t="s">
        <v>1127</v>
      </c>
      <c r="Y103" s="5" t="s">
        <v>1128</v>
      </c>
      <c r="Z103" s="5" t="s">
        <v>181</v>
      </c>
      <c r="AA103" s="5" t="s">
        <v>1129</v>
      </c>
      <c r="AB103" s="5">
        <v>5</v>
      </c>
      <c r="AC103" s="5" t="s">
        <v>78</v>
      </c>
      <c r="AD103" s="5" t="s">
        <v>1130</v>
      </c>
      <c r="AE103" s="5" t="s">
        <v>1127</v>
      </c>
      <c r="AF103" s="5" t="s">
        <v>1079</v>
      </c>
      <c r="AG103" s="5">
        <v>1214400</v>
      </c>
      <c r="AH103" s="5">
        <v>0</v>
      </c>
      <c r="AI103" s="5" t="s">
        <v>1131</v>
      </c>
      <c r="AJ103" s="5" t="s">
        <v>1063</v>
      </c>
      <c r="AK103" s="9"/>
      <c r="AL103" t="e">
        <v>#N/A</v>
      </c>
      <c r="AM103">
        <v>0</v>
      </c>
    </row>
    <row r="104" spans="1:39" hidden="1" x14ac:dyDescent="0.25">
      <c r="A104" s="6">
        <v>82</v>
      </c>
      <c r="B104" s="7" t="s">
        <v>37</v>
      </c>
      <c r="C104" s="7" t="s">
        <v>1171</v>
      </c>
      <c r="D104" s="7" t="s">
        <v>39</v>
      </c>
      <c r="E104" s="7" t="s">
        <v>40</v>
      </c>
      <c r="F104" s="7" t="s">
        <v>1096</v>
      </c>
      <c r="G104" s="7" t="s">
        <v>1172</v>
      </c>
      <c r="H104" s="7" t="s">
        <v>188</v>
      </c>
      <c r="I104" s="7" t="s">
        <v>1173</v>
      </c>
      <c r="J104" s="7" t="s">
        <v>48</v>
      </c>
      <c r="K104" s="7" t="s">
        <v>1174</v>
      </c>
      <c r="L104" s="7" t="s">
        <v>48</v>
      </c>
      <c r="M104" s="7" t="s">
        <v>1175</v>
      </c>
      <c r="N104" s="7">
        <v>192117</v>
      </c>
      <c r="O104" s="7">
        <v>1080000</v>
      </c>
      <c r="P104" s="7" t="s">
        <v>1176</v>
      </c>
      <c r="Q104" s="12">
        <v>45588</v>
      </c>
      <c r="R104" s="7" t="s">
        <v>1177</v>
      </c>
      <c r="S104" s="7" t="s">
        <v>1178</v>
      </c>
      <c r="T104" s="7" t="s">
        <v>196</v>
      </c>
      <c r="U104" s="7" t="e">
        <v>#N/A</v>
      </c>
      <c r="V104" s="7" t="s">
        <v>1179</v>
      </c>
      <c r="W104" s="7" t="s">
        <v>1180</v>
      </c>
      <c r="X104" s="7" t="s">
        <v>1181</v>
      </c>
      <c r="Y104" s="7" t="s">
        <v>1182</v>
      </c>
      <c r="Z104" s="7" t="s">
        <v>879</v>
      </c>
      <c r="AA104" s="7" t="s">
        <v>1183</v>
      </c>
      <c r="AB104" s="7">
        <v>5</v>
      </c>
      <c r="AC104" s="7" t="s">
        <v>78</v>
      </c>
      <c r="AD104" s="7" t="s">
        <v>1184</v>
      </c>
      <c r="AE104" s="7" t="s">
        <v>1181</v>
      </c>
      <c r="AF104" s="7" t="s">
        <v>1079</v>
      </c>
      <c r="AG104" s="7">
        <v>864000</v>
      </c>
      <c r="AH104" s="7">
        <v>0</v>
      </c>
      <c r="AI104" s="7" t="s">
        <v>1185</v>
      </c>
      <c r="AJ104" s="7" t="s">
        <v>1063</v>
      </c>
      <c r="AK104" s="10"/>
      <c r="AL104" t="e">
        <v>#N/A</v>
      </c>
      <c r="AM104">
        <v>0</v>
      </c>
    </row>
    <row r="105" spans="1:39" hidden="1" x14ac:dyDescent="0.25">
      <c r="A105" s="4">
        <v>88</v>
      </c>
      <c r="B105" s="5" t="s">
        <v>37</v>
      </c>
      <c r="C105" s="5" t="s">
        <v>1243</v>
      </c>
      <c r="D105" s="5" t="s">
        <v>39</v>
      </c>
      <c r="E105" s="5" t="s">
        <v>40</v>
      </c>
      <c r="F105" s="5" t="s">
        <v>789</v>
      </c>
      <c r="G105" s="5" t="s">
        <v>1244</v>
      </c>
      <c r="H105" s="5" t="s">
        <v>83</v>
      </c>
      <c r="I105" s="5" t="s">
        <v>1245</v>
      </c>
      <c r="J105" s="5" t="s">
        <v>1246</v>
      </c>
      <c r="K105" s="5" t="s">
        <v>1246</v>
      </c>
      <c r="L105" s="5" t="s">
        <v>1246</v>
      </c>
      <c r="M105" s="5" t="s">
        <v>1247</v>
      </c>
      <c r="N105" s="5">
        <v>199578</v>
      </c>
      <c r="O105" s="5">
        <v>1400000</v>
      </c>
      <c r="P105" s="5" t="s">
        <v>1248</v>
      </c>
      <c r="Q105" s="11">
        <v>45573</v>
      </c>
      <c r="R105" s="5" t="s">
        <v>1249</v>
      </c>
      <c r="S105" s="5" t="s">
        <v>1250</v>
      </c>
      <c r="T105" s="5" t="s">
        <v>196</v>
      </c>
      <c r="U105" s="5" t="s">
        <v>1251</v>
      </c>
      <c r="V105" s="5" t="s">
        <v>1252</v>
      </c>
      <c r="W105" s="5" t="s">
        <v>1106</v>
      </c>
      <c r="X105" s="5" t="s">
        <v>1091</v>
      </c>
      <c r="Y105" s="5" t="s">
        <v>1075</v>
      </c>
      <c r="Z105" s="5" t="s">
        <v>281</v>
      </c>
      <c r="AA105" s="5" t="s">
        <v>1253</v>
      </c>
      <c r="AB105" s="5">
        <v>5</v>
      </c>
      <c r="AC105" s="5" t="s">
        <v>556</v>
      </c>
      <c r="AD105" s="5" t="s">
        <v>1254</v>
      </c>
      <c r="AE105" s="5" t="s">
        <v>1078</v>
      </c>
      <c r="AF105" s="5" t="s">
        <v>1079</v>
      </c>
      <c r="AG105" s="5">
        <v>1120000</v>
      </c>
      <c r="AH105" s="5">
        <v>0</v>
      </c>
      <c r="AI105" s="5" t="s">
        <v>1255</v>
      </c>
      <c r="AJ105" s="5" t="s">
        <v>1063</v>
      </c>
      <c r="AK105" s="9"/>
      <c r="AL105" t="e">
        <v>#N/A</v>
      </c>
      <c r="AM105">
        <v>0</v>
      </c>
    </row>
    <row r="106" spans="1:39" hidden="1" x14ac:dyDescent="0.25">
      <c r="A106" s="6">
        <v>93</v>
      </c>
      <c r="B106" s="7" t="s">
        <v>37</v>
      </c>
      <c r="C106" s="7" t="s">
        <v>1308</v>
      </c>
      <c r="D106" s="7" t="s">
        <v>39</v>
      </c>
      <c r="E106" s="7" t="s">
        <v>40</v>
      </c>
      <c r="F106" s="7" t="s">
        <v>525</v>
      </c>
      <c r="G106" s="7" t="s">
        <v>1309</v>
      </c>
      <c r="H106" s="7" t="s">
        <v>83</v>
      </c>
      <c r="I106" s="7" t="s">
        <v>1310</v>
      </c>
      <c r="J106" s="7" t="s">
        <v>1311</v>
      </c>
      <c r="K106" s="7" t="s">
        <v>1311</v>
      </c>
      <c r="L106" s="7" t="s">
        <v>1312</v>
      </c>
      <c r="M106" s="7" t="s">
        <v>1313</v>
      </c>
      <c r="N106" s="7">
        <v>193699</v>
      </c>
      <c r="O106" s="7">
        <v>1500000</v>
      </c>
      <c r="P106" s="7" t="s">
        <v>1314</v>
      </c>
      <c r="Q106" s="12">
        <v>45595</v>
      </c>
      <c r="R106" s="7" t="s">
        <v>1315</v>
      </c>
      <c r="S106" s="7" t="s">
        <v>1316</v>
      </c>
      <c r="T106" s="7" t="s">
        <v>196</v>
      </c>
      <c r="U106" s="7" t="s">
        <v>1317</v>
      </c>
      <c r="V106" s="7" t="s">
        <v>1318</v>
      </c>
      <c r="W106" s="7" t="s">
        <v>1319</v>
      </c>
      <c r="X106" s="7" t="s">
        <v>1112</v>
      </c>
      <c r="Y106" s="7" t="s">
        <v>1108</v>
      </c>
      <c r="Z106" s="7" t="s">
        <v>181</v>
      </c>
      <c r="AA106" s="7" t="s">
        <v>1320</v>
      </c>
      <c r="AB106" s="7">
        <v>6</v>
      </c>
      <c r="AC106" s="7" t="s">
        <v>1321</v>
      </c>
      <c r="AD106" s="7" t="s">
        <v>1322</v>
      </c>
      <c r="AE106" s="7" t="s">
        <v>1112</v>
      </c>
      <c r="AF106" s="7" t="s">
        <v>1061</v>
      </c>
      <c r="AG106" s="7">
        <v>1200000</v>
      </c>
      <c r="AH106" s="7">
        <v>0</v>
      </c>
      <c r="AI106" s="7" t="s">
        <v>1323</v>
      </c>
      <c r="AJ106" s="7" t="s">
        <v>1063</v>
      </c>
      <c r="AK106" s="10"/>
      <c r="AL106" t="e">
        <v>#N/A</v>
      </c>
      <c r="AM106">
        <v>0</v>
      </c>
    </row>
    <row r="107" spans="1:39" hidden="1" x14ac:dyDescent="0.25">
      <c r="A107" s="4">
        <v>94</v>
      </c>
      <c r="B107" s="5" t="s">
        <v>37</v>
      </c>
      <c r="C107" s="5" t="s">
        <v>1324</v>
      </c>
      <c r="D107" s="5" t="s">
        <v>39</v>
      </c>
      <c r="E107" s="5" t="s">
        <v>40</v>
      </c>
      <c r="F107" s="5" t="s">
        <v>1325</v>
      </c>
      <c r="G107" s="5" t="s">
        <v>1326</v>
      </c>
      <c r="H107" s="5" t="s">
        <v>83</v>
      </c>
      <c r="I107" s="5" t="s">
        <v>1327</v>
      </c>
      <c r="J107" s="5" t="s">
        <v>1328</v>
      </c>
      <c r="K107" s="5" t="s">
        <v>1328</v>
      </c>
      <c r="L107" s="5" t="s">
        <v>1329</v>
      </c>
      <c r="M107" s="5" t="s">
        <v>1330</v>
      </c>
      <c r="N107" s="5">
        <v>279206</v>
      </c>
      <c r="O107" s="5">
        <v>5390000</v>
      </c>
      <c r="P107" s="5" t="s">
        <v>1331</v>
      </c>
      <c r="Q107" s="11">
        <v>45576</v>
      </c>
      <c r="R107" s="5" t="s">
        <v>1332</v>
      </c>
      <c r="S107" s="5" t="s">
        <v>1333</v>
      </c>
      <c r="T107" s="5" t="s">
        <v>51</v>
      </c>
      <c r="U107" s="5" t="s">
        <v>48</v>
      </c>
      <c r="V107" s="5" t="s">
        <v>1334</v>
      </c>
      <c r="W107" s="5" t="s">
        <v>53</v>
      </c>
      <c r="X107" s="5" t="s">
        <v>1335</v>
      </c>
      <c r="Y107" s="5" t="s">
        <v>152</v>
      </c>
      <c r="Z107" s="5" t="s">
        <v>181</v>
      </c>
      <c r="AA107" s="5" t="s">
        <v>1336</v>
      </c>
      <c r="AB107" s="5">
        <v>3</v>
      </c>
      <c r="AC107" s="5" t="s">
        <v>58</v>
      </c>
      <c r="AD107" s="5" t="s">
        <v>1337</v>
      </c>
      <c r="AE107" s="5" t="s">
        <v>406</v>
      </c>
      <c r="AF107" s="5" t="s">
        <v>155</v>
      </c>
      <c r="AG107" s="5">
        <v>4312000</v>
      </c>
      <c r="AH107" s="5">
        <v>0</v>
      </c>
      <c r="AI107" s="5"/>
      <c r="AJ107" s="5"/>
      <c r="AK107" s="9"/>
      <c r="AL107" t="e">
        <v>#N/A</v>
      </c>
      <c r="AM107">
        <v>0</v>
      </c>
    </row>
    <row r="108" spans="1:39" hidden="1" x14ac:dyDescent="0.25">
      <c r="A108" s="6">
        <v>98</v>
      </c>
      <c r="B108" s="7" t="s">
        <v>37</v>
      </c>
      <c r="C108" s="7" t="s">
        <v>1383</v>
      </c>
      <c r="D108" s="7" t="s">
        <v>39</v>
      </c>
      <c r="E108" s="7" t="s">
        <v>40</v>
      </c>
      <c r="F108" s="7" t="s">
        <v>1384</v>
      </c>
      <c r="G108" s="7" t="s">
        <v>1385</v>
      </c>
      <c r="H108" s="7" t="s">
        <v>83</v>
      </c>
      <c r="I108" s="7" t="s">
        <v>1386</v>
      </c>
      <c r="J108" s="7" t="s">
        <v>1387</v>
      </c>
      <c r="K108" s="7" t="s">
        <v>1387</v>
      </c>
      <c r="L108" s="7" t="s">
        <v>1387</v>
      </c>
      <c r="M108" s="7" t="s">
        <v>1388</v>
      </c>
      <c r="N108" s="7">
        <v>160123</v>
      </c>
      <c r="O108" s="7">
        <v>1537000</v>
      </c>
      <c r="P108" s="7" t="s">
        <v>1389</v>
      </c>
      <c r="Q108" s="12">
        <v>45594</v>
      </c>
      <c r="R108" s="7" t="s">
        <v>1390</v>
      </c>
      <c r="S108" s="7" t="s">
        <v>1391</v>
      </c>
      <c r="T108" s="7" t="s">
        <v>51</v>
      </c>
      <c r="U108" s="7" t="s">
        <v>1392</v>
      </c>
      <c r="V108" s="7" t="s">
        <v>1252</v>
      </c>
      <c r="W108" s="7" t="s">
        <v>1393</v>
      </c>
      <c r="X108" s="7" t="s">
        <v>1394</v>
      </c>
      <c r="Y108" s="7" t="s">
        <v>1395</v>
      </c>
      <c r="Z108" s="7" t="s">
        <v>181</v>
      </c>
      <c r="AA108" s="7" t="s">
        <v>1396</v>
      </c>
      <c r="AB108" s="7">
        <v>7</v>
      </c>
      <c r="AC108" s="7" t="s">
        <v>123</v>
      </c>
      <c r="AD108" s="7" t="s">
        <v>1397</v>
      </c>
      <c r="AE108" s="7" t="s">
        <v>1394</v>
      </c>
      <c r="AF108" s="7" t="s">
        <v>1398</v>
      </c>
      <c r="AG108" s="7">
        <v>1229600</v>
      </c>
      <c r="AH108" s="7">
        <v>0</v>
      </c>
      <c r="AI108" s="7" t="s">
        <v>1399</v>
      </c>
      <c r="AJ108" s="7" t="s">
        <v>1063</v>
      </c>
      <c r="AK108" s="10"/>
      <c r="AL108" t="e">
        <v>#N/A</v>
      </c>
      <c r="AM108">
        <v>0</v>
      </c>
    </row>
    <row r="109" spans="1:39" hidden="1" x14ac:dyDescent="0.25">
      <c r="A109" s="4">
        <v>99</v>
      </c>
      <c r="B109" s="5" t="s">
        <v>184</v>
      </c>
      <c r="C109" s="5" t="s">
        <v>1400</v>
      </c>
      <c r="D109" s="5" t="s">
        <v>39</v>
      </c>
      <c r="E109" s="5" t="s">
        <v>40</v>
      </c>
      <c r="F109" s="5" t="s">
        <v>1401</v>
      </c>
      <c r="G109" s="5" t="s">
        <v>1402</v>
      </c>
      <c r="H109" s="5" t="s">
        <v>422</v>
      </c>
      <c r="I109" s="5" t="s">
        <v>1403</v>
      </c>
      <c r="J109" s="5" t="s">
        <v>1404</v>
      </c>
      <c r="K109" s="5" t="s">
        <v>1404</v>
      </c>
      <c r="L109" s="5" t="s">
        <v>438</v>
      </c>
      <c r="M109" s="5" t="s">
        <v>1405</v>
      </c>
      <c r="N109" s="5">
        <v>46818</v>
      </c>
      <c r="O109" s="5">
        <v>1400000</v>
      </c>
      <c r="P109" s="5" t="s">
        <v>1406</v>
      </c>
      <c r="Q109" s="11">
        <v>45588</v>
      </c>
      <c r="R109" s="5" t="s">
        <v>1407</v>
      </c>
      <c r="S109" s="5" t="s">
        <v>1408</v>
      </c>
      <c r="T109" s="5" t="s">
        <v>196</v>
      </c>
      <c r="U109" s="5" t="s">
        <v>1409</v>
      </c>
      <c r="V109" s="5" t="s">
        <v>1090</v>
      </c>
      <c r="W109" s="5" t="s">
        <v>1319</v>
      </c>
      <c r="X109" s="5" t="s">
        <v>1410</v>
      </c>
      <c r="Y109" s="5" t="s">
        <v>1395</v>
      </c>
      <c r="Z109" s="5" t="s">
        <v>1411</v>
      </c>
      <c r="AA109" s="5" t="s">
        <v>1412</v>
      </c>
      <c r="AB109" s="5">
        <v>6</v>
      </c>
      <c r="AC109" s="5" t="s">
        <v>1059</v>
      </c>
      <c r="AD109" s="5" t="s">
        <v>1413</v>
      </c>
      <c r="AE109" s="5" t="s">
        <v>1414</v>
      </c>
      <c r="AF109" s="5" t="s">
        <v>1061</v>
      </c>
      <c r="AG109" s="5">
        <v>1120000</v>
      </c>
      <c r="AH109" s="5">
        <v>0</v>
      </c>
      <c r="AI109" s="5" t="s">
        <v>1415</v>
      </c>
      <c r="AJ109" s="5" t="s">
        <v>1063</v>
      </c>
      <c r="AK109" s="9"/>
      <c r="AL109" t="e">
        <v>#N/A</v>
      </c>
      <c r="AM109">
        <v>0</v>
      </c>
    </row>
    <row r="110" spans="1:39" hidden="1" x14ac:dyDescent="0.25">
      <c r="A110" s="6">
        <v>100</v>
      </c>
      <c r="B110" s="7" t="s">
        <v>37</v>
      </c>
      <c r="C110" s="7" t="s">
        <v>1416</v>
      </c>
      <c r="D110" s="7" t="s">
        <v>39</v>
      </c>
      <c r="E110" s="7" t="s">
        <v>40</v>
      </c>
      <c r="F110" s="7" t="s">
        <v>703</v>
      </c>
      <c r="G110" s="7" t="s">
        <v>1417</v>
      </c>
      <c r="H110" s="7" t="s">
        <v>172</v>
      </c>
      <c r="I110" s="7" t="s">
        <v>1418</v>
      </c>
      <c r="J110" s="7" t="s">
        <v>1419</v>
      </c>
      <c r="K110" s="7" t="s">
        <v>1419</v>
      </c>
      <c r="L110" s="7" t="s">
        <v>1420</v>
      </c>
      <c r="M110" s="7" t="s">
        <v>1421</v>
      </c>
      <c r="N110" s="7">
        <v>186898</v>
      </c>
      <c r="O110" s="7">
        <v>2130000</v>
      </c>
      <c r="P110" s="7" t="s">
        <v>1422</v>
      </c>
      <c r="Q110" s="12">
        <v>45585</v>
      </c>
      <c r="R110" s="7" t="s">
        <v>1423</v>
      </c>
      <c r="S110" s="7" t="s">
        <v>1424</v>
      </c>
      <c r="T110" s="7" t="s">
        <v>51</v>
      </c>
      <c r="U110" s="7" t="s">
        <v>48</v>
      </c>
      <c r="V110" s="7" t="s">
        <v>1425</v>
      </c>
      <c r="W110" s="7" t="s">
        <v>53</v>
      </c>
      <c r="X110" s="7" t="s">
        <v>151</v>
      </c>
      <c r="Y110" s="7" t="s">
        <v>1426</v>
      </c>
      <c r="Z110" s="7" t="s">
        <v>1427</v>
      </c>
      <c r="AA110" s="7" t="s">
        <v>1428</v>
      </c>
      <c r="AB110" s="7">
        <v>3</v>
      </c>
      <c r="AC110" s="7" t="s">
        <v>78</v>
      </c>
      <c r="AD110" s="7" t="s">
        <v>1429</v>
      </c>
      <c r="AE110" s="7" t="s">
        <v>1430</v>
      </c>
      <c r="AF110" s="7" t="s">
        <v>61</v>
      </c>
      <c r="AG110" s="7">
        <v>1704000</v>
      </c>
      <c r="AH110" s="7">
        <v>0</v>
      </c>
      <c r="AI110" s="7"/>
      <c r="AJ110" s="7"/>
      <c r="AK110" s="10"/>
      <c r="AL110" t="e">
        <v>#N/A</v>
      </c>
      <c r="AM110">
        <v>0</v>
      </c>
    </row>
    <row r="111" spans="1:39" hidden="1" x14ac:dyDescent="0.25">
      <c r="A111" s="4">
        <v>106</v>
      </c>
      <c r="B111" s="5" t="s">
        <v>37</v>
      </c>
      <c r="C111" s="5" t="s">
        <v>1493</v>
      </c>
      <c r="D111" s="5" t="s">
        <v>39</v>
      </c>
      <c r="E111" s="5" t="s">
        <v>40</v>
      </c>
      <c r="F111" s="5" t="s">
        <v>1044</v>
      </c>
      <c r="G111" s="5" t="s">
        <v>1494</v>
      </c>
      <c r="H111" s="5" t="s">
        <v>43</v>
      </c>
      <c r="I111" s="5" t="s">
        <v>1495</v>
      </c>
      <c r="J111" s="5" t="s">
        <v>1496</v>
      </c>
      <c r="K111" s="5" t="s">
        <v>1497</v>
      </c>
      <c r="L111" s="5" t="s">
        <v>1498</v>
      </c>
      <c r="M111" s="5" t="s">
        <v>1499</v>
      </c>
      <c r="N111" s="5">
        <v>109147</v>
      </c>
      <c r="O111" s="5">
        <v>1730000</v>
      </c>
      <c r="P111" s="5" t="s">
        <v>1500</v>
      </c>
      <c r="Q111" s="11">
        <v>45595</v>
      </c>
      <c r="R111" s="5" t="s">
        <v>1501</v>
      </c>
      <c r="S111" s="5" t="s">
        <v>1502</v>
      </c>
      <c r="T111" s="5" t="s">
        <v>51</v>
      </c>
      <c r="U111" s="5" t="s">
        <v>48</v>
      </c>
      <c r="V111" s="5" t="s">
        <v>364</v>
      </c>
      <c r="W111" s="5" t="s">
        <v>198</v>
      </c>
      <c r="X111" s="5" t="s">
        <v>1503</v>
      </c>
      <c r="Y111" s="5" t="s">
        <v>1504</v>
      </c>
      <c r="Z111" s="5" t="s">
        <v>181</v>
      </c>
      <c r="AA111" s="5" t="s">
        <v>1505</v>
      </c>
      <c r="AB111" s="5">
        <v>4</v>
      </c>
      <c r="AC111" s="5" t="s">
        <v>78</v>
      </c>
      <c r="AD111" s="5" t="s">
        <v>1506</v>
      </c>
      <c r="AE111" s="5" t="s">
        <v>1503</v>
      </c>
      <c r="AF111" s="5" t="s">
        <v>61</v>
      </c>
      <c r="AG111" s="5">
        <v>1384000</v>
      </c>
      <c r="AH111" s="5">
        <v>0</v>
      </c>
      <c r="AI111" s="5"/>
      <c r="AJ111" s="5"/>
      <c r="AK111" s="9"/>
      <c r="AL111" t="e">
        <v>#N/A</v>
      </c>
      <c r="AM111">
        <v>0</v>
      </c>
    </row>
    <row r="112" spans="1:39" hidden="1" x14ac:dyDescent="0.25">
      <c r="A112" s="6">
        <v>124</v>
      </c>
      <c r="B112" s="7" t="s">
        <v>184</v>
      </c>
      <c r="C112" s="7" t="s">
        <v>1722</v>
      </c>
      <c r="D112" s="7" t="s">
        <v>39</v>
      </c>
      <c r="E112" s="7" t="s">
        <v>40</v>
      </c>
      <c r="F112" s="7" t="s">
        <v>944</v>
      </c>
      <c r="G112" s="7" t="s">
        <v>1723</v>
      </c>
      <c r="H112" s="7" t="s">
        <v>128</v>
      </c>
      <c r="I112" s="7" t="s">
        <v>1724</v>
      </c>
      <c r="J112" s="7" t="s">
        <v>1725</v>
      </c>
      <c r="K112" s="7" t="s">
        <v>48</v>
      </c>
      <c r="L112" s="7" t="s">
        <v>1726</v>
      </c>
      <c r="M112" s="7" t="s">
        <v>1727</v>
      </c>
      <c r="N112" s="7">
        <v>99298</v>
      </c>
      <c r="O112" s="7">
        <v>1735000</v>
      </c>
      <c r="P112" s="7" t="s">
        <v>1728</v>
      </c>
      <c r="Q112" s="12">
        <v>45594</v>
      </c>
      <c r="R112" s="7" t="s">
        <v>1729</v>
      </c>
      <c r="S112" s="7" t="s">
        <v>1730</v>
      </c>
      <c r="T112" s="7" t="s">
        <v>1516</v>
      </c>
      <c r="U112" s="7" t="s">
        <v>1731</v>
      </c>
      <c r="V112" s="7" t="s">
        <v>1732</v>
      </c>
      <c r="W112" s="7" t="s">
        <v>1180</v>
      </c>
      <c r="X112" s="7" t="s">
        <v>1394</v>
      </c>
      <c r="Y112" s="7" t="s">
        <v>1395</v>
      </c>
      <c r="Z112" s="7" t="s">
        <v>181</v>
      </c>
      <c r="AA112" s="7" t="s">
        <v>1733</v>
      </c>
      <c r="AB112" s="7">
        <v>7</v>
      </c>
      <c r="AC112" s="7" t="s">
        <v>123</v>
      </c>
      <c r="AD112" s="7" t="s">
        <v>1734</v>
      </c>
      <c r="AE112" s="7" t="s">
        <v>48</v>
      </c>
      <c r="AF112" s="7" t="s">
        <v>1061</v>
      </c>
      <c r="AG112" s="7">
        <v>1388000</v>
      </c>
      <c r="AH112" s="7">
        <v>0</v>
      </c>
      <c r="AI112" s="7"/>
      <c r="AJ112" s="7"/>
      <c r="AK112" s="10"/>
      <c r="AL112" t="e">
        <v>#N/A</v>
      </c>
      <c r="AM112">
        <v>0</v>
      </c>
    </row>
    <row r="113" spans="1:39" hidden="1" x14ac:dyDescent="0.25">
      <c r="A113" s="4">
        <v>129</v>
      </c>
      <c r="B113" s="5" t="s">
        <v>37</v>
      </c>
      <c r="C113" s="5" t="s">
        <v>1787</v>
      </c>
      <c r="D113" s="5" t="s">
        <v>39</v>
      </c>
      <c r="E113" s="5" t="s">
        <v>40</v>
      </c>
      <c r="F113" s="5" t="s">
        <v>1788</v>
      </c>
      <c r="G113" s="5" t="s">
        <v>1789</v>
      </c>
      <c r="H113" s="5" t="s">
        <v>83</v>
      </c>
      <c r="I113" s="5" t="s">
        <v>1790</v>
      </c>
      <c r="J113" s="5" t="s">
        <v>1791</v>
      </c>
      <c r="K113" s="5" t="s">
        <v>1791</v>
      </c>
      <c r="L113" s="5" t="s">
        <v>1791</v>
      </c>
      <c r="M113" s="5" t="s">
        <v>1792</v>
      </c>
      <c r="N113" s="5">
        <v>46719</v>
      </c>
      <c r="O113" s="5">
        <v>1391000</v>
      </c>
      <c r="P113" s="5" t="s">
        <v>1793</v>
      </c>
      <c r="Q113" s="11">
        <v>45594</v>
      </c>
      <c r="R113" s="5" t="s">
        <v>1794</v>
      </c>
      <c r="S113" s="5" t="s">
        <v>1795</v>
      </c>
      <c r="T113" s="5" t="s">
        <v>51</v>
      </c>
      <c r="U113" s="5" t="s">
        <v>1796</v>
      </c>
      <c r="V113" s="5" t="s">
        <v>1797</v>
      </c>
      <c r="W113" s="5" t="s">
        <v>1393</v>
      </c>
      <c r="X113" s="5" t="s">
        <v>1394</v>
      </c>
      <c r="Y113" s="5" t="s">
        <v>1395</v>
      </c>
      <c r="Z113" s="5" t="s">
        <v>181</v>
      </c>
      <c r="AA113" s="5" t="s">
        <v>1798</v>
      </c>
      <c r="AB113" s="5">
        <v>7</v>
      </c>
      <c r="AC113" s="5" t="s">
        <v>123</v>
      </c>
      <c r="AD113" s="5" t="s">
        <v>1799</v>
      </c>
      <c r="AE113" s="5" t="s">
        <v>1410</v>
      </c>
      <c r="AF113" s="5" t="s">
        <v>1398</v>
      </c>
      <c r="AG113" s="5">
        <v>1112800</v>
      </c>
      <c r="AH113" s="5">
        <v>0</v>
      </c>
      <c r="AI113" s="5"/>
      <c r="AJ113" s="5"/>
      <c r="AK113" s="9"/>
      <c r="AL113" t="e">
        <v>#N/A</v>
      </c>
      <c r="AM113">
        <v>0</v>
      </c>
    </row>
    <row r="114" spans="1:39" hidden="1" x14ac:dyDescent="0.25">
      <c r="A114" s="6">
        <v>156</v>
      </c>
      <c r="B114" s="7" t="s">
        <v>37</v>
      </c>
      <c r="C114" s="7" t="s">
        <v>2109</v>
      </c>
      <c r="D114" s="7" t="s">
        <v>39</v>
      </c>
      <c r="E114" s="7" t="s">
        <v>40</v>
      </c>
      <c r="F114" s="7" t="s">
        <v>63</v>
      </c>
      <c r="G114" s="7" t="s">
        <v>2110</v>
      </c>
      <c r="H114" s="7" t="s">
        <v>188</v>
      </c>
      <c r="I114" s="7" t="s">
        <v>2111</v>
      </c>
      <c r="J114" s="7" t="s">
        <v>2112</v>
      </c>
      <c r="K114" s="7" t="s">
        <v>2112</v>
      </c>
      <c r="L114" s="7" t="s">
        <v>438</v>
      </c>
      <c r="M114" s="7" t="s">
        <v>2113</v>
      </c>
      <c r="N114" s="7">
        <v>106879</v>
      </c>
      <c r="O114" s="7">
        <v>1975000</v>
      </c>
      <c r="P114" s="7" t="s">
        <v>2114</v>
      </c>
      <c r="Q114" s="12">
        <v>45579</v>
      </c>
      <c r="R114" s="7" t="s">
        <v>2115</v>
      </c>
      <c r="S114" s="7" t="s">
        <v>2116</v>
      </c>
      <c r="T114" s="7" t="s">
        <v>51</v>
      </c>
      <c r="U114" s="7" t="s">
        <v>48</v>
      </c>
      <c r="V114" s="7" t="s">
        <v>389</v>
      </c>
      <c r="W114" s="7" t="s">
        <v>53</v>
      </c>
      <c r="X114" s="7" t="s">
        <v>165</v>
      </c>
      <c r="Y114" s="7" t="s">
        <v>152</v>
      </c>
      <c r="Z114" s="7" t="s">
        <v>181</v>
      </c>
      <c r="AA114" s="7" t="s">
        <v>2117</v>
      </c>
      <c r="AB114" s="7">
        <v>3</v>
      </c>
      <c r="AC114" s="7" t="s">
        <v>58</v>
      </c>
      <c r="AD114" s="7" t="s">
        <v>2118</v>
      </c>
      <c r="AE114" s="7" t="s">
        <v>1454</v>
      </c>
      <c r="AF114" s="7" t="s">
        <v>61</v>
      </c>
      <c r="AG114" s="7">
        <v>1580000</v>
      </c>
      <c r="AH114" s="7">
        <v>0</v>
      </c>
      <c r="AI114" s="7"/>
      <c r="AJ114" s="7"/>
      <c r="AK114" s="10"/>
      <c r="AL114" t="e">
        <v>#N/A</v>
      </c>
      <c r="AM114">
        <v>0</v>
      </c>
    </row>
    <row r="115" spans="1:39" hidden="1" x14ac:dyDescent="0.25">
      <c r="A115" s="4">
        <v>160</v>
      </c>
      <c r="B115" s="5" t="s">
        <v>37</v>
      </c>
      <c r="C115" s="5" t="s">
        <v>2157</v>
      </c>
      <c r="D115" s="5" t="s">
        <v>39</v>
      </c>
      <c r="E115" s="5" t="s">
        <v>40</v>
      </c>
      <c r="F115" s="5" t="s">
        <v>789</v>
      </c>
      <c r="G115" s="5" t="s">
        <v>2158</v>
      </c>
      <c r="H115" s="5" t="s">
        <v>83</v>
      </c>
      <c r="I115" s="5" t="s">
        <v>2159</v>
      </c>
      <c r="J115" s="5" t="s">
        <v>2160</v>
      </c>
      <c r="K115" s="5" t="s">
        <v>2160</v>
      </c>
      <c r="L115" s="5" t="s">
        <v>2160</v>
      </c>
      <c r="M115" s="5" t="s">
        <v>2161</v>
      </c>
      <c r="N115" s="5">
        <v>39958</v>
      </c>
      <c r="O115" s="5">
        <v>1000000</v>
      </c>
      <c r="P115" s="5" t="s">
        <v>2162</v>
      </c>
      <c r="Q115" s="11">
        <v>45589</v>
      </c>
      <c r="R115" s="5" t="s">
        <v>2163</v>
      </c>
      <c r="S115" s="5" t="s">
        <v>2164</v>
      </c>
      <c r="T115" s="5" t="s">
        <v>1516</v>
      </c>
      <c r="U115" s="5" t="s">
        <v>2165</v>
      </c>
      <c r="V115" s="5" t="s">
        <v>2166</v>
      </c>
      <c r="W115" s="5" t="s">
        <v>1106</v>
      </c>
      <c r="X115" s="5" t="s">
        <v>2167</v>
      </c>
      <c r="Y115" s="5" t="s">
        <v>1182</v>
      </c>
      <c r="Z115" s="5" t="s">
        <v>879</v>
      </c>
      <c r="AA115" s="5" t="s">
        <v>2168</v>
      </c>
      <c r="AB115" s="5">
        <v>5</v>
      </c>
      <c r="AC115" s="5" t="s">
        <v>78</v>
      </c>
      <c r="AD115" s="5" t="s">
        <v>2169</v>
      </c>
      <c r="AE115" s="5" t="s">
        <v>2170</v>
      </c>
      <c r="AF115" s="5" t="s">
        <v>1079</v>
      </c>
      <c r="AG115" s="5">
        <v>800000</v>
      </c>
      <c r="AH115" s="5">
        <v>0</v>
      </c>
      <c r="AI115" s="5"/>
      <c r="AJ115" s="5"/>
      <c r="AK115" s="9"/>
      <c r="AL115" t="e">
        <v>#N/A</v>
      </c>
      <c r="AM115">
        <v>0</v>
      </c>
    </row>
    <row r="116" spans="1:39" hidden="1" x14ac:dyDescent="0.25">
      <c r="A116" s="6">
        <v>165</v>
      </c>
      <c r="B116" s="7" t="s">
        <v>37</v>
      </c>
      <c r="C116" s="7" t="s">
        <v>2224</v>
      </c>
      <c r="D116" s="7" t="s">
        <v>39</v>
      </c>
      <c r="E116" s="7" t="s">
        <v>40</v>
      </c>
      <c r="F116" s="7" t="s">
        <v>610</v>
      </c>
      <c r="G116" s="7" t="s">
        <v>2225</v>
      </c>
      <c r="H116" s="7" t="s">
        <v>2226</v>
      </c>
      <c r="I116" s="7" t="s">
        <v>2227</v>
      </c>
      <c r="J116" s="7" t="s">
        <v>48</v>
      </c>
      <c r="K116" s="7" t="s">
        <v>2228</v>
      </c>
      <c r="L116" s="7" t="s">
        <v>48</v>
      </c>
      <c r="M116" s="7" t="s">
        <v>2229</v>
      </c>
      <c r="N116" s="7">
        <v>534198</v>
      </c>
      <c r="O116" s="7">
        <v>5270000</v>
      </c>
      <c r="P116" s="7" t="s">
        <v>2230</v>
      </c>
      <c r="Q116" s="12">
        <v>45579</v>
      </c>
      <c r="R116" s="7" t="s">
        <v>2231</v>
      </c>
      <c r="S116" s="7" t="s">
        <v>2232</v>
      </c>
      <c r="T116" s="7" t="s">
        <v>51</v>
      </c>
      <c r="U116" s="7" t="s">
        <v>48</v>
      </c>
      <c r="V116" s="7" t="s">
        <v>164</v>
      </c>
      <c r="W116" s="7" t="s">
        <v>53</v>
      </c>
      <c r="X116" s="7" t="s">
        <v>641</v>
      </c>
      <c r="Y116" s="7" t="s">
        <v>152</v>
      </c>
      <c r="Z116" s="7" t="s">
        <v>181</v>
      </c>
      <c r="AA116" s="7" t="s">
        <v>2233</v>
      </c>
      <c r="AB116" s="7">
        <v>3</v>
      </c>
      <c r="AC116" s="7" t="s">
        <v>48</v>
      </c>
      <c r="AD116" s="7" t="s">
        <v>48</v>
      </c>
      <c r="AE116" s="7" t="s">
        <v>48</v>
      </c>
      <c r="AF116" s="7" t="s">
        <v>155</v>
      </c>
      <c r="AG116" s="7">
        <v>4216000</v>
      </c>
      <c r="AH116" s="7">
        <v>0</v>
      </c>
      <c r="AI116" s="7"/>
      <c r="AJ116" s="7"/>
      <c r="AK116" s="10"/>
      <c r="AL116" t="e">
        <v>#N/A</v>
      </c>
      <c r="AM116">
        <v>0</v>
      </c>
    </row>
    <row r="117" spans="1:39" hidden="1" x14ac:dyDescent="0.25">
      <c r="A117" s="4">
        <v>167</v>
      </c>
      <c r="B117" s="5" t="s">
        <v>184</v>
      </c>
      <c r="C117" s="5" t="s">
        <v>2247</v>
      </c>
      <c r="D117" s="5" t="s">
        <v>39</v>
      </c>
      <c r="E117" s="5" t="s">
        <v>40</v>
      </c>
      <c r="F117" s="5" t="s">
        <v>1788</v>
      </c>
      <c r="G117" s="5" t="s">
        <v>2248</v>
      </c>
      <c r="H117" s="5" t="s">
        <v>83</v>
      </c>
      <c r="I117" s="5" t="s">
        <v>2249</v>
      </c>
      <c r="J117" s="5" t="s">
        <v>2250</v>
      </c>
      <c r="K117" s="5" t="s">
        <v>2250</v>
      </c>
      <c r="L117" s="5" t="s">
        <v>2250</v>
      </c>
      <c r="M117" s="5" t="s">
        <v>2251</v>
      </c>
      <c r="N117" s="5">
        <v>35461</v>
      </c>
      <c r="O117" s="5">
        <v>754000</v>
      </c>
      <c r="P117" s="5" t="s">
        <v>2252</v>
      </c>
      <c r="Q117" s="11">
        <v>45587</v>
      </c>
      <c r="R117" s="5" t="s">
        <v>2253</v>
      </c>
      <c r="S117" s="5" t="s">
        <v>2254</v>
      </c>
      <c r="T117" s="5" t="s">
        <v>51</v>
      </c>
      <c r="U117" s="5" t="s">
        <v>2255</v>
      </c>
      <c r="V117" s="5" t="s">
        <v>1784</v>
      </c>
      <c r="W117" s="5" t="s">
        <v>1393</v>
      </c>
      <c r="X117" s="5" t="s">
        <v>2256</v>
      </c>
      <c r="Y117" s="5" t="s">
        <v>2256</v>
      </c>
      <c r="Z117" s="5" t="s">
        <v>879</v>
      </c>
      <c r="AA117" s="5" t="s">
        <v>2257</v>
      </c>
      <c r="AB117" s="5">
        <v>7</v>
      </c>
      <c r="AC117" s="5" t="s">
        <v>78</v>
      </c>
      <c r="AD117" s="5" t="s">
        <v>2258</v>
      </c>
      <c r="AE117" s="5" t="s">
        <v>2259</v>
      </c>
      <c r="AF117" s="5" t="s">
        <v>1398</v>
      </c>
      <c r="AG117" s="5">
        <v>603200</v>
      </c>
      <c r="AH117" s="5">
        <v>0</v>
      </c>
      <c r="AI117" s="5"/>
      <c r="AJ117" s="5"/>
      <c r="AK117" s="9"/>
      <c r="AL117" t="e">
        <v>#N/A</v>
      </c>
      <c r="AM117">
        <v>0</v>
      </c>
    </row>
    <row r="118" spans="1:39" hidden="1" x14ac:dyDescent="0.25">
      <c r="A118" s="6">
        <v>172</v>
      </c>
      <c r="B118" s="7" t="s">
        <v>37</v>
      </c>
      <c r="C118" s="7" t="s">
        <v>2316</v>
      </c>
      <c r="D118" s="7" t="s">
        <v>39</v>
      </c>
      <c r="E118" s="7" t="s">
        <v>40</v>
      </c>
      <c r="F118" s="7" t="s">
        <v>789</v>
      </c>
      <c r="G118" s="7" t="s">
        <v>2317</v>
      </c>
      <c r="H118" s="7" t="s">
        <v>83</v>
      </c>
      <c r="I118" s="7" t="s">
        <v>2318</v>
      </c>
      <c r="J118" s="7" t="s">
        <v>2319</v>
      </c>
      <c r="K118" s="7" t="s">
        <v>2319</v>
      </c>
      <c r="L118" s="7" t="s">
        <v>2319</v>
      </c>
      <c r="M118" s="7" t="s">
        <v>2320</v>
      </c>
      <c r="N118" s="7">
        <v>116604</v>
      </c>
      <c r="O118" s="7">
        <v>2250000</v>
      </c>
      <c r="P118" s="7" t="s">
        <v>2321</v>
      </c>
      <c r="Q118" s="12">
        <v>45587</v>
      </c>
      <c r="R118" s="7" t="s">
        <v>2322</v>
      </c>
      <c r="S118" s="7" t="s">
        <v>2323</v>
      </c>
      <c r="T118" s="7" t="s">
        <v>1516</v>
      </c>
      <c r="U118" s="7" t="s">
        <v>2324</v>
      </c>
      <c r="V118" s="7" t="s">
        <v>2325</v>
      </c>
      <c r="W118" s="7" t="s">
        <v>1180</v>
      </c>
      <c r="X118" s="7" t="s">
        <v>1181</v>
      </c>
      <c r="Y118" s="7" t="s">
        <v>1182</v>
      </c>
      <c r="Z118" s="7" t="s">
        <v>879</v>
      </c>
      <c r="AA118" s="7" t="s">
        <v>2326</v>
      </c>
      <c r="AB118" s="7">
        <v>5</v>
      </c>
      <c r="AC118" s="7" t="s">
        <v>78</v>
      </c>
      <c r="AD118" s="7" t="s">
        <v>2327</v>
      </c>
      <c r="AE118" s="7" t="s">
        <v>2328</v>
      </c>
      <c r="AF118" s="7" t="s">
        <v>1079</v>
      </c>
      <c r="AG118" s="7">
        <v>1800000</v>
      </c>
      <c r="AH118" s="7">
        <v>0</v>
      </c>
      <c r="AI118" s="7"/>
      <c r="AJ118" s="7"/>
      <c r="AK118" s="10"/>
      <c r="AL118" t="e">
        <v>#N/A</v>
      </c>
      <c r="AM118">
        <v>0</v>
      </c>
    </row>
    <row r="119" spans="1:39" hidden="1" x14ac:dyDescent="0.25">
      <c r="A119" s="4">
        <v>204</v>
      </c>
      <c r="B119" s="5" t="s">
        <v>37</v>
      </c>
      <c r="C119" s="5" t="s">
        <v>2703</v>
      </c>
      <c r="D119" s="5" t="s">
        <v>39</v>
      </c>
      <c r="E119" s="5" t="s">
        <v>40</v>
      </c>
      <c r="F119" s="5" t="s">
        <v>789</v>
      </c>
      <c r="G119" s="5" t="s">
        <v>2704</v>
      </c>
      <c r="H119" s="5" t="s">
        <v>83</v>
      </c>
      <c r="I119" s="5" t="s">
        <v>2705</v>
      </c>
      <c r="J119" s="5" t="s">
        <v>48</v>
      </c>
      <c r="K119" s="5" t="s">
        <v>2706</v>
      </c>
      <c r="L119" s="5" t="s">
        <v>2707</v>
      </c>
      <c r="M119" s="5" t="s">
        <v>2708</v>
      </c>
      <c r="N119" s="5">
        <v>32502</v>
      </c>
      <c r="O119" s="5">
        <v>1250000</v>
      </c>
      <c r="P119" s="5" t="s">
        <v>2709</v>
      </c>
      <c r="Q119" s="11">
        <v>45582</v>
      </c>
      <c r="R119" s="5" t="s">
        <v>2710</v>
      </c>
      <c r="S119" s="5" t="s">
        <v>2711</v>
      </c>
      <c r="T119" s="5" t="s">
        <v>196</v>
      </c>
      <c r="U119" s="5" t="s">
        <v>2712</v>
      </c>
      <c r="V119" s="5" t="s">
        <v>1205</v>
      </c>
      <c r="W119" s="5" t="s">
        <v>1393</v>
      </c>
      <c r="X119" s="5" t="s">
        <v>2713</v>
      </c>
      <c r="Y119" s="5" t="s">
        <v>1182</v>
      </c>
      <c r="Z119" s="5" t="s">
        <v>879</v>
      </c>
      <c r="AA119" s="5" t="s">
        <v>2714</v>
      </c>
      <c r="AB119" s="5">
        <v>5</v>
      </c>
      <c r="AC119" s="5" t="s">
        <v>78</v>
      </c>
      <c r="AD119" s="5" t="s">
        <v>2715</v>
      </c>
      <c r="AE119" s="5" t="s">
        <v>2716</v>
      </c>
      <c r="AF119" s="5" t="s">
        <v>1079</v>
      </c>
      <c r="AG119" s="5">
        <v>1000000</v>
      </c>
      <c r="AH119" s="5">
        <v>0</v>
      </c>
      <c r="AI119" s="5"/>
      <c r="AJ119" s="5"/>
      <c r="AK119" s="9"/>
      <c r="AL119" t="e">
        <v>#N/A</v>
      </c>
      <c r="AM119">
        <v>0</v>
      </c>
    </row>
    <row r="120" spans="1:39" hidden="1" x14ac:dyDescent="0.25">
      <c r="A120" s="6">
        <v>205</v>
      </c>
      <c r="B120" s="7" t="s">
        <v>37</v>
      </c>
      <c r="C120" s="7" t="s">
        <v>2717</v>
      </c>
      <c r="D120" s="7" t="s">
        <v>39</v>
      </c>
      <c r="E120" s="7" t="s">
        <v>40</v>
      </c>
      <c r="F120" s="7" t="s">
        <v>944</v>
      </c>
      <c r="G120" s="7" t="s">
        <v>2718</v>
      </c>
      <c r="H120" s="7" t="s">
        <v>2719</v>
      </c>
      <c r="I120" s="7" t="s">
        <v>2720</v>
      </c>
      <c r="J120" s="7" t="s">
        <v>48</v>
      </c>
      <c r="K120" s="7" t="s">
        <v>2721</v>
      </c>
      <c r="L120" s="7" t="s">
        <v>2722</v>
      </c>
      <c r="M120" s="7" t="s">
        <v>2723</v>
      </c>
      <c r="N120" s="7">
        <v>116095</v>
      </c>
      <c r="O120" s="7">
        <v>3050000</v>
      </c>
      <c r="P120" s="7" t="s">
        <v>2724</v>
      </c>
      <c r="Q120" s="12">
        <v>45581</v>
      </c>
      <c r="R120" s="7" t="s">
        <v>2725</v>
      </c>
      <c r="S120" s="7" t="s">
        <v>2726</v>
      </c>
      <c r="T120" s="7" t="s">
        <v>1516</v>
      </c>
      <c r="U120" s="7" t="s">
        <v>2727</v>
      </c>
      <c r="V120" s="7" t="s">
        <v>2728</v>
      </c>
      <c r="W120" s="7" t="s">
        <v>1180</v>
      </c>
      <c r="X120" s="7" t="s">
        <v>2729</v>
      </c>
      <c r="Y120" s="7" t="s">
        <v>2730</v>
      </c>
      <c r="Z120" s="7" t="s">
        <v>242</v>
      </c>
      <c r="AA120" s="7" t="s">
        <v>2731</v>
      </c>
      <c r="AB120" s="7">
        <v>7</v>
      </c>
      <c r="AC120" s="7" t="s">
        <v>78</v>
      </c>
      <c r="AD120" s="7" t="s">
        <v>2732</v>
      </c>
      <c r="AE120" s="7" t="s">
        <v>2733</v>
      </c>
      <c r="AF120" s="7" t="s">
        <v>1079</v>
      </c>
      <c r="AG120" s="7">
        <v>2440000</v>
      </c>
      <c r="AH120" s="7">
        <v>0</v>
      </c>
      <c r="AI120" s="7"/>
      <c r="AJ120" s="7"/>
      <c r="AK120" s="10"/>
      <c r="AL120" t="e">
        <v>#N/A</v>
      </c>
      <c r="AM120">
        <v>0</v>
      </c>
    </row>
    <row r="121" spans="1:39" hidden="1" x14ac:dyDescent="0.25">
      <c r="A121" s="4">
        <v>210</v>
      </c>
      <c r="B121" s="5" t="s">
        <v>37</v>
      </c>
      <c r="C121" s="5" t="s">
        <v>2785</v>
      </c>
      <c r="D121" s="5" t="s">
        <v>39</v>
      </c>
      <c r="E121" s="5" t="s">
        <v>40</v>
      </c>
      <c r="F121" s="5" t="s">
        <v>944</v>
      </c>
      <c r="G121" s="5" t="s">
        <v>2786</v>
      </c>
      <c r="H121" s="5" t="s">
        <v>128</v>
      </c>
      <c r="I121" s="5" t="s">
        <v>2787</v>
      </c>
      <c r="J121" s="5" t="s">
        <v>2788</v>
      </c>
      <c r="K121" s="5" t="s">
        <v>2789</v>
      </c>
      <c r="L121" s="5" t="s">
        <v>2790</v>
      </c>
      <c r="M121" s="5" t="s">
        <v>2791</v>
      </c>
      <c r="N121" s="5">
        <v>100880</v>
      </c>
      <c r="O121" s="5">
        <v>1615000</v>
      </c>
      <c r="P121" s="5" t="s">
        <v>2792</v>
      </c>
      <c r="Q121" s="11">
        <v>45580</v>
      </c>
      <c r="R121" s="5" t="s">
        <v>2793</v>
      </c>
      <c r="S121" s="5" t="s">
        <v>2794</v>
      </c>
      <c r="T121" s="5" t="s">
        <v>196</v>
      </c>
      <c r="U121" s="5" t="s">
        <v>2795</v>
      </c>
      <c r="V121" s="5" t="s">
        <v>350</v>
      </c>
      <c r="W121" s="5" t="s">
        <v>1054</v>
      </c>
      <c r="X121" s="5" t="s">
        <v>2796</v>
      </c>
      <c r="Y121" s="5" t="s">
        <v>2716</v>
      </c>
      <c r="Z121" s="5" t="s">
        <v>242</v>
      </c>
      <c r="AA121" s="5" t="s">
        <v>2797</v>
      </c>
      <c r="AB121" s="5">
        <v>5</v>
      </c>
      <c r="AC121" s="5" t="s">
        <v>78</v>
      </c>
      <c r="AD121" s="5" t="s">
        <v>2798</v>
      </c>
      <c r="AE121" s="5" t="s">
        <v>2796</v>
      </c>
      <c r="AF121" s="5" t="s">
        <v>1079</v>
      </c>
      <c r="AG121" s="5">
        <v>1292000</v>
      </c>
      <c r="AH121" s="5">
        <v>0</v>
      </c>
      <c r="AI121" s="5"/>
      <c r="AJ121" s="5"/>
      <c r="AK121" s="9"/>
      <c r="AL121" t="e">
        <v>#N/A</v>
      </c>
      <c r="AM121">
        <v>0</v>
      </c>
    </row>
    <row r="122" spans="1:39" hidden="1" x14ac:dyDescent="0.25">
      <c r="A122" s="6">
        <v>213</v>
      </c>
      <c r="B122" s="7" t="s">
        <v>37</v>
      </c>
      <c r="C122" s="7" t="s">
        <v>2827</v>
      </c>
      <c r="D122" s="7" t="s">
        <v>39</v>
      </c>
      <c r="E122" s="7" t="s">
        <v>40</v>
      </c>
      <c r="F122" s="7" t="s">
        <v>1044</v>
      </c>
      <c r="G122" s="7" t="s">
        <v>2828</v>
      </c>
      <c r="H122" s="7" t="s">
        <v>2829</v>
      </c>
      <c r="I122" s="7" t="s">
        <v>2830</v>
      </c>
      <c r="J122" s="7" t="s">
        <v>2831</v>
      </c>
      <c r="K122" s="7" t="s">
        <v>2832</v>
      </c>
      <c r="L122" s="7" t="s">
        <v>2833</v>
      </c>
      <c r="M122" s="7" t="s">
        <v>2834</v>
      </c>
      <c r="N122" s="7">
        <v>51307</v>
      </c>
      <c r="O122" s="7">
        <v>1308000</v>
      </c>
      <c r="P122" s="7" t="s">
        <v>2835</v>
      </c>
      <c r="Q122" s="12">
        <v>45579</v>
      </c>
      <c r="R122" s="7" t="s">
        <v>2836</v>
      </c>
      <c r="S122" s="7" t="s">
        <v>2837</v>
      </c>
      <c r="T122" s="7" t="s">
        <v>51</v>
      </c>
      <c r="U122" s="7" t="e">
        <v>#N/A</v>
      </c>
      <c r="V122" s="7" t="s">
        <v>2838</v>
      </c>
      <c r="W122" s="7" t="s">
        <v>536</v>
      </c>
      <c r="X122" s="7" t="s">
        <v>2796</v>
      </c>
      <c r="Y122" s="7" t="s">
        <v>2716</v>
      </c>
      <c r="Z122" s="7" t="s">
        <v>242</v>
      </c>
      <c r="AA122" s="7" t="s">
        <v>2839</v>
      </c>
      <c r="AB122" s="7">
        <v>5</v>
      </c>
      <c r="AC122" s="7" t="s">
        <v>556</v>
      </c>
      <c r="AD122" s="7" t="s">
        <v>2840</v>
      </c>
      <c r="AE122" s="7" t="s">
        <v>2841</v>
      </c>
      <c r="AF122" s="7" t="s">
        <v>1079</v>
      </c>
      <c r="AG122" s="7">
        <v>1046400</v>
      </c>
      <c r="AH122" s="7">
        <v>0</v>
      </c>
      <c r="AI122" s="7"/>
      <c r="AJ122" s="7"/>
      <c r="AK122" s="10"/>
      <c r="AL122" t="e">
        <v>#N/A</v>
      </c>
      <c r="AM122">
        <v>0</v>
      </c>
    </row>
    <row r="123" spans="1:39" hidden="1" x14ac:dyDescent="0.25">
      <c r="A123" s="4">
        <v>223</v>
      </c>
      <c r="B123" s="5" t="s">
        <v>37</v>
      </c>
      <c r="C123" s="5" t="s">
        <v>2956</v>
      </c>
      <c r="D123" s="5" t="s">
        <v>39</v>
      </c>
      <c r="E123" s="5" t="s">
        <v>40</v>
      </c>
      <c r="F123" s="5" t="s">
        <v>2957</v>
      </c>
      <c r="G123" s="5" t="s">
        <v>2958</v>
      </c>
      <c r="H123" s="5" t="s">
        <v>188</v>
      </c>
      <c r="I123" s="5" t="s">
        <v>2959</v>
      </c>
      <c r="J123" s="5" t="s">
        <v>2960</v>
      </c>
      <c r="K123" s="5" t="s">
        <v>2961</v>
      </c>
      <c r="L123" s="5" t="s">
        <v>2962</v>
      </c>
      <c r="M123" s="5" t="s">
        <v>2963</v>
      </c>
      <c r="N123" s="5">
        <v>56779</v>
      </c>
      <c r="O123" s="5">
        <v>2024000</v>
      </c>
      <c r="P123" s="5" t="s">
        <v>2964</v>
      </c>
      <c r="Q123" s="11">
        <v>45576</v>
      </c>
      <c r="R123" s="5" t="s">
        <v>2965</v>
      </c>
      <c r="S123" s="5" t="s">
        <v>2966</v>
      </c>
      <c r="T123" s="5" t="s">
        <v>51</v>
      </c>
      <c r="U123" s="5" t="s">
        <v>2967</v>
      </c>
      <c r="V123" s="5" t="s">
        <v>2968</v>
      </c>
      <c r="W123" s="5" t="s">
        <v>1054</v>
      </c>
      <c r="X123" s="5" t="s">
        <v>2969</v>
      </c>
      <c r="Y123" s="5" t="s">
        <v>2686</v>
      </c>
      <c r="Z123" s="5" t="s">
        <v>242</v>
      </c>
      <c r="AA123" s="5" t="s">
        <v>2970</v>
      </c>
      <c r="AB123" s="5">
        <v>6</v>
      </c>
      <c r="AC123" s="5" t="s">
        <v>123</v>
      </c>
      <c r="AD123" s="5" t="s">
        <v>2971</v>
      </c>
      <c r="AE123" s="5" t="s">
        <v>2955</v>
      </c>
      <c r="AF123" s="5" t="s">
        <v>1061</v>
      </c>
      <c r="AG123" s="5">
        <v>1619200</v>
      </c>
      <c r="AH123" s="5">
        <v>0</v>
      </c>
      <c r="AI123" s="5"/>
      <c r="AJ123" s="5"/>
      <c r="AK123" s="9"/>
      <c r="AL123" t="e">
        <v>#N/A</v>
      </c>
      <c r="AM123">
        <v>0</v>
      </c>
    </row>
    <row r="124" spans="1:39" hidden="1" x14ac:dyDescent="0.25">
      <c r="A124" s="6">
        <v>226</v>
      </c>
      <c r="B124" s="7" t="s">
        <v>37</v>
      </c>
      <c r="C124" s="7" t="s">
        <v>2999</v>
      </c>
      <c r="D124" s="7" t="s">
        <v>39</v>
      </c>
      <c r="E124" s="7" t="s">
        <v>40</v>
      </c>
      <c r="F124" s="7" t="s">
        <v>868</v>
      </c>
      <c r="G124" s="7" t="s">
        <v>3000</v>
      </c>
      <c r="H124" s="7" t="s">
        <v>83</v>
      </c>
      <c r="I124" s="7" t="s">
        <v>3001</v>
      </c>
      <c r="J124" s="7" t="s">
        <v>3002</v>
      </c>
      <c r="K124" s="7" t="s">
        <v>3003</v>
      </c>
      <c r="L124" s="7" t="s">
        <v>3004</v>
      </c>
      <c r="M124" s="7" t="s">
        <v>3005</v>
      </c>
      <c r="N124" s="7">
        <v>52328</v>
      </c>
      <c r="O124" s="7">
        <v>1537000</v>
      </c>
      <c r="P124" s="7" t="s">
        <v>3006</v>
      </c>
      <c r="Q124" s="12">
        <v>45576</v>
      </c>
      <c r="R124" s="7" t="s">
        <v>3007</v>
      </c>
      <c r="S124" s="7" t="s">
        <v>3008</v>
      </c>
      <c r="T124" s="7" t="s">
        <v>51</v>
      </c>
      <c r="U124" s="7" t="s">
        <v>3009</v>
      </c>
      <c r="V124" s="7" t="s">
        <v>1252</v>
      </c>
      <c r="W124" s="7" t="s">
        <v>1393</v>
      </c>
      <c r="X124" s="7" t="s">
        <v>3010</v>
      </c>
      <c r="Y124" s="7" t="s">
        <v>2730</v>
      </c>
      <c r="Z124" s="7" t="s">
        <v>242</v>
      </c>
      <c r="AA124" s="7" t="s">
        <v>3011</v>
      </c>
      <c r="AB124" s="7">
        <v>7</v>
      </c>
      <c r="AC124" s="7" t="s">
        <v>78</v>
      </c>
      <c r="AD124" s="7" t="s">
        <v>3012</v>
      </c>
      <c r="AE124" s="7" t="s">
        <v>3013</v>
      </c>
      <c r="AF124" s="7" t="s">
        <v>1061</v>
      </c>
      <c r="AG124" s="7">
        <v>1229600</v>
      </c>
      <c r="AH124" s="7">
        <v>0</v>
      </c>
      <c r="AI124" s="7"/>
      <c r="AJ124" s="7"/>
      <c r="AK124" s="10"/>
      <c r="AL124" t="e">
        <v>#N/A</v>
      </c>
      <c r="AM124">
        <v>0</v>
      </c>
    </row>
    <row r="125" spans="1:39" hidden="1" x14ac:dyDescent="0.25">
      <c r="A125" s="4">
        <v>228</v>
      </c>
      <c r="B125" s="5" t="s">
        <v>37</v>
      </c>
      <c r="C125" s="5" t="s">
        <v>3027</v>
      </c>
      <c r="D125" s="5" t="s">
        <v>39</v>
      </c>
      <c r="E125" s="5" t="s">
        <v>40</v>
      </c>
      <c r="F125" s="5" t="s">
        <v>868</v>
      </c>
      <c r="G125" s="5" t="s">
        <v>3028</v>
      </c>
      <c r="H125" s="5" t="s">
        <v>83</v>
      </c>
      <c r="I125" s="5" t="s">
        <v>3029</v>
      </c>
      <c r="J125" s="5" t="s">
        <v>3030</v>
      </c>
      <c r="K125" s="5" t="s">
        <v>3030</v>
      </c>
      <c r="L125" s="5" t="s">
        <v>3031</v>
      </c>
      <c r="M125" s="5" t="s">
        <v>3032</v>
      </c>
      <c r="N125" s="5">
        <v>44900</v>
      </c>
      <c r="O125" s="5">
        <v>2637000</v>
      </c>
      <c r="P125" s="5" t="s">
        <v>3033</v>
      </c>
      <c r="Q125" s="11">
        <v>45576</v>
      </c>
      <c r="R125" s="5" t="s">
        <v>3034</v>
      </c>
      <c r="S125" s="5" t="s">
        <v>3035</v>
      </c>
      <c r="T125" s="5" t="s">
        <v>51</v>
      </c>
      <c r="U125" s="5" t="s">
        <v>3036</v>
      </c>
      <c r="V125" s="5" t="s">
        <v>3037</v>
      </c>
      <c r="W125" s="5" t="s">
        <v>1393</v>
      </c>
      <c r="X125" s="5" t="s">
        <v>3038</v>
      </c>
      <c r="Y125" s="5" t="s">
        <v>2730</v>
      </c>
      <c r="Z125" s="5" t="s">
        <v>242</v>
      </c>
      <c r="AA125" s="5" t="s">
        <v>3039</v>
      </c>
      <c r="AB125" s="5">
        <v>7</v>
      </c>
      <c r="AC125" s="5" t="s">
        <v>78</v>
      </c>
      <c r="AD125" s="5" t="s">
        <v>3040</v>
      </c>
      <c r="AE125" s="5" t="s">
        <v>3041</v>
      </c>
      <c r="AF125" s="5" t="s">
        <v>1061</v>
      </c>
      <c r="AG125" s="5">
        <v>2109600</v>
      </c>
      <c r="AH125" s="5">
        <v>0</v>
      </c>
      <c r="AI125" s="5"/>
      <c r="AJ125" s="5"/>
      <c r="AK125" s="9"/>
      <c r="AL125" t="e">
        <v>#N/A</v>
      </c>
      <c r="AM125">
        <v>0</v>
      </c>
    </row>
    <row r="126" spans="1:39" hidden="1" x14ac:dyDescent="0.25">
      <c r="A126" s="6">
        <v>229</v>
      </c>
      <c r="B126" s="7" t="s">
        <v>37</v>
      </c>
      <c r="C126" s="7" t="s">
        <v>3042</v>
      </c>
      <c r="D126" s="7" t="s">
        <v>39</v>
      </c>
      <c r="E126" s="7" t="s">
        <v>40</v>
      </c>
      <c r="F126" s="7" t="s">
        <v>789</v>
      </c>
      <c r="G126" s="7" t="s">
        <v>3043</v>
      </c>
      <c r="H126" s="7" t="s">
        <v>83</v>
      </c>
      <c r="I126" s="7" t="s">
        <v>3044</v>
      </c>
      <c r="J126" s="7" t="s">
        <v>3045</v>
      </c>
      <c r="K126" s="7" t="s">
        <v>3045</v>
      </c>
      <c r="L126" s="7" t="s">
        <v>3045</v>
      </c>
      <c r="M126" s="7" t="s">
        <v>3046</v>
      </c>
      <c r="N126" s="7">
        <v>71180</v>
      </c>
      <c r="O126" s="7">
        <v>1900000</v>
      </c>
      <c r="P126" s="7" t="s">
        <v>3047</v>
      </c>
      <c r="Q126" s="12">
        <v>45575</v>
      </c>
      <c r="R126" s="7" t="s">
        <v>3048</v>
      </c>
      <c r="S126" s="7" t="s">
        <v>3049</v>
      </c>
      <c r="T126" s="7" t="s">
        <v>196</v>
      </c>
      <c r="U126" s="7" t="s">
        <v>3050</v>
      </c>
      <c r="V126" s="7" t="s">
        <v>1252</v>
      </c>
      <c r="W126" s="7" t="s">
        <v>1393</v>
      </c>
      <c r="X126" s="7" t="s">
        <v>3051</v>
      </c>
      <c r="Y126" s="7" t="s">
        <v>2716</v>
      </c>
      <c r="Z126" s="7" t="s">
        <v>242</v>
      </c>
      <c r="AA126" s="7" t="s">
        <v>3052</v>
      </c>
      <c r="AB126" s="7">
        <v>5</v>
      </c>
      <c r="AC126" s="7" t="s">
        <v>556</v>
      </c>
      <c r="AD126" s="7" t="s">
        <v>3053</v>
      </c>
      <c r="AE126" s="7" t="s">
        <v>3051</v>
      </c>
      <c r="AF126" s="7" t="s">
        <v>1079</v>
      </c>
      <c r="AG126" s="7">
        <v>1520000</v>
      </c>
      <c r="AH126" s="7">
        <v>0</v>
      </c>
      <c r="AI126" s="7"/>
      <c r="AJ126" s="7"/>
      <c r="AK126" s="10"/>
      <c r="AL126" t="e">
        <v>#N/A</v>
      </c>
      <c r="AM126">
        <v>0</v>
      </c>
    </row>
    <row r="127" spans="1:39" hidden="1" x14ac:dyDescent="0.25">
      <c r="A127" s="4">
        <v>242</v>
      </c>
      <c r="B127" s="5" t="s">
        <v>184</v>
      </c>
      <c r="C127" s="5" t="s">
        <v>3199</v>
      </c>
      <c r="D127" s="5" t="s">
        <v>39</v>
      </c>
      <c r="E127" s="5" t="s">
        <v>40</v>
      </c>
      <c r="F127" s="5" t="s">
        <v>789</v>
      </c>
      <c r="G127" s="5" t="s">
        <v>3200</v>
      </c>
      <c r="H127" s="5" t="s">
        <v>83</v>
      </c>
      <c r="I127" s="5" t="s">
        <v>3201</v>
      </c>
      <c r="J127" s="5" t="s">
        <v>48</v>
      </c>
      <c r="K127" s="5" t="s">
        <v>3202</v>
      </c>
      <c r="L127" s="5" t="s">
        <v>3203</v>
      </c>
      <c r="M127" s="5" t="s">
        <v>3204</v>
      </c>
      <c r="N127" s="5">
        <v>135231</v>
      </c>
      <c r="O127" s="5">
        <v>3400000</v>
      </c>
      <c r="P127" s="5" t="s">
        <v>3205</v>
      </c>
      <c r="Q127" s="11">
        <v>45572</v>
      </c>
      <c r="R127" s="5" t="s">
        <v>3206</v>
      </c>
      <c r="S127" s="5" t="s">
        <v>3207</v>
      </c>
      <c r="T127" s="5" t="s">
        <v>196</v>
      </c>
      <c r="U127" s="5" t="s">
        <v>3208</v>
      </c>
      <c r="V127" s="5" t="s">
        <v>2524</v>
      </c>
      <c r="W127" s="5" t="s">
        <v>1054</v>
      </c>
      <c r="X127" s="5" t="s">
        <v>1091</v>
      </c>
      <c r="Y127" s="5" t="s">
        <v>1075</v>
      </c>
      <c r="Z127" s="5" t="s">
        <v>281</v>
      </c>
      <c r="AA127" s="5" t="s">
        <v>3209</v>
      </c>
      <c r="AB127" s="5">
        <v>5</v>
      </c>
      <c r="AC127" s="5" t="s">
        <v>556</v>
      </c>
      <c r="AD127" s="5" t="s">
        <v>3210</v>
      </c>
      <c r="AE127" s="5" t="s">
        <v>1078</v>
      </c>
      <c r="AF127" s="5" t="s">
        <v>1079</v>
      </c>
      <c r="AG127" s="5">
        <v>2720000</v>
      </c>
      <c r="AH127" s="5">
        <v>0</v>
      </c>
      <c r="AI127" s="5"/>
      <c r="AJ127" s="5"/>
      <c r="AK127" s="9"/>
      <c r="AL127" t="e">
        <v>#N/A</v>
      </c>
      <c r="AM127">
        <v>0</v>
      </c>
    </row>
    <row r="128" spans="1:39" hidden="1" x14ac:dyDescent="0.25">
      <c r="A128" s="6">
        <v>263</v>
      </c>
      <c r="B128" s="7" t="s">
        <v>37</v>
      </c>
      <c r="C128" s="7" t="s">
        <v>3451</v>
      </c>
      <c r="D128" s="7" t="s">
        <v>39</v>
      </c>
      <c r="E128" s="7" t="s">
        <v>40</v>
      </c>
      <c r="F128" s="7" t="s">
        <v>470</v>
      </c>
      <c r="G128" s="7" t="s">
        <v>3452</v>
      </c>
      <c r="H128" s="7" t="s">
        <v>43</v>
      </c>
      <c r="I128" s="7" t="s">
        <v>3453</v>
      </c>
      <c r="J128" s="7" t="s">
        <v>3454</v>
      </c>
      <c r="K128" s="7" t="s">
        <v>3455</v>
      </c>
      <c r="L128" s="7" t="s">
        <v>3456</v>
      </c>
      <c r="M128" s="7" t="s">
        <v>3457</v>
      </c>
      <c r="N128" s="7">
        <v>175948</v>
      </c>
      <c r="O128" s="7">
        <v>2574000</v>
      </c>
      <c r="P128" s="7" t="s">
        <v>3458</v>
      </c>
      <c r="Q128" s="12">
        <v>45570</v>
      </c>
      <c r="R128" s="7" t="s">
        <v>3459</v>
      </c>
      <c r="S128" s="7" t="s">
        <v>3460</v>
      </c>
      <c r="T128" s="7" t="s">
        <v>51</v>
      </c>
      <c r="U128" s="7" t="s">
        <v>48</v>
      </c>
      <c r="V128" s="7" t="s">
        <v>3423</v>
      </c>
      <c r="W128" s="7" t="s">
        <v>198</v>
      </c>
      <c r="X128" s="7" t="s">
        <v>2648</v>
      </c>
      <c r="Y128" s="7" t="s">
        <v>2141</v>
      </c>
      <c r="Z128" s="7" t="s">
        <v>879</v>
      </c>
      <c r="AA128" s="7" t="s">
        <v>3461</v>
      </c>
      <c r="AB128" s="7">
        <v>4</v>
      </c>
      <c r="AC128" s="7" t="s">
        <v>78</v>
      </c>
      <c r="AD128" s="7" t="s">
        <v>3462</v>
      </c>
      <c r="AE128" s="7" t="s">
        <v>3426</v>
      </c>
      <c r="AF128" s="7" t="s">
        <v>61</v>
      </c>
      <c r="AG128" s="7">
        <v>2059200</v>
      </c>
      <c r="AH128" s="7">
        <v>0</v>
      </c>
      <c r="AI128" s="7"/>
      <c r="AJ128" s="7"/>
      <c r="AK128" s="10"/>
      <c r="AL128" t="e">
        <v>#N/A</v>
      </c>
      <c r="AM128">
        <v>0</v>
      </c>
    </row>
    <row r="129" spans="1:39" hidden="1" x14ac:dyDescent="0.25">
      <c r="A129" s="4">
        <v>269</v>
      </c>
      <c r="B129" s="5" t="s">
        <v>37</v>
      </c>
      <c r="C129" s="5" t="s">
        <v>3522</v>
      </c>
      <c r="D129" s="5" t="s">
        <v>39</v>
      </c>
      <c r="E129" s="5" t="s">
        <v>40</v>
      </c>
      <c r="F129" s="5" t="s">
        <v>1961</v>
      </c>
      <c r="G129" s="5" t="s">
        <v>3523</v>
      </c>
      <c r="H129" s="5" t="s">
        <v>128</v>
      </c>
      <c r="I129" s="5" t="s">
        <v>3524</v>
      </c>
      <c r="J129" s="5" t="s">
        <v>3525</v>
      </c>
      <c r="K129" s="5" t="s">
        <v>3526</v>
      </c>
      <c r="L129" s="5" t="s">
        <v>3527</v>
      </c>
      <c r="M129" s="5" t="s">
        <v>3528</v>
      </c>
      <c r="N129" s="5">
        <v>72234</v>
      </c>
      <c r="O129" s="5">
        <v>2341000</v>
      </c>
      <c r="P129" s="5" t="s">
        <v>3529</v>
      </c>
      <c r="Q129" s="11">
        <v>45566</v>
      </c>
      <c r="R129" s="5" t="s">
        <v>3530</v>
      </c>
      <c r="S129" s="5" t="s">
        <v>3531</v>
      </c>
      <c r="T129" s="5" t="s">
        <v>51</v>
      </c>
      <c r="U129" s="5" t="e">
        <v>#N/A</v>
      </c>
      <c r="V129" s="5" t="s">
        <v>3532</v>
      </c>
      <c r="W129" s="5" t="s">
        <v>1393</v>
      </c>
      <c r="X129" s="5" t="s">
        <v>3533</v>
      </c>
      <c r="Y129" s="5" t="s">
        <v>3534</v>
      </c>
      <c r="Z129" s="5" t="s">
        <v>281</v>
      </c>
      <c r="AA129" s="5" t="s">
        <v>3535</v>
      </c>
      <c r="AB129" s="5">
        <v>7</v>
      </c>
      <c r="AC129" s="5" t="s">
        <v>78</v>
      </c>
      <c r="AD129" s="5" t="s">
        <v>3536</v>
      </c>
      <c r="AE129" s="5" t="s">
        <v>3537</v>
      </c>
      <c r="AF129" s="5" t="s">
        <v>1061</v>
      </c>
      <c r="AG129" s="5">
        <v>1872800</v>
      </c>
      <c r="AH129" s="5">
        <v>0</v>
      </c>
      <c r="AI129" s="5"/>
      <c r="AJ129" s="5"/>
      <c r="AK129" s="9"/>
      <c r="AL129" t="e">
        <v>#N/A</v>
      </c>
      <c r="AM129">
        <v>0</v>
      </c>
    </row>
    <row r="130" spans="1:39" hidden="1" x14ac:dyDescent="0.25">
      <c r="A130" s="6">
        <v>270</v>
      </c>
      <c r="B130" s="7" t="s">
        <v>37</v>
      </c>
      <c r="C130" s="7" t="s">
        <v>3538</v>
      </c>
      <c r="D130" s="7" t="s">
        <v>39</v>
      </c>
      <c r="E130" s="7" t="s">
        <v>40</v>
      </c>
      <c r="F130" s="7" t="s">
        <v>1924</v>
      </c>
      <c r="G130" s="7" t="s">
        <v>3539</v>
      </c>
      <c r="H130" s="7" t="s">
        <v>422</v>
      </c>
      <c r="I130" s="7" t="s">
        <v>3540</v>
      </c>
      <c r="J130" s="7" t="s">
        <v>3541</v>
      </c>
      <c r="K130" s="7" t="s">
        <v>3541</v>
      </c>
      <c r="L130" s="7" t="s">
        <v>438</v>
      </c>
      <c r="M130" s="7" t="s">
        <v>3542</v>
      </c>
      <c r="N130" s="7">
        <v>135064</v>
      </c>
      <c r="O130" s="7">
        <v>2420000</v>
      </c>
      <c r="P130" s="7" t="s">
        <v>3543</v>
      </c>
      <c r="Q130" s="12">
        <v>45596</v>
      </c>
      <c r="R130" s="7" t="s">
        <v>3544</v>
      </c>
      <c r="S130" s="7" t="s">
        <v>3545</v>
      </c>
      <c r="T130" s="7" t="s">
        <v>51</v>
      </c>
      <c r="U130" s="7" t="s">
        <v>48</v>
      </c>
      <c r="V130" s="7" t="s">
        <v>3546</v>
      </c>
      <c r="W130" s="7" t="s">
        <v>53</v>
      </c>
      <c r="X130" s="7" t="s">
        <v>298</v>
      </c>
      <c r="Y130" s="7" t="s">
        <v>697</v>
      </c>
      <c r="Z130" s="7" t="s">
        <v>3547</v>
      </c>
      <c r="AA130" s="7" t="s">
        <v>3548</v>
      </c>
      <c r="AB130" s="7">
        <v>3</v>
      </c>
      <c r="AC130" s="7" t="s">
        <v>78</v>
      </c>
      <c r="AD130" s="7" t="s">
        <v>3549</v>
      </c>
      <c r="AE130" s="7" t="s">
        <v>1885</v>
      </c>
      <c r="AF130" s="7" t="s">
        <v>61</v>
      </c>
      <c r="AG130" s="7">
        <v>1936000</v>
      </c>
      <c r="AH130" s="7">
        <v>0</v>
      </c>
      <c r="AI130" s="7"/>
      <c r="AJ130" s="7"/>
      <c r="AK130" s="10"/>
      <c r="AL130" t="e">
        <v>#N/A</v>
      </c>
      <c r="AM130">
        <v>0</v>
      </c>
    </row>
    <row r="131" spans="1:39" hidden="1" x14ac:dyDescent="0.25">
      <c r="A131" s="4">
        <v>275</v>
      </c>
      <c r="B131" s="5" t="s">
        <v>37</v>
      </c>
      <c r="C131" s="5" t="s">
        <v>3604</v>
      </c>
      <c r="D131" s="5" t="s">
        <v>39</v>
      </c>
      <c r="E131" s="5" t="s">
        <v>40</v>
      </c>
      <c r="F131" s="5" t="s">
        <v>3067</v>
      </c>
      <c r="G131" s="5" t="s">
        <v>3605</v>
      </c>
      <c r="H131" s="5" t="s">
        <v>2226</v>
      </c>
      <c r="I131" s="5" t="s">
        <v>3606</v>
      </c>
      <c r="J131" s="5" t="s">
        <v>48</v>
      </c>
      <c r="K131" s="5" t="s">
        <v>3607</v>
      </c>
      <c r="L131" s="5" t="s">
        <v>48</v>
      </c>
      <c r="M131" s="5" t="s">
        <v>3608</v>
      </c>
      <c r="N131" s="5">
        <v>288510</v>
      </c>
      <c r="O131" s="5">
        <v>3882000</v>
      </c>
      <c r="P131" s="5" t="s">
        <v>3609</v>
      </c>
      <c r="Q131" s="11">
        <v>45585</v>
      </c>
      <c r="R131" s="5" t="s">
        <v>3610</v>
      </c>
      <c r="S131" s="5" t="s">
        <v>3611</v>
      </c>
      <c r="T131" s="5" t="s">
        <v>51</v>
      </c>
      <c r="U131" s="5" t="s">
        <v>48</v>
      </c>
      <c r="V131" s="5" t="s">
        <v>2524</v>
      </c>
      <c r="W131" s="5" t="s">
        <v>53</v>
      </c>
      <c r="X131" s="5" t="s">
        <v>1555</v>
      </c>
      <c r="Y131" s="5" t="s">
        <v>152</v>
      </c>
      <c r="Z131" s="5" t="s">
        <v>181</v>
      </c>
      <c r="AA131" s="5" t="s">
        <v>3612</v>
      </c>
      <c r="AB131" s="5">
        <v>3</v>
      </c>
      <c r="AC131" s="5" t="s">
        <v>58</v>
      </c>
      <c r="AD131" s="5" t="s">
        <v>3613</v>
      </c>
      <c r="AE131" s="5" t="s">
        <v>1143</v>
      </c>
      <c r="AF131" s="5" t="s">
        <v>61</v>
      </c>
      <c r="AG131" s="5">
        <v>3105600</v>
      </c>
      <c r="AH131" s="5">
        <v>0</v>
      </c>
      <c r="AI131" s="5"/>
      <c r="AJ131" s="5"/>
      <c r="AK131" s="9"/>
      <c r="AL131" t="e">
        <v>#N/A</v>
      </c>
      <c r="AM131">
        <v>0</v>
      </c>
    </row>
    <row r="132" spans="1:39" hidden="1" x14ac:dyDescent="0.25">
      <c r="A132" s="6">
        <v>316</v>
      </c>
      <c r="B132" s="7" t="s">
        <v>37</v>
      </c>
      <c r="C132" s="7" t="s">
        <v>4090</v>
      </c>
      <c r="D132" s="7" t="s">
        <v>39</v>
      </c>
      <c r="E132" s="7" t="s">
        <v>40</v>
      </c>
      <c r="F132" s="7" t="s">
        <v>483</v>
      </c>
      <c r="G132" s="7" t="s">
        <v>4091</v>
      </c>
      <c r="H132" s="7" t="s">
        <v>188</v>
      </c>
      <c r="I132" s="7" t="s">
        <v>4092</v>
      </c>
      <c r="J132" s="7" t="s">
        <v>4093</v>
      </c>
      <c r="K132" s="7" t="s">
        <v>4093</v>
      </c>
      <c r="L132" s="7" t="s">
        <v>4093</v>
      </c>
      <c r="M132" s="7" t="s">
        <v>4094</v>
      </c>
      <c r="N132" s="7">
        <v>116448</v>
      </c>
      <c r="O132" s="7">
        <v>3283000</v>
      </c>
      <c r="P132" s="7" t="s">
        <v>4095</v>
      </c>
      <c r="Q132" s="12">
        <v>45589</v>
      </c>
      <c r="R132" s="7" t="s">
        <v>4096</v>
      </c>
      <c r="S132" s="7" t="s">
        <v>4097</v>
      </c>
      <c r="T132" s="7" t="s">
        <v>51</v>
      </c>
      <c r="U132" s="7" t="s">
        <v>48</v>
      </c>
      <c r="V132" s="7" t="s">
        <v>551</v>
      </c>
      <c r="W132" s="7" t="s">
        <v>53</v>
      </c>
      <c r="X132" s="7" t="s">
        <v>121</v>
      </c>
      <c r="Y132" s="7" t="s">
        <v>152</v>
      </c>
      <c r="Z132" s="7" t="s">
        <v>181</v>
      </c>
      <c r="AA132" s="7" t="s">
        <v>4098</v>
      </c>
      <c r="AB132" s="7">
        <v>3</v>
      </c>
      <c r="AC132" s="7" t="s">
        <v>78</v>
      </c>
      <c r="AD132" s="7" t="s">
        <v>4099</v>
      </c>
      <c r="AE132" s="7" t="s">
        <v>1430</v>
      </c>
      <c r="AF132" s="7" t="s">
        <v>61</v>
      </c>
      <c r="AG132" s="7">
        <v>2626400</v>
      </c>
      <c r="AH132" s="7">
        <v>0</v>
      </c>
      <c r="AI132" s="7"/>
      <c r="AJ132" s="7"/>
      <c r="AK132" s="10"/>
      <c r="AL132" t="e">
        <v>#N/A</v>
      </c>
      <c r="AM132">
        <v>0</v>
      </c>
    </row>
    <row r="133" spans="1:39" hidden="1" x14ac:dyDescent="0.25">
      <c r="A133" s="4">
        <v>345</v>
      </c>
      <c r="B133" s="5" t="s">
        <v>37</v>
      </c>
      <c r="C133" s="5" t="s">
        <v>4423</v>
      </c>
      <c r="D133" s="5" t="s">
        <v>39</v>
      </c>
      <c r="E133" s="5" t="s">
        <v>40</v>
      </c>
      <c r="F133" s="5" t="s">
        <v>41</v>
      </c>
      <c r="G133" s="5" t="s">
        <v>4424</v>
      </c>
      <c r="H133" s="5" t="s">
        <v>43</v>
      </c>
      <c r="I133" s="5" t="s">
        <v>4425</v>
      </c>
      <c r="J133" s="5" t="s">
        <v>4426</v>
      </c>
      <c r="K133" s="5" t="s">
        <v>4427</v>
      </c>
      <c r="L133" s="5" t="s">
        <v>4428</v>
      </c>
      <c r="M133" s="5" t="s">
        <v>4429</v>
      </c>
      <c r="N133" s="5">
        <v>169210</v>
      </c>
      <c r="O133" s="5">
        <v>3283000</v>
      </c>
      <c r="P133" s="5" t="s">
        <v>4430</v>
      </c>
      <c r="Q133" s="11">
        <v>45592</v>
      </c>
      <c r="R133" s="5" t="s">
        <v>4431</v>
      </c>
      <c r="S133" s="5" t="s">
        <v>4432</v>
      </c>
      <c r="T133" s="5" t="s">
        <v>51</v>
      </c>
      <c r="U133" s="5" t="s">
        <v>48</v>
      </c>
      <c r="V133" s="5" t="s">
        <v>551</v>
      </c>
      <c r="W133" s="5" t="s">
        <v>53</v>
      </c>
      <c r="X133" s="5" t="s">
        <v>2595</v>
      </c>
      <c r="Y133" s="5" t="s">
        <v>152</v>
      </c>
      <c r="Z133" s="5" t="s">
        <v>181</v>
      </c>
      <c r="AA133" s="5" t="s">
        <v>4433</v>
      </c>
      <c r="AB133" s="5">
        <v>3</v>
      </c>
      <c r="AC133" s="5" t="s">
        <v>78</v>
      </c>
      <c r="AD133" s="5" t="s">
        <v>4434</v>
      </c>
      <c r="AE133" s="5" t="s">
        <v>4087</v>
      </c>
      <c r="AF133" s="5" t="s">
        <v>61</v>
      </c>
      <c r="AG133" s="5">
        <v>2626400</v>
      </c>
      <c r="AH133" s="5">
        <v>0</v>
      </c>
      <c r="AI133" s="5"/>
      <c r="AJ133" s="5"/>
      <c r="AK133" s="9"/>
      <c r="AL133" t="e">
        <v>#N/A</v>
      </c>
      <c r="AM133">
        <v>0</v>
      </c>
    </row>
    <row r="134" spans="1:39" hidden="1" x14ac:dyDescent="0.25">
      <c r="A134" s="6">
        <v>352</v>
      </c>
      <c r="B134" s="7" t="s">
        <v>37</v>
      </c>
      <c r="C134" s="7" t="s">
        <v>4504</v>
      </c>
      <c r="D134" s="7" t="s">
        <v>39</v>
      </c>
      <c r="E134" s="7" t="s">
        <v>40</v>
      </c>
      <c r="F134" s="7" t="s">
        <v>186</v>
      </c>
      <c r="G134" s="7" t="s">
        <v>4505</v>
      </c>
      <c r="H134" s="7" t="s">
        <v>188</v>
      </c>
      <c r="I134" s="7" t="s">
        <v>4506</v>
      </c>
      <c r="J134" s="7" t="s">
        <v>514</v>
      </c>
      <c r="K134" s="7" t="s">
        <v>4507</v>
      </c>
      <c r="L134" s="7" t="s">
        <v>514</v>
      </c>
      <c r="M134" s="7" t="s">
        <v>4508</v>
      </c>
      <c r="N134" s="7">
        <v>76674</v>
      </c>
      <c r="O134" s="7">
        <v>1300000</v>
      </c>
      <c r="P134" s="7" t="s">
        <v>4509</v>
      </c>
      <c r="Q134" s="12">
        <v>45592</v>
      </c>
      <c r="R134" s="7" t="s">
        <v>4510</v>
      </c>
      <c r="S134" s="7" t="s">
        <v>4511</v>
      </c>
      <c r="T134" s="7" t="s">
        <v>196</v>
      </c>
      <c r="U134" s="7" t="s">
        <v>4512</v>
      </c>
      <c r="V134" s="7" t="s">
        <v>325</v>
      </c>
      <c r="W134" s="7" t="s">
        <v>536</v>
      </c>
      <c r="X134" s="7" t="s">
        <v>3136</v>
      </c>
      <c r="Y134" s="7" t="s">
        <v>152</v>
      </c>
      <c r="Z134" s="7" t="s">
        <v>181</v>
      </c>
      <c r="AA134" s="7" t="s">
        <v>4513</v>
      </c>
      <c r="AB134" s="7">
        <v>3</v>
      </c>
      <c r="AC134" s="7" t="s">
        <v>78</v>
      </c>
      <c r="AD134" s="7" t="s">
        <v>4514</v>
      </c>
      <c r="AE134" s="7" t="s">
        <v>3136</v>
      </c>
      <c r="AF134" s="7" t="s">
        <v>61</v>
      </c>
      <c r="AG134" s="7">
        <v>1040000</v>
      </c>
      <c r="AH134" s="7">
        <v>0</v>
      </c>
      <c r="AI134" s="7"/>
      <c r="AJ134" s="7"/>
      <c r="AK134" s="10"/>
      <c r="AL134" t="e">
        <v>#N/A</v>
      </c>
      <c r="AM134">
        <v>0</v>
      </c>
    </row>
    <row r="135" spans="1:39" hidden="1" x14ac:dyDescent="0.25">
      <c r="A135" s="4">
        <v>358</v>
      </c>
      <c r="B135" s="5" t="s">
        <v>37</v>
      </c>
      <c r="C135" s="5" t="s">
        <v>4570</v>
      </c>
      <c r="D135" s="5" t="s">
        <v>39</v>
      </c>
      <c r="E135" s="5" t="s">
        <v>40</v>
      </c>
      <c r="F135" s="5" t="s">
        <v>258</v>
      </c>
      <c r="G135" s="5" t="s">
        <v>4571</v>
      </c>
      <c r="H135" s="5" t="s">
        <v>43</v>
      </c>
      <c r="I135" s="5" t="s">
        <v>4572</v>
      </c>
      <c r="J135" s="5" t="s">
        <v>4573</v>
      </c>
      <c r="K135" s="5" t="s">
        <v>4574</v>
      </c>
      <c r="L135" s="5" t="s">
        <v>4575</v>
      </c>
      <c r="M135" s="5" t="s">
        <v>4576</v>
      </c>
      <c r="N135" s="5">
        <v>691512</v>
      </c>
      <c r="O135" s="5">
        <v>8439000</v>
      </c>
      <c r="P135" s="5" t="s">
        <v>4577</v>
      </c>
      <c r="Q135" s="11">
        <v>45590</v>
      </c>
      <c r="R135" s="5" t="s">
        <v>4578</v>
      </c>
      <c r="S135" s="5" t="s">
        <v>4579</v>
      </c>
      <c r="T135" s="5" t="s">
        <v>51</v>
      </c>
      <c r="U135" s="5" t="s">
        <v>48</v>
      </c>
      <c r="V135" s="5" t="s">
        <v>2888</v>
      </c>
      <c r="W135" s="5" t="s">
        <v>53</v>
      </c>
      <c r="X135" s="5" t="s">
        <v>4580</v>
      </c>
      <c r="Y135" s="5" t="s">
        <v>697</v>
      </c>
      <c r="Z135" s="5" t="s">
        <v>3547</v>
      </c>
      <c r="AA135" s="5" t="s">
        <v>4581</v>
      </c>
      <c r="AB135" s="5">
        <v>3</v>
      </c>
      <c r="AC135" s="5" t="s">
        <v>556</v>
      </c>
      <c r="AD135" s="5" t="s">
        <v>4582</v>
      </c>
      <c r="AE135" s="5" t="s">
        <v>3374</v>
      </c>
      <c r="AF135" s="5" t="s">
        <v>155</v>
      </c>
      <c r="AG135" s="5">
        <v>6751200</v>
      </c>
      <c r="AH135" s="5">
        <v>0</v>
      </c>
      <c r="AI135" s="5"/>
      <c r="AJ135" s="5"/>
      <c r="AK135" s="9"/>
      <c r="AL135" t="e">
        <v>#N/A</v>
      </c>
      <c r="AM135">
        <v>0</v>
      </c>
    </row>
    <row r="136" spans="1:39" hidden="1" x14ac:dyDescent="0.25">
      <c r="A136" s="6">
        <v>364</v>
      </c>
      <c r="B136" s="7" t="s">
        <v>37</v>
      </c>
      <c r="C136" s="7" t="s">
        <v>4642</v>
      </c>
      <c r="D136" s="7" t="s">
        <v>39</v>
      </c>
      <c r="E136" s="7" t="s">
        <v>40</v>
      </c>
      <c r="F136" s="7" t="s">
        <v>2957</v>
      </c>
      <c r="G136" s="7" t="s">
        <v>4643</v>
      </c>
      <c r="H136" s="7" t="s">
        <v>188</v>
      </c>
      <c r="I136" s="7" t="s">
        <v>4644</v>
      </c>
      <c r="J136" s="7" t="s">
        <v>4645</v>
      </c>
      <c r="K136" s="7" t="s">
        <v>4646</v>
      </c>
      <c r="L136" s="7" t="s">
        <v>438</v>
      </c>
      <c r="M136" s="7" t="s">
        <v>4647</v>
      </c>
      <c r="N136" s="7">
        <v>595207</v>
      </c>
      <c r="O136" s="7">
        <v>9278000</v>
      </c>
      <c r="P136" s="7" t="s">
        <v>4648</v>
      </c>
      <c r="Q136" s="12">
        <v>45590</v>
      </c>
      <c r="R136" s="7" t="s">
        <v>4649</v>
      </c>
      <c r="S136" s="7" t="s">
        <v>4650</v>
      </c>
      <c r="T136" s="7" t="s">
        <v>51</v>
      </c>
      <c r="U136" s="7" t="s">
        <v>48</v>
      </c>
      <c r="V136" s="7" t="s">
        <v>3270</v>
      </c>
      <c r="W136" s="7" t="s">
        <v>53</v>
      </c>
      <c r="X136" s="7" t="s">
        <v>4651</v>
      </c>
      <c r="Y136" s="7" t="s">
        <v>152</v>
      </c>
      <c r="Z136" s="7" t="s">
        <v>181</v>
      </c>
      <c r="AA136" s="7" t="s">
        <v>4652</v>
      </c>
      <c r="AB136" s="7">
        <v>3</v>
      </c>
      <c r="AC136" s="7" t="s">
        <v>123</v>
      </c>
      <c r="AD136" s="7" t="s">
        <v>4653</v>
      </c>
      <c r="AE136" s="7" t="s">
        <v>1454</v>
      </c>
      <c r="AF136" s="7" t="s">
        <v>155</v>
      </c>
      <c r="AG136" s="7">
        <v>7422400</v>
      </c>
      <c r="AH136" s="7">
        <v>0</v>
      </c>
      <c r="AI136" s="7"/>
      <c r="AJ136" s="7"/>
      <c r="AK136" s="10"/>
      <c r="AL136" t="e">
        <v>#N/A</v>
      </c>
      <c r="AM136">
        <v>0</v>
      </c>
    </row>
  </sheetData>
  <autoFilter ref="A1:AM136" xr:uid="{58E28E3B-4BC4-4A79-AE77-FF878C6DE8F3}">
    <filterColumn colId="38">
      <filters>
        <filter val="15495"/>
        <filter val="25,760"/>
        <filter val="25,950"/>
        <filter val="27,200"/>
        <filter val="28,054"/>
        <filter val="38,610"/>
        <filter val="39,675"/>
        <filter val="43,248"/>
        <filter val="45,040"/>
        <filter val="46,226"/>
        <filter val="55,463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Payment</vt:lpstr>
      <vt:lpstr>working</vt:lpstr>
      <vt:lpstr>Sheet2</vt:lpstr>
      <vt:lpstr>policy</vt:lpstr>
      <vt:lpstr>Cancelaltion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Safi Ul Islam</dc:creator>
  <cp:lastModifiedBy>IT User Software</cp:lastModifiedBy>
  <dcterms:created xsi:type="dcterms:W3CDTF">2024-11-28T13:24:10Z</dcterms:created>
  <dcterms:modified xsi:type="dcterms:W3CDTF">2024-12-03T04:32:16Z</dcterms:modified>
</cp:coreProperties>
</file>