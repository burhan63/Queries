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Raheel Malik\"/>
    </mc:Choice>
  </mc:AlternateContent>
  <xr:revisionPtr revIDLastSave="0" documentId="13_ncr:1_{221A8F54-4601-46A3-B9EE-0CBB3955AB2F}" xr6:coauthVersionLast="47" xr6:coauthVersionMax="47" xr10:uidLastSave="{00000000-0000-0000-0000-000000000000}"/>
  <bookViews>
    <workbookView xWindow="-120" yWindow="-120" windowWidth="20730" windowHeight="11040" activeTab="4" xr2:uid="{10D1A608-28D8-4C4B-8081-F1073DD50DDF}"/>
  </bookViews>
  <sheets>
    <sheet name="Fresh" sheetId="1" r:id="rId1"/>
    <sheet name="workingfresh" sheetId="4" r:id="rId2"/>
    <sheet name="Sheet2" sheetId="5" r:id="rId3"/>
    <sheet name="Renewal" sheetId="2" r:id="rId4"/>
    <sheet name="workingrenewal" sheetId="6" r:id="rId5"/>
    <sheet name="Sheet4" sheetId="7" r:id="rId6"/>
    <sheet name="Summary" sheetId="3" r:id="rId7"/>
  </sheets>
  <externalReferences>
    <externalReference r:id="rId8"/>
    <externalReference r:id="rId9"/>
  </externalReferences>
  <definedNames>
    <definedName name="_xlnm._FilterDatabase" localSheetId="2" hidden="1">Sheet2!$H$1:$I$61</definedName>
    <definedName name="_xlnm._FilterDatabase" localSheetId="5" hidden="1">Sheet4!$H$1:$I$185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6" l="1"/>
  <c r="H88" i="6" s="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G1" i="6"/>
  <c r="F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2" i="7"/>
  <c r="D1" i="6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B2" i="4"/>
  <c r="G2" i="4" s="1"/>
  <c r="H2" i="4" s="1"/>
  <c r="B3" i="4"/>
  <c r="G3" i="4" s="1"/>
  <c r="H3" i="4" s="1"/>
  <c r="B4" i="4"/>
  <c r="G4" i="4" s="1"/>
  <c r="H4" i="4" s="1"/>
  <c r="B5" i="4"/>
  <c r="G5" i="4" s="1"/>
  <c r="H5" i="4" s="1"/>
  <c r="B6" i="4"/>
  <c r="G6" i="4" s="1"/>
  <c r="H6" i="4" s="1"/>
  <c r="B7" i="4"/>
  <c r="G7" i="4" s="1"/>
  <c r="H7" i="4" s="1"/>
  <c r="B8" i="4"/>
  <c r="G8" i="4" s="1"/>
  <c r="H8" i="4" s="1"/>
  <c r="B9" i="4"/>
  <c r="G9" i="4" s="1"/>
  <c r="H9" i="4" s="1"/>
  <c r="B10" i="4"/>
  <c r="G10" i="4" s="1"/>
  <c r="H10" i="4" s="1"/>
  <c r="B11" i="4"/>
  <c r="G11" i="4" s="1"/>
  <c r="H11" i="4" s="1"/>
  <c r="B12" i="4"/>
  <c r="G12" i="4" s="1"/>
  <c r="H12" i="4" s="1"/>
  <c r="B13" i="4"/>
  <c r="G13" i="4" s="1"/>
  <c r="H13" i="4" s="1"/>
  <c r="B14" i="4"/>
  <c r="G14" i="4" s="1"/>
  <c r="H14" i="4" s="1"/>
  <c r="B15" i="4"/>
  <c r="G15" i="4" s="1"/>
  <c r="H15" i="4" s="1"/>
  <c r="B16" i="4"/>
  <c r="G16" i="4" s="1"/>
  <c r="H16" i="4" s="1"/>
  <c r="B17" i="4"/>
  <c r="G17" i="4" s="1"/>
  <c r="H17" i="4" s="1"/>
  <c r="B18" i="4"/>
  <c r="G18" i="4" s="1"/>
  <c r="H18" i="4" s="1"/>
  <c r="B19" i="4"/>
  <c r="G19" i="4" s="1"/>
  <c r="H19" i="4" s="1"/>
  <c r="B20" i="4"/>
  <c r="G20" i="4" s="1"/>
  <c r="H20" i="4" s="1"/>
  <c r="B21" i="4"/>
  <c r="G21" i="4" s="1"/>
  <c r="H21" i="4" s="1"/>
  <c r="B22" i="4"/>
  <c r="G22" i="4" s="1"/>
  <c r="H22" i="4" s="1"/>
  <c r="B23" i="4"/>
  <c r="G23" i="4" s="1"/>
  <c r="H23" i="4" s="1"/>
  <c r="B24" i="4"/>
  <c r="G24" i="4" s="1"/>
  <c r="H24" i="4" s="1"/>
  <c r="B25" i="4"/>
  <c r="G25" i="4" s="1"/>
  <c r="H25" i="4" s="1"/>
  <c r="B26" i="4"/>
  <c r="G26" i="4" s="1"/>
  <c r="H26" i="4" s="1"/>
  <c r="B27" i="4"/>
  <c r="G27" i="4" s="1"/>
  <c r="H27" i="4" s="1"/>
  <c r="B28" i="4"/>
  <c r="G28" i="4" s="1"/>
  <c r="H28" i="4" s="1"/>
  <c r="B29" i="4"/>
  <c r="G29" i="4" s="1"/>
  <c r="H29" i="4" s="1"/>
  <c r="B30" i="4"/>
  <c r="G30" i="4" s="1"/>
  <c r="H30" i="4" s="1"/>
  <c r="B31" i="4"/>
  <c r="G31" i="4" s="1"/>
  <c r="H31" i="4" s="1"/>
  <c r="B32" i="4"/>
  <c r="G32" i="4" s="1"/>
  <c r="H32" i="4" s="1"/>
  <c r="B33" i="4"/>
  <c r="G33" i="4" s="1"/>
  <c r="H33" i="4" s="1"/>
  <c r="B34" i="4"/>
  <c r="G34" i="4" s="1"/>
  <c r="H34" i="4" s="1"/>
  <c r="B35" i="4"/>
  <c r="G35" i="4" s="1"/>
  <c r="H35" i="4" s="1"/>
  <c r="B36" i="4"/>
  <c r="G36" i="4" s="1"/>
  <c r="H36" i="4" s="1"/>
  <c r="B37" i="4"/>
  <c r="G37" i="4" s="1"/>
  <c r="H37" i="4" s="1"/>
  <c r="B38" i="4"/>
  <c r="G38" i="4" s="1"/>
  <c r="H38" i="4" s="1"/>
  <c r="B39" i="4"/>
  <c r="G39" i="4" s="1"/>
  <c r="H39" i="4" s="1"/>
  <c r="B40" i="4"/>
  <c r="G40" i="4" s="1"/>
  <c r="H40" i="4" s="1"/>
  <c r="B41" i="4"/>
  <c r="G41" i="4" s="1"/>
  <c r="H41" i="4" s="1"/>
  <c r="B42" i="4"/>
  <c r="G42" i="4" s="1"/>
  <c r="H42" i="4" s="1"/>
  <c r="B43" i="4"/>
  <c r="G43" i="4" s="1"/>
  <c r="H43" i="4" s="1"/>
  <c r="B44" i="4"/>
  <c r="G44" i="4" s="1"/>
  <c r="H44" i="4" s="1"/>
  <c r="B45" i="4"/>
  <c r="G45" i="4" s="1"/>
  <c r="H45" i="4" s="1"/>
  <c r="B46" i="4"/>
  <c r="G46" i="4" s="1"/>
  <c r="H46" i="4" s="1"/>
  <c r="B47" i="4"/>
  <c r="G47" i="4" s="1"/>
  <c r="H47" i="4" s="1"/>
  <c r="B48" i="4"/>
  <c r="G48" i="4" s="1"/>
  <c r="H48" i="4" s="1"/>
  <c r="B49" i="4"/>
  <c r="G49" i="4" s="1"/>
  <c r="H49" i="4" s="1"/>
  <c r="B50" i="4"/>
  <c r="G50" i="4" s="1"/>
  <c r="H50" i="4" s="1"/>
  <c r="B51" i="4"/>
  <c r="G51" i="4" s="1"/>
  <c r="H51" i="4" s="1"/>
  <c r="B52" i="4"/>
  <c r="G52" i="4" s="1"/>
  <c r="H52" i="4" s="1"/>
  <c r="B53" i="4"/>
  <c r="G53" i="4" s="1"/>
  <c r="H53" i="4" s="1"/>
  <c r="B54" i="4"/>
  <c r="G54" i="4" s="1"/>
  <c r="H54" i="4" s="1"/>
  <c r="B55" i="4"/>
  <c r="G55" i="4" s="1"/>
  <c r="H55" i="4" s="1"/>
  <c r="B56" i="4"/>
  <c r="G56" i="4" s="1"/>
  <c r="H56" i="4" s="1"/>
  <c r="B57" i="4"/>
  <c r="G57" i="4" s="1"/>
  <c r="H57" i="4" s="1"/>
  <c r="B58" i="4"/>
  <c r="G58" i="4" s="1"/>
  <c r="H58" i="4" s="1"/>
  <c r="B59" i="4"/>
  <c r="G59" i="4" s="1"/>
  <c r="H59" i="4" s="1"/>
  <c r="B60" i="4"/>
  <c r="G60" i="4" s="1"/>
  <c r="H60" i="4" s="1"/>
  <c r="B1" i="4"/>
  <c r="G1" i="4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2" i="5"/>
  <c r="F1" i="4"/>
  <c r="D1" i="4"/>
  <c r="H1" i="6" l="1"/>
  <c r="H1" i="4"/>
</calcChain>
</file>

<file path=xl/sharedStrings.xml><?xml version="1.0" encoding="utf-8"?>
<sst xmlns="http://schemas.openxmlformats.org/spreadsheetml/2006/main" count="5111" uniqueCount="1886">
  <si>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</si>
  <si>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</si>
  <si>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</si>
  <si>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</si>
  <si>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</si>
  <si>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</si>
  <si>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</si>
  <si>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</si>
  <si>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</si>
  <si>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</si>
  <si>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</si>
  <si>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</si>
  <si>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</si>
  <si>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</si>
  <si>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</si>
  <si>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</si>
  <si>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</si>
  <si>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</si>
  <si>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</si>
  <si>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</si>
  <si>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</si>
  <si>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</si>
  <si>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</si>
  <si>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</si>
  <si>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</si>
  <si>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</si>
  <si>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</si>
  <si>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</si>
  <si>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</si>
  <si>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</si>
  <si>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Policy #</t>
  </si>
  <si>
    <t>Tms Prem</t>
  </si>
  <si>
    <t>Difference</t>
  </si>
  <si>
    <t>Fresh</t>
  </si>
  <si>
    <t>73320/1</t>
  </si>
  <si>
    <t>SALAAM TAKAFUL LTD</t>
  </si>
  <si>
    <t>KHI/HO/D/MO/PC COMP/C/92394/1/07/2024</t>
  </si>
  <si>
    <t xml:space="preserve">Haroon Lazar
</t>
  </si>
  <si>
    <t>TOYOTA YARIS 1.5 CVT X</t>
  </si>
  <si>
    <t>BTJ-410</t>
  </si>
  <si>
    <t>2A23099</t>
  </si>
  <si>
    <t>9509303</t>
  </si>
  <si>
    <t>South</t>
  </si>
  <si>
    <t>0144</t>
  </si>
  <si>
    <t>645544</t>
  </si>
  <si>
    <t>paid</t>
  </si>
  <si>
    <t>DISBURSED</t>
  </si>
  <si>
    <t>72618/1</t>
  </si>
  <si>
    <t>KHI/HO/D/MO/PC COMP/C/92394/10/07/2024</t>
  </si>
  <si>
    <t xml:space="preserve">Muhammad Ijaz 
</t>
  </si>
  <si>
    <t>HONDA CITY</t>
  </si>
  <si>
    <t>AKB-853</t>
  </si>
  <si>
    <t>L13Z17509783</t>
  </si>
  <si>
    <t>NFBGM1643JR222574</t>
  </si>
  <si>
    <t>Central</t>
  </si>
  <si>
    <t>0423</t>
  </si>
  <si>
    <t>648157</t>
  </si>
  <si>
    <t>KHI/HO/D/MO/PC COMP/C/92394/8/07/2024</t>
  </si>
  <si>
    <t>73073/1</t>
  </si>
  <si>
    <t>KHI/HO/D/MO/PC COMP/C/92394/12/07/2024</t>
  </si>
  <si>
    <t xml:space="preserve">Muhammad Shoaib Baig
</t>
  </si>
  <si>
    <t>SUZUKI Swift GLX CVT</t>
  </si>
  <si>
    <t>K12MR1020994</t>
  </si>
  <si>
    <t>NF1SZC63S00203636</t>
  </si>
  <si>
    <t>625019</t>
  </si>
  <si>
    <t>72352/1</t>
  </si>
  <si>
    <t>KHI/HO/D/MO/PC COMP/C/92394/13/07/2024</t>
  </si>
  <si>
    <t xml:space="preserve">Muhammad Tariq
</t>
  </si>
  <si>
    <t>SUZUKI MEHRAN</t>
  </si>
  <si>
    <t>BLX-296</t>
  </si>
  <si>
    <t>713981</t>
  </si>
  <si>
    <t>PK01252479</t>
  </si>
  <si>
    <t>0461</t>
  </si>
  <si>
    <t>646129</t>
  </si>
  <si>
    <t>72100/1</t>
  </si>
  <si>
    <t>KHI/HO/D/MO/PC COMP/C/92394/14/07/2024</t>
  </si>
  <si>
    <t xml:space="preserve">Talha Abbas
</t>
  </si>
  <si>
    <t>SUZUKI WAGONR</t>
  </si>
  <si>
    <t>AFX-480</t>
  </si>
  <si>
    <t>223500</t>
  </si>
  <si>
    <t>123508</t>
  </si>
  <si>
    <t>0329</t>
  </si>
  <si>
    <t>645582</t>
  </si>
  <si>
    <t>73528/1</t>
  </si>
  <si>
    <t>KHI/HO/D/MO/PC COMP/C/92394/15/07/2024</t>
  </si>
  <si>
    <t xml:space="preserve">Syed Ali Abbas Zaidi
</t>
  </si>
  <si>
    <t>SUZUKI ALTO VXL AGS</t>
  </si>
  <si>
    <t>313891</t>
  </si>
  <si>
    <t>1213866</t>
  </si>
  <si>
    <t>0261</t>
  </si>
  <si>
    <t>650979</t>
  </si>
  <si>
    <t>73655/2</t>
  </si>
  <si>
    <t>KHI/HO/D/MO/PC COMP/C/92394/16/07/2024</t>
  </si>
  <si>
    <t xml:space="preserve">Basit Zahoor 
</t>
  </si>
  <si>
    <t>HONDA CITY ASPIRE CVT PT</t>
  </si>
  <si>
    <t>BPA-322</t>
  </si>
  <si>
    <t>7522817</t>
  </si>
  <si>
    <t>R239635</t>
  </si>
  <si>
    <t>0150</t>
  </si>
  <si>
    <t>648844</t>
  </si>
  <si>
    <t>71819/1</t>
  </si>
  <si>
    <t>KHI/HO/D/MO/PC COMP/C/92394/17/07/2024</t>
  </si>
  <si>
    <t xml:space="preserve">Muhammad Afzaal 
</t>
  </si>
  <si>
    <t>3310091823803</t>
  </si>
  <si>
    <t>SUZUKI WAGON-R VXL E2</t>
  </si>
  <si>
    <t>PK10B248069</t>
  </si>
  <si>
    <t>A1J310PK10148066</t>
  </si>
  <si>
    <t>644410</t>
  </si>
  <si>
    <t>72860/1</t>
  </si>
  <si>
    <t>KHI/HO/D/MO/PC COMP/C/92394/18/07/2024</t>
  </si>
  <si>
    <t xml:space="preserve">Amir Shahzad
</t>
  </si>
  <si>
    <t>SUZUKI ALTO</t>
  </si>
  <si>
    <t>AND-350</t>
  </si>
  <si>
    <t>6R192890</t>
  </si>
  <si>
    <t>1092863</t>
  </si>
  <si>
    <t>650274</t>
  </si>
  <si>
    <t>73350/1</t>
  </si>
  <si>
    <t>KHI/HO/D/MO/PC COMP/C/92394/19/07/2024</t>
  </si>
  <si>
    <t xml:space="preserve">Shahzaib Chawala
</t>
  </si>
  <si>
    <t>HYUNDAI Elantra GLS Sport</t>
  </si>
  <si>
    <t>AMX-037</t>
  </si>
  <si>
    <t>677564</t>
  </si>
  <si>
    <t>305481</t>
  </si>
  <si>
    <t>425293</t>
  </si>
  <si>
    <t>72196/1</t>
  </si>
  <si>
    <t>KHI/HO/D/MO/PC COMP/C/92394/2/07/2024</t>
  </si>
  <si>
    <t xml:space="preserve">Muhammad Waqas 
</t>
  </si>
  <si>
    <t>BSR-979</t>
  </si>
  <si>
    <t>135352</t>
  </si>
  <si>
    <t>1035429</t>
  </si>
  <si>
    <t>646552</t>
  </si>
  <si>
    <t>73351/1</t>
  </si>
  <si>
    <t>KHI/HO/D/MO/PC COMP/C/92394/20/07/2024</t>
  </si>
  <si>
    <t xml:space="preserve">Nasir Hameed
</t>
  </si>
  <si>
    <t>316209</t>
  </si>
  <si>
    <t>1216209</t>
  </si>
  <si>
    <t>411010</t>
  </si>
  <si>
    <t>73223/1</t>
  </si>
  <si>
    <t>KHI/HO/D/MO/PC COMP/C/92394/21/07/2024</t>
  </si>
  <si>
    <t xml:space="preserve">Muhammad Qasim Iftikhar
</t>
  </si>
  <si>
    <t>PROTON PROTON X70 FWD Pre</t>
  </si>
  <si>
    <t>ANY-230</t>
  </si>
  <si>
    <t>3108286</t>
  </si>
  <si>
    <t>P000606</t>
  </si>
  <si>
    <t>650746</t>
  </si>
  <si>
    <t>73790/1</t>
  </si>
  <si>
    <t>KHI/HO/D/MO/PC COMP/C/92394/22/07/2024</t>
  </si>
  <si>
    <t xml:space="preserve">Kashif Munir 
</t>
  </si>
  <si>
    <t>SUZUKI CULTUS VXL EURO II</t>
  </si>
  <si>
    <t>MND-18-537</t>
  </si>
  <si>
    <t>126775</t>
  </si>
  <si>
    <t>10026737</t>
  </si>
  <si>
    <t>0431</t>
  </si>
  <si>
    <t>650574</t>
  </si>
  <si>
    <t>73513/1</t>
  </si>
  <si>
    <t>KHI/HO/D/MO/PC COMP/C/92394/23/07/2024</t>
  </si>
  <si>
    <t xml:space="preserve">Muhammad Anas Riaz
</t>
  </si>
  <si>
    <t>HONDA BRV - S</t>
  </si>
  <si>
    <t>ALI-379</t>
  </si>
  <si>
    <t>13501050</t>
  </si>
  <si>
    <t>001077</t>
  </si>
  <si>
    <t>North</t>
  </si>
  <si>
    <t>0804</t>
  </si>
  <si>
    <t>624334</t>
  </si>
  <si>
    <t>73342/1</t>
  </si>
  <si>
    <t>KHI/HO/D/MO/PC COMP/C/92394/24/07/2024</t>
  </si>
  <si>
    <t xml:space="preserve">Shahid Pervaiz Khan
</t>
  </si>
  <si>
    <t>SUZUKI WAGON R VXL AGS</t>
  </si>
  <si>
    <t>247867</t>
  </si>
  <si>
    <t>10147855</t>
  </si>
  <si>
    <t>392217</t>
  </si>
  <si>
    <t>73399/1</t>
  </si>
  <si>
    <t>KHI/HO/D/MO/PC COMP/C/92394/25/07/2024</t>
  </si>
  <si>
    <t xml:space="preserve">Bilal Qasim
</t>
  </si>
  <si>
    <t>6R316433</t>
  </si>
  <si>
    <t>NF1AET306H1216434</t>
  </si>
  <si>
    <t>651393</t>
  </si>
  <si>
    <t>73618/1</t>
  </si>
  <si>
    <t>KHI/HO/D/MO/PC COMP/C/92394/26/07/2024</t>
  </si>
  <si>
    <t xml:space="preserve">Amir Rind Baloch
</t>
  </si>
  <si>
    <t>SUZUKI BOLAN</t>
  </si>
  <si>
    <t>1032747</t>
  </si>
  <si>
    <t>01149263</t>
  </si>
  <si>
    <t>417246</t>
  </si>
  <si>
    <t>73494/1</t>
  </si>
  <si>
    <t>KHI/HO/D/MO/PC COMP/C/92394/27/07/2024</t>
  </si>
  <si>
    <t xml:space="preserve">Imran Rafiq 
</t>
  </si>
  <si>
    <t>LEB-20-7423</t>
  </si>
  <si>
    <t>17537796</t>
  </si>
  <si>
    <t>R259169</t>
  </si>
  <si>
    <t>652271</t>
  </si>
  <si>
    <t>73627/1</t>
  </si>
  <si>
    <t>KHI/HO/D/MO/PC COMP/C/92394/28/07/2024</t>
  </si>
  <si>
    <t xml:space="preserve">Faisal Islam
</t>
  </si>
  <si>
    <t>GLORY GLORY 580</t>
  </si>
  <si>
    <t>AGT-310</t>
  </si>
  <si>
    <t>SFG15T-21022185</t>
  </si>
  <si>
    <t>PDF580PALR21H1530</t>
  </si>
  <si>
    <t>650799</t>
  </si>
  <si>
    <t>73525/1</t>
  </si>
  <si>
    <t>KHI/HO/D/MO/PC COMP/C/92394/29/07/2024</t>
  </si>
  <si>
    <t xml:space="preserve">Umair Hafeez
</t>
  </si>
  <si>
    <t>HONDA CITY ASPIRE P/T</t>
  </si>
  <si>
    <t>AYX-665</t>
  </si>
  <si>
    <t>L15Z81007791</t>
  </si>
  <si>
    <t>NFBGN9660NR018745</t>
  </si>
  <si>
    <t>0422</t>
  </si>
  <si>
    <t>565178</t>
  </si>
  <si>
    <t>73075/1</t>
  </si>
  <si>
    <t>KHI/HO/D/MO/PC COMP/C/92394/3/07/2024</t>
  </si>
  <si>
    <t xml:space="preserve">Muhammad Nauman
</t>
  </si>
  <si>
    <t>HONDA CIVIC</t>
  </si>
  <si>
    <t>ARS-678</t>
  </si>
  <si>
    <t>L15B72600191</t>
  </si>
  <si>
    <t>NFBFC1670LR064447</t>
  </si>
  <si>
    <t>599465</t>
  </si>
  <si>
    <t>72891/1</t>
  </si>
  <si>
    <t>KHI/HO/D/MO/PC COMP/C/92394/30/07/2024</t>
  </si>
  <si>
    <t xml:space="preserve">Rana Shahid Ali
</t>
  </si>
  <si>
    <t>SUZUKI ALTO VXL</t>
  </si>
  <si>
    <t>ANC-595</t>
  </si>
  <si>
    <t>6R218774</t>
  </si>
  <si>
    <t>1118761</t>
  </si>
  <si>
    <t>649530</t>
  </si>
  <si>
    <t>73943/1</t>
  </si>
  <si>
    <t>KHI/HO/D/MO/PC COMP/C/92394/31/07/2024</t>
  </si>
  <si>
    <t xml:space="preserve">Asad Ali
</t>
  </si>
  <si>
    <t>SUZUKI ALTO VXR</t>
  </si>
  <si>
    <t>BTG-239</t>
  </si>
  <si>
    <t>6R159001</t>
  </si>
  <si>
    <t>6H1058975</t>
  </si>
  <si>
    <t>651994</t>
  </si>
  <si>
    <t>73381/1</t>
  </si>
  <si>
    <t>KHI/HO/D/MO/PC COMP/C/92394/32/07/2024</t>
  </si>
  <si>
    <t xml:space="preserve">Muhammad Mohsin Hassan
</t>
  </si>
  <si>
    <t>AJX-973</t>
  </si>
  <si>
    <t>R222392</t>
  </si>
  <si>
    <t>H1122402</t>
  </si>
  <si>
    <t>651316</t>
  </si>
  <si>
    <t>72797/1</t>
  </si>
  <si>
    <t>KHI/HO/D/MO/PC COMP/C/92394/33/07/2024</t>
  </si>
  <si>
    <t xml:space="preserve">Muhammad Asif
</t>
  </si>
  <si>
    <t>LEC-18-7807</t>
  </si>
  <si>
    <t>B714687</t>
  </si>
  <si>
    <t>PK01253184</t>
  </si>
  <si>
    <t>612563</t>
  </si>
  <si>
    <t>73573/1</t>
  </si>
  <si>
    <t>KHI/HO/D/MO/PC COMP/C/92394/34/07/2024</t>
  </si>
  <si>
    <t xml:space="preserve">Johar Ali
</t>
  </si>
  <si>
    <t>SUZUKI WAGON R VXL</t>
  </si>
  <si>
    <t>AXK-357</t>
  </si>
  <si>
    <t>230971</t>
  </si>
  <si>
    <t>10130969</t>
  </si>
  <si>
    <t>652582</t>
  </si>
  <si>
    <t>73699/1</t>
  </si>
  <si>
    <t>KHI/HO/D/MO/PC COMP/C/92394/35/07/2024</t>
  </si>
  <si>
    <t xml:space="preserve">Muhammad Dilawer Zaheer
</t>
  </si>
  <si>
    <t>LEC-19-1302</t>
  </si>
  <si>
    <t>Z12949046</t>
  </si>
  <si>
    <t>KR052536</t>
  </si>
  <si>
    <t>483091</t>
  </si>
  <si>
    <t>73939/1</t>
  </si>
  <si>
    <t>KHI/HO/D/MO/PC COMP/C/92394/36/07/2024</t>
  </si>
  <si>
    <t xml:space="preserve">Sajid Mehmood
</t>
  </si>
  <si>
    <t>ACC-840</t>
  </si>
  <si>
    <t>6R146510</t>
  </si>
  <si>
    <t>1046465</t>
  </si>
  <si>
    <t>391756</t>
  </si>
  <si>
    <t>72645/1</t>
  </si>
  <si>
    <t>KHI/HO/D/MO/PC COMP/C/92394/37/07/2024</t>
  </si>
  <si>
    <t xml:space="preserve">Zubair Ahmad
</t>
  </si>
  <si>
    <t>KIA SPORTAGE ALPHA</t>
  </si>
  <si>
    <t>AVW-21-490</t>
  </si>
  <si>
    <t>025586</t>
  </si>
  <si>
    <t>500411</t>
  </si>
  <si>
    <t>447951</t>
  </si>
  <si>
    <t>73379/1</t>
  </si>
  <si>
    <t>KHI/HO/D/MO/PC COMP/C/92394/38/07/2024</t>
  </si>
  <si>
    <t xml:space="preserve">Hassan Khan
</t>
  </si>
  <si>
    <t>HONDA CITY 1.2  LS CVT</t>
  </si>
  <si>
    <t>B51025579</t>
  </si>
  <si>
    <t>R041904</t>
  </si>
  <si>
    <t>651314</t>
  </si>
  <si>
    <t>72364/1</t>
  </si>
  <si>
    <t>KHI/HO/D/MO/PC COMP/C/92394/39/07/2024</t>
  </si>
  <si>
    <t xml:space="preserve">Nadeem Khalid
</t>
  </si>
  <si>
    <t>TOYOTA COROLLA ALTIS  1.6</t>
  </si>
  <si>
    <t>APB-183</t>
  </si>
  <si>
    <t>Q103726</t>
  </si>
  <si>
    <t>6081206</t>
  </si>
  <si>
    <t>416168</t>
  </si>
  <si>
    <t>72241/1</t>
  </si>
  <si>
    <t>KHI/HO/D/MO/PC COMP/C/92394/4/07/2024</t>
  </si>
  <si>
    <t xml:space="preserve">Aftab Ahmed
</t>
  </si>
  <si>
    <t>1020812</t>
  </si>
  <si>
    <t>203478</t>
  </si>
  <si>
    <t>646952</t>
  </si>
  <si>
    <t>73178/1</t>
  </si>
  <si>
    <t>KHI/HO/D/MO/PC COMP/C/92394/40/07/2024</t>
  </si>
  <si>
    <t xml:space="preserve">Muhammad Qasim
</t>
  </si>
  <si>
    <t>1025646</t>
  </si>
  <si>
    <t>RR041972</t>
  </si>
  <si>
    <t>529947</t>
  </si>
  <si>
    <t>73491/1</t>
  </si>
  <si>
    <t>KHI/HO/D/MO/PC COMP/C/92394/41/07/2024</t>
  </si>
  <si>
    <t xml:space="preserve">Mehar Waqas
</t>
  </si>
  <si>
    <t>ACN-985</t>
  </si>
  <si>
    <t>6R163062</t>
  </si>
  <si>
    <t>H1063065</t>
  </si>
  <si>
    <t>652466</t>
  </si>
  <si>
    <t>73058/1</t>
  </si>
  <si>
    <t>KHI/HO/D/MO/PC COMP/C/92394/42/07/2024</t>
  </si>
  <si>
    <t xml:space="preserve">Sardar Muhammad Ishaq 
</t>
  </si>
  <si>
    <t>AMD-248</t>
  </si>
  <si>
    <t>U748934</t>
  </si>
  <si>
    <t>MMN300145</t>
  </si>
  <si>
    <t>650089</t>
  </si>
  <si>
    <t>73980/1</t>
  </si>
  <si>
    <t>KHI/HO/D/MO/PC COMP/C/92394/43/07/2024</t>
  </si>
  <si>
    <t xml:space="preserve">Muhammad Atif Javed 
</t>
  </si>
  <si>
    <t>TOYOTA COROLLA ALTIS CVT</t>
  </si>
  <si>
    <t>LEC-19-6775</t>
  </si>
  <si>
    <t>Q339538</t>
  </si>
  <si>
    <t>7038671</t>
  </si>
  <si>
    <t>527479</t>
  </si>
  <si>
    <t>73983/1</t>
  </si>
  <si>
    <t>KHI/HO/D/MO/PC COMP/C/92394/44/07/2024</t>
  </si>
  <si>
    <t>LEA -18A-6775</t>
  </si>
  <si>
    <t>12940435</t>
  </si>
  <si>
    <t>JR043864</t>
  </si>
  <si>
    <t>73681/1</t>
  </si>
  <si>
    <t>KHI/HO/D/MO/PC COMP/C/92394/45/07/2024</t>
  </si>
  <si>
    <t xml:space="preserve">Kashif Munir
</t>
  </si>
  <si>
    <t>TOYOTA COROLLA GLI A/T</t>
  </si>
  <si>
    <t>BGW-146</t>
  </si>
  <si>
    <t>Z469384</t>
  </si>
  <si>
    <t>NZE170R4095170</t>
  </si>
  <si>
    <t>652196</t>
  </si>
  <si>
    <t>73799/1</t>
  </si>
  <si>
    <t>KHI/HO/D/MO/PC COMP/C/92394/46/07/2024</t>
  </si>
  <si>
    <t xml:space="preserve">Muhammad Walayat 
</t>
  </si>
  <si>
    <t>1032238</t>
  </si>
  <si>
    <t>01148753</t>
  </si>
  <si>
    <t>421811</t>
  </si>
  <si>
    <t>73732/1</t>
  </si>
  <si>
    <t>KHI/HO/D/MO/PC COMP/C/92394/47/07/2024</t>
  </si>
  <si>
    <t xml:space="preserve">Muhammad Shabbir
</t>
  </si>
  <si>
    <t>AZD-721</t>
  </si>
  <si>
    <t>Q093823</t>
  </si>
  <si>
    <t>6071270</t>
  </si>
  <si>
    <t>652469</t>
  </si>
  <si>
    <t>73463/1</t>
  </si>
  <si>
    <t>KHI/HO/D/MO/PC COMP/C/92394/48/07/2024</t>
  </si>
  <si>
    <t xml:space="preserve">Muhammad Ibad Musarrat
</t>
  </si>
  <si>
    <t>BTN-925</t>
  </si>
  <si>
    <t>162574</t>
  </si>
  <si>
    <t>1062594</t>
  </si>
  <si>
    <t>651499</t>
  </si>
  <si>
    <t>73411/1</t>
  </si>
  <si>
    <t>KHI/HO/D/MO/PC COMP/C/92394/49/07/2024</t>
  </si>
  <si>
    <t xml:space="preserve">Ziauddin Siddiqui
</t>
  </si>
  <si>
    <t>BQX-709</t>
  </si>
  <si>
    <t>115515</t>
  </si>
  <si>
    <t>1015511</t>
  </si>
  <si>
    <t>651470</t>
  </si>
  <si>
    <t>73510/1</t>
  </si>
  <si>
    <t>KHI/HO/D/MO/PC COMP/C/92394/5/07/2024</t>
  </si>
  <si>
    <t xml:space="preserve"> Mamshad Hussain
</t>
  </si>
  <si>
    <t>TOYOTA COROLL 1.6</t>
  </si>
  <si>
    <t>AJB-290</t>
  </si>
  <si>
    <t>089455</t>
  </si>
  <si>
    <t>6067048</t>
  </si>
  <si>
    <t>649274</t>
  </si>
  <si>
    <t>73087/1</t>
  </si>
  <si>
    <t>KHI/HO/D/MO/PC COMP/C/92394/50/07/2024</t>
  </si>
  <si>
    <t xml:space="preserve">Rizwan Ahmed Khan
</t>
  </si>
  <si>
    <t>TOYOTA COROLLA ALTIS  A/T</t>
  </si>
  <si>
    <t>BVY-581</t>
  </si>
  <si>
    <t>089925</t>
  </si>
  <si>
    <t>6067420</t>
  </si>
  <si>
    <t>650229</t>
  </si>
  <si>
    <t>73708/1</t>
  </si>
  <si>
    <t>KHI/HO/D/MO/PC COMP/C/92394/51/07/2024</t>
  </si>
  <si>
    <t xml:space="preserve">Javaid Akram
</t>
  </si>
  <si>
    <t>AFG-957</t>
  </si>
  <si>
    <t>6R187575</t>
  </si>
  <si>
    <t>1087573</t>
  </si>
  <si>
    <t>652640</t>
  </si>
  <si>
    <t>73520/1</t>
  </si>
  <si>
    <t>KHI/HO/D/MO/PC COMP/C/92394/52/07/2024</t>
  </si>
  <si>
    <t xml:space="preserve">Muhammad Sharif
</t>
  </si>
  <si>
    <t>SUZUKI ALTO VXR AGS</t>
  </si>
  <si>
    <t>317184</t>
  </si>
  <si>
    <t>1217158</t>
  </si>
  <si>
    <t>639523</t>
  </si>
  <si>
    <t>72947/1</t>
  </si>
  <si>
    <t>KHI/HO/D/MO/PC COMP/C/92394/53/07/2024</t>
  </si>
  <si>
    <t xml:space="preserve">Ms. Aqsa Altaf
</t>
  </si>
  <si>
    <t>AMP-896</t>
  </si>
  <si>
    <t>255932</t>
  </si>
  <si>
    <t>1155982</t>
  </si>
  <si>
    <t>649716</t>
  </si>
  <si>
    <t>73870/1</t>
  </si>
  <si>
    <t>KHI/HO/D/MO/PC COMP/C/92394/54/07/2024</t>
  </si>
  <si>
    <t xml:space="preserve">Zahid Allah Ditta
</t>
  </si>
  <si>
    <t>SUZUKI CULTUS</t>
  </si>
  <si>
    <t>LE-18A-6019</t>
  </si>
  <si>
    <t>PK10K126864</t>
  </si>
  <si>
    <t>H10026627</t>
  </si>
  <si>
    <t>652935</t>
  </si>
  <si>
    <t>74002/1</t>
  </si>
  <si>
    <t>KHI/HO/D/MO/PC COMP/C/92394/55/07/2024</t>
  </si>
  <si>
    <t xml:space="preserve">Atiq Ur Rahman 
</t>
  </si>
  <si>
    <t>MND-18-343</t>
  </si>
  <si>
    <t>165160</t>
  </si>
  <si>
    <t>10065154</t>
  </si>
  <si>
    <t>0567</t>
  </si>
  <si>
    <t>168578</t>
  </si>
  <si>
    <t>73345/1</t>
  </si>
  <si>
    <t>KHI/HO/D/MO/PC COMP/C/92394/56/07/2024</t>
  </si>
  <si>
    <t xml:space="preserve">Ayyaz Ahmad Bader
</t>
  </si>
  <si>
    <t>LE-19A-7639</t>
  </si>
  <si>
    <t>6R116071</t>
  </si>
  <si>
    <t>H1016071</t>
  </si>
  <si>
    <t>651155</t>
  </si>
  <si>
    <t>73938/1</t>
  </si>
  <si>
    <t>KHI/HO/D/MO/PC COMP/C/92394/57/07/2024</t>
  </si>
  <si>
    <t>LE-18-7750</t>
  </si>
  <si>
    <t>12926166</t>
  </si>
  <si>
    <t>HR029550</t>
  </si>
  <si>
    <t>354697</t>
  </si>
  <si>
    <t>73357/1</t>
  </si>
  <si>
    <t>KHI/HO/D/MO/PC COMP/C/92394/58/07/2024</t>
  </si>
  <si>
    <t xml:space="preserve">Ashar Shahzad 
</t>
  </si>
  <si>
    <t>SUZUKI CIAZ</t>
  </si>
  <si>
    <t>ADT-651</t>
  </si>
  <si>
    <t>133205</t>
  </si>
  <si>
    <t>100399</t>
  </si>
  <si>
    <t>651218</t>
  </si>
  <si>
    <t>73378/1</t>
  </si>
  <si>
    <t>KHI/HO/D/MO/PC COMP/C/92394/59/07/2024</t>
  </si>
  <si>
    <t xml:space="preserve">Lailumah
</t>
  </si>
  <si>
    <t>APG-036</t>
  </si>
  <si>
    <t>16918908</t>
  </si>
  <si>
    <t>R071068</t>
  </si>
  <si>
    <t>651310</t>
  </si>
  <si>
    <t>72950/1</t>
  </si>
  <si>
    <t>KHI/HO/D/MO/PC COMP/C/92394/6/07/2024</t>
  </si>
  <si>
    <t xml:space="preserve">Hafiz Faraz Mukhtar
</t>
  </si>
  <si>
    <t>KIA KIA SPORTAGE FWD</t>
  </si>
  <si>
    <t>AQW-924</t>
  </si>
  <si>
    <t>303046</t>
  </si>
  <si>
    <t>301264</t>
  </si>
  <si>
    <t>649718</t>
  </si>
  <si>
    <t>73936/1</t>
  </si>
  <si>
    <t>KHI/HO/D/MO/PC COMP/C/92394/60/07/2024</t>
  </si>
  <si>
    <t xml:space="preserve">Muhammad Irfan 
</t>
  </si>
  <si>
    <t>TOYOTA COROLLA GLI</t>
  </si>
  <si>
    <t>ALY-722</t>
  </si>
  <si>
    <t>542367</t>
  </si>
  <si>
    <t>4168266</t>
  </si>
  <si>
    <t>74021/1</t>
  </si>
  <si>
    <t>KHI/HO/D/MO/PC COMP/C/92394/61/07/2024</t>
  </si>
  <si>
    <t>TOYOTA PRIUS</t>
  </si>
  <si>
    <t>AKA-647</t>
  </si>
  <si>
    <t>6167827</t>
  </si>
  <si>
    <t>1862827</t>
  </si>
  <si>
    <t>71220/1</t>
  </si>
  <si>
    <t>KHI/HO/D/MO/PC COMP/C/92394/7/07/2024</t>
  </si>
  <si>
    <t xml:space="preserve">Sunil Ashfaq
</t>
  </si>
  <si>
    <t>AEZ-613</t>
  </si>
  <si>
    <t>184323</t>
  </si>
  <si>
    <t>1084332</t>
  </si>
  <si>
    <t>614736</t>
  </si>
  <si>
    <t xml:space="preserve">Muhammad Ijaz
</t>
  </si>
  <si>
    <t>71114/1</t>
  </si>
  <si>
    <t>KHI/HO/D/MO/CV/C/92498/1/07/2024</t>
  </si>
  <si>
    <t xml:space="preserve">Ghulam Sarwar Nadeem
</t>
  </si>
  <si>
    <t>SUZUKI RAVI PICK UP</t>
  </si>
  <si>
    <t>392183</t>
  </si>
  <si>
    <t>496805</t>
  </si>
  <si>
    <t>434439</t>
  </si>
  <si>
    <t>70749/1</t>
  </si>
  <si>
    <t>KHI/HO/D/MO/PC COMP/C/83022/41/02/2024</t>
  </si>
  <si>
    <t>Aqeel Ahmed Abbasi</t>
  </si>
  <si>
    <t>6110154844741</t>
  </si>
  <si>
    <t>AMV-702</t>
  </si>
  <si>
    <t>K139971</t>
  </si>
  <si>
    <t>039978</t>
  </si>
  <si>
    <t>637750</t>
  </si>
  <si>
    <t>Renewal</t>
  </si>
  <si>
    <t>42613/1</t>
  </si>
  <si>
    <t>KHI/HO/D/MO/PC COMP/C/93459/25/07/2024</t>
  </si>
  <si>
    <t>FAIZAN   AMIR</t>
  </si>
  <si>
    <t>KIA SPORTAGE AWD-CW</t>
  </si>
  <si>
    <t>AAA-383</t>
  </si>
  <si>
    <t>309181</t>
  </si>
  <si>
    <t>502883</t>
  </si>
  <si>
    <t>496439</t>
  </si>
  <si>
    <t>41993/1</t>
  </si>
  <si>
    <t>KHI/HO/D/MO/PC COMP/C/93459/2/07/2024</t>
  </si>
  <si>
    <t>SONIA  WASEEM</t>
  </si>
  <si>
    <t>AAB-217</t>
  </si>
  <si>
    <t>202340</t>
  </si>
  <si>
    <t>10102330</t>
  </si>
  <si>
    <t>0561</t>
  </si>
  <si>
    <t>79932</t>
  </si>
  <si>
    <t>42654/1</t>
  </si>
  <si>
    <t>KHI/HO/D/MO/PC COMP/C/93459/29/07/2024</t>
  </si>
  <si>
    <t>NAVEED  ZUBAIR</t>
  </si>
  <si>
    <t>KIA PICANTO A/T</t>
  </si>
  <si>
    <t>AAC-814</t>
  </si>
  <si>
    <t>024858</t>
  </si>
  <si>
    <t>702159</t>
  </si>
  <si>
    <t>497564</t>
  </si>
  <si>
    <t>42532/1</t>
  </si>
  <si>
    <t>KHI/HO/D/MO/PC COMP/C/93459/19/07/2024</t>
  </si>
  <si>
    <t>AQEEL   AHMED</t>
  </si>
  <si>
    <t>AAD-572</t>
  </si>
  <si>
    <t>134305</t>
  </si>
  <si>
    <t>1034243</t>
  </si>
  <si>
    <t>496367</t>
  </si>
  <si>
    <t>42010/1</t>
  </si>
  <si>
    <t>KHI/HO/D/MO/PC COMP/C/93459/11/07/2024</t>
  </si>
  <si>
    <t>BILAL  KHALID</t>
  </si>
  <si>
    <t>HONDA CIVIC VTI  ORIEL PT</t>
  </si>
  <si>
    <t>AAD-832</t>
  </si>
  <si>
    <t>6911564</t>
  </si>
  <si>
    <t>063260</t>
  </si>
  <si>
    <t>486218</t>
  </si>
  <si>
    <t>42345/1</t>
  </si>
  <si>
    <t>KHI/HO/D/MO/PC COMP/C/93459/12/07/2024</t>
  </si>
  <si>
    <t>SOHAIL  ANJUM</t>
  </si>
  <si>
    <t>TOYOTA COROLLA ALTIS VVT-</t>
  </si>
  <si>
    <t>AAD-849</t>
  </si>
  <si>
    <t>Q029431</t>
  </si>
  <si>
    <t>R6006902</t>
  </si>
  <si>
    <t>493057</t>
  </si>
  <si>
    <t>49778/1</t>
  </si>
  <si>
    <t>KHI/HO/D/MO/PC COMP/C/93458/38/07/2024</t>
  </si>
  <si>
    <t>AMIR  MALIK</t>
  </si>
  <si>
    <t>TOYOTA VITZ</t>
  </si>
  <si>
    <t>AAN-847</t>
  </si>
  <si>
    <t>2041018</t>
  </si>
  <si>
    <t>2224529</t>
  </si>
  <si>
    <t>541061</t>
  </si>
  <si>
    <t>42642/1</t>
  </si>
  <si>
    <t>KHI/HO/D/MO/PC COMP/C/93459/27/07/2024</t>
  </si>
  <si>
    <t>SARDAR MUHAMMAD ALI  SHOKAT</t>
  </si>
  <si>
    <t>HONDA CITY MANUAL</t>
  </si>
  <si>
    <t>AAR-687</t>
  </si>
  <si>
    <t>9798994</t>
  </si>
  <si>
    <t>261756</t>
  </si>
  <si>
    <t>493448</t>
  </si>
  <si>
    <t>58918/1</t>
  </si>
  <si>
    <t>KHI/HO/D/MO/PC COMP/C/93457/37/07/2024</t>
  </si>
  <si>
    <t>WAQAR  YASIN</t>
  </si>
  <si>
    <t>AAV-980</t>
  </si>
  <si>
    <t>B204442</t>
  </si>
  <si>
    <t>10104447</t>
  </si>
  <si>
    <t>579441</t>
  </si>
  <si>
    <t>58909/1</t>
  </si>
  <si>
    <t>KHI/HO/D/MO/PC COMP/C/93457/45/07/2024</t>
  </si>
  <si>
    <t>CHOUDARY ZAHID  YOUSAF</t>
  </si>
  <si>
    <t>ABU-513</t>
  </si>
  <si>
    <t>R18Z16913745</t>
  </si>
  <si>
    <t>R065540</t>
  </si>
  <si>
    <t>581487</t>
  </si>
  <si>
    <t>49773/1</t>
  </si>
  <si>
    <t>KHI/HO/D/MO/PC COMP/C/93458/32/07/2024</t>
  </si>
  <si>
    <t>KASHIF  PERVEZ</t>
  </si>
  <si>
    <t>CHANGAN KARVAAN VAN</t>
  </si>
  <si>
    <t>ABZ-695</t>
  </si>
  <si>
    <t>502923</t>
  </si>
  <si>
    <t>1007426</t>
  </si>
  <si>
    <t>541643</t>
  </si>
  <si>
    <t>47961/1</t>
  </si>
  <si>
    <t>KHI/HO/D/MO/PC COMP/C/93458/4/07/2024</t>
  </si>
  <si>
    <t>SAJJAD  HUSSAIN</t>
  </si>
  <si>
    <t>ADT-264</t>
  </si>
  <si>
    <t>216726</t>
  </si>
  <si>
    <t>10116618</t>
  </si>
  <si>
    <t>531581</t>
  </si>
  <si>
    <t>49426/1</t>
  </si>
  <si>
    <t>KHI/HO/D/MO/PC COMP/C/93458/9/07/2024</t>
  </si>
  <si>
    <t>MUHAMMAD  YASIR</t>
  </si>
  <si>
    <t>ADT-439</t>
  </si>
  <si>
    <t>501877</t>
  </si>
  <si>
    <t>1006924</t>
  </si>
  <si>
    <t>540086</t>
  </si>
  <si>
    <t>49569/1</t>
  </si>
  <si>
    <t>KHI/HO/D/MO/PC COMP/C/93458/24/07/2024</t>
  </si>
  <si>
    <t>SHAHID  RAHEEM</t>
  </si>
  <si>
    <t>ADT-984</t>
  </si>
  <si>
    <t>G4NAMH309778</t>
  </si>
  <si>
    <t>KP512440</t>
  </si>
  <si>
    <t>540014</t>
  </si>
  <si>
    <t>48012/2</t>
  </si>
  <si>
    <t>KHI/HO/D/MO/PC COMP/C/93458/25/07/2024</t>
  </si>
  <si>
    <t>BILAL  SHOUKAT</t>
  </si>
  <si>
    <t>SUZUKI ALTO VX</t>
  </si>
  <si>
    <t>ADU-148</t>
  </si>
  <si>
    <t>6R171749</t>
  </si>
  <si>
    <t>H1071748</t>
  </si>
  <si>
    <t>520443</t>
  </si>
  <si>
    <t>64859/1</t>
  </si>
  <si>
    <t>KHI/HO/D/MO/PC COMP/C/93461/1/07/2024</t>
  </si>
  <si>
    <t>MUHAMMAD   BISHARAT</t>
  </si>
  <si>
    <t>CHANGAN KARVAAN PLUS</t>
  </si>
  <si>
    <t>ADW-877</t>
  </si>
  <si>
    <t>502938</t>
  </si>
  <si>
    <t>1007074</t>
  </si>
  <si>
    <t>614986</t>
  </si>
  <si>
    <t>49354/1</t>
  </si>
  <si>
    <t>KHI/HO/D/MO/PC COMP/C/93458/14/07/2024</t>
  </si>
  <si>
    <t>IZHAR ULL HAQ</t>
  </si>
  <si>
    <t>SUZUKI WAGON-R VXR</t>
  </si>
  <si>
    <t>ADY-285</t>
  </si>
  <si>
    <t>216313</t>
  </si>
  <si>
    <t>10116290</t>
  </si>
  <si>
    <t>539054</t>
  </si>
  <si>
    <t>49347/1</t>
  </si>
  <si>
    <t>KHI/HO/D/MO/PC COMP/C/93458/10/07/2024</t>
  </si>
  <si>
    <t>MUHAMMAD USMAN JAFFAR</t>
  </si>
  <si>
    <t>ADZ-553</t>
  </si>
  <si>
    <t>215715</t>
  </si>
  <si>
    <t>10115710</t>
  </si>
  <si>
    <t>537217</t>
  </si>
  <si>
    <t>49447/1</t>
  </si>
  <si>
    <t>KHI/HO/D/MO/PC COMP/C/93458/20/07/2024</t>
  </si>
  <si>
    <t>GHULAM  MURTAZA ALI</t>
  </si>
  <si>
    <t>ADZ-687</t>
  </si>
  <si>
    <t>PK10K177121</t>
  </si>
  <si>
    <t>NF1AVK31H10077119</t>
  </si>
  <si>
    <t>531380</t>
  </si>
  <si>
    <t>49227/1</t>
  </si>
  <si>
    <t>KHI/HO/D/MO/PC COMP/C/93458/2/07/2024</t>
  </si>
  <si>
    <t>MALIK WAJID MAHMOOD</t>
  </si>
  <si>
    <t>PRINCE GLORY 580 PRO TURB</t>
  </si>
  <si>
    <t>ADZ-994</t>
  </si>
  <si>
    <t>21739978</t>
  </si>
  <si>
    <t>21F0864</t>
  </si>
  <si>
    <t>0314</t>
  </si>
  <si>
    <t>265250</t>
  </si>
  <si>
    <t>49526/1</t>
  </si>
  <si>
    <t>KHI/HO/D/MO/PC COMP/C/93458/7/07/2024</t>
  </si>
  <si>
    <t>SHARAFAT  ALI</t>
  </si>
  <si>
    <t>TOYOTA YARIS ATIV CVT</t>
  </si>
  <si>
    <t>AEA-293</t>
  </si>
  <si>
    <t>2A29268</t>
  </si>
  <si>
    <t>7017945</t>
  </si>
  <si>
    <t>539704</t>
  </si>
  <si>
    <t>49454/1</t>
  </si>
  <si>
    <t>KHI/HO/D/MO/PC COMP/C/93458/16/07/2024</t>
  </si>
  <si>
    <t>MUHAMMAD  AMIN</t>
  </si>
  <si>
    <t>AEB-179</t>
  </si>
  <si>
    <t>217525</t>
  </si>
  <si>
    <t>10117522</t>
  </si>
  <si>
    <t>527311</t>
  </si>
  <si>
    <t>49493/1</t>
  </si>
  <si>
    <t>KHI/HO/D/MO/PC COMP/C/93458/23/07/2024</t>
  </si>
  <si>
    <t>MUHAMMAD  NAWAZ</t>
  </si>
  <si>
    <t>AEC-755</t>
  </si>
  <si>
    <t>16922947</t>
  </si>
  <si>
    <t>MR075284</t>
  </si>
  <si>
    <t>537523</t>
  </si>
  <si>
    <t>49875/1</t>
  </si>
  <si>
    <t>KHI/HO/D/MO/PC COMP/C/93458/35/07/2024</t>
  </si>
  <si>
    <t>SHAHZAD  HUSSAIN</t>
  </si>
  <si>
    <t>TOYOTA YARIS ATIV X CVT</t>
  </si>
  <si>
    <t>AED-102</t>
  </si>
  <si>
    <t>2A18418</t>
  </si>
  <si>
    <t>9507468</t>
  </si>
  <si>
    <t>0313</t>
  </si>
  <si>
    <t>538075</t>
  </si>
  <si>
    <t>49555/1</t>
  </si>
  <si>
    <t>KHI/HO/D/MO/PC COMP/C/93458/21/07/2024</t>
  </si>
  <si>
    <t>MUHAMMAD  ASHRAF</t>
  </si>
  <si>
    <t>AED-325</t>
  </si>
  <si>
    <t>Q350154</t>
  </si>
  <si>
    <t>7049336</t>
  </si>
  <si>
    <t>0457</t>
  </si>
  <si>
    <t>378798</t>
  </si>
  <si>
    <t>49355/1</t>
  </si>
  <si>
    <t>KHI/HO/D/MO/PC COMP/C/93458/12/07/2024</t>
  </si>
  <si>
    <t>MUHAMMAD USMAN ASLAM</t>
  </si>
  <si>
    <t>AED-586</t>
  </si>
  <si>
    <t>216700</t>
  </si>
  <si>
    <t>10116693</t>
  </si>
  <si>
    <t>520670</t>
  </si>
  <si>
    <t>49624/1</t>
  </si>
  <si>
    <t>KHI/HO/D/MO/PC COMP/C/93458/28/07/2024</t>
  </si>
  <si>
    <t>ABIDA  PERVEEN</t>
  </si>
  <si>
    <t>SUZUKI BOLAN STD VX EURO</t>
  </si>
  <si>
    <t>AED-873</t>
  </si>
  <si>
    <t>1013523</t>
  </si>
  <si>
    <t>1130035</t>
  </si>
  <si>
    <t>541948</t>
  </si>
  <si>
    <t>58639/1</t>
  </si>
  <si>
    <t>KHI/HO/D/MO/PC COMP/C/93457/13/07/2024</t>
  </si>
  <si>
    <t>CH  SHAFQAT ALI</t>
  </si>
  <si>
    <t>AEE-146</t>
  </si>
  <si>
    <t>6R176386</t>
  </si>
  <si>
    <t>1076371</t>
  </si>
  <si>
    <t>580813</t>
  </si>
  <si>
    <t>49466/1</t>
  </si>
  <si>
    <t>KHI/HO/D/MO/PC COMP/C/93458/17/07/2024</t>
  </si>
  <si>
    <t>MUHAMMAD  USMAN</t>
  </si>
  <si>
    <t>HONDA HONDA CITY</t>
  </si>
  <si>
    <t>AEE-277</t>
  </si>
  <si>
    <t>7547064</t>
  </si>
  <si>
    <t>R272225</t>
  </si>
  <si>
    <t>540696</t>
  </si>
  <si>
    <t>49755/2</t>
  </si>
  <si>
    <t>KHI/HO/D/MO/PC COMP/C/93460/12/07/2024</t>
  </si>
  <si>
    <t>MUHAMMAD NADEEM ARSHAD</t>
  </si>
  <si>
    <t>SUZUKI CULTUS VXR CNG</t>
  </si>
  <si>
    <t>AEE-364</t>
  </si>
  <si>
    <t>180209</t>
  </si>
  <si>
    <t>10080208</t>
  </si>
  <si>
    <t>539233</t>
  </si>
  <si>
    <t>49736/1</t>
  </si>
  <si>
    <t>KHI/HO/D/MO/PC COMP/C/93458/37/07/2024</t>
  </si>
  <si>
    <t>ZAHOOR  AHMAD</t>
  </si>
  <si>
    <t>AEE-807</t>
  </si>
  <si>
    <t>2A30646</t>
  </si>
  <si>
    <t>R-7018889</t>
  </si>
  <si>
    <t>0405</t>
  </si>
  <si>
    <t>539062</t>
  </si>
  <si>
    <t>48486/1</t>
  </si>
  <si>
    <t>KHI/HO/D/MO/PC COMP/C/93458/27/07/2024</t>
  </si>
  <si>
    <t>SHAMAILA  NASIR</t>
  </si>
  <si>
    <t>SUZUKI ALTO VXL AGS E-2</t>
  </si>
  <si>
    <t>AEF-482</t>
  </si>
  <si>
    <t>175370</t>
  </si>
  <si>
    <t>1075372</t>
  </si>
  <si>
    <t>533487</t>
  </si>
  <si>
    <t>49743/1</t>
  </si>
  <si>
    <t>KHI/HO/D/MO/PC COMP/C/93458/36/07/2024</t>
  </si>
  <si>
    <t>ASHFAQ  ALI</t>
  </si>
  <si>
    <t>AEG-961</t>
  </si>
  <si>
    <t>217689</t>
  </si>
  <si>
    <t>10117682</t>
  </si>
  <si>
    <t>508777</t>
  </si>
  <si>
    <t>49666/1</t>
  </si>
  <si>
    <t>KHI/HO/D/MO/PC COMP/C/93458/29/07/2024</t>
  </si>
  <si>
    <t>SIKANDER  HAYAT</t>
  </si>
  <si>
    <t>AEH-310</t>
  </si>
  <si>
    <t>217462</t>
  </si>
  <si>
    <t>10117469</t>
  </si>
  <si>
    <t>533399</t>
  </si>
  <si>
    <t>49683/1</t>
  </si>
  <si>
    <t>KHI/HO/D/MO/PC COMP/C/93458/33/07/2024</t>
  </si>
  <si>
    <t>MUHAMMAD  SAQIB</t>
  </si>
  <si>
    <t>AEH-605</t>
  </si>
  <si>
    <t>1012663</t>
  </si>
  <si>
    <t>01129166</t>
  </si>
  <si>
    <t>533812</t>
  </si>
  <si>
    <t>49495/1</t>
  </si>
  <si>
    <t>KHI/HO/D/MO/PC COMP/C/93458/22/07/2024</t>
  </si>
  <si>
    <t>ARSLAN  KHAN</t>
  </si>
  <si>
    <t>HONDA CITY I-VTEC A/T PT</t>
  </si>
  <si>
    <t>AEJ-187</t>
  </si>
  <si>
    <t>7547212</t>
  </si>
  <si>
    <t>272378</t>
  </si>
  <si>
    <t>540704</t>
  </si>
  <si>
    <t>49669/1</t>
  </si>
  <si>
    <t>KHI/HO/D/MO/PC COMP/C/93458/26/07/2024</t>
  </si>
  <si>
    <t>ATEEB  HUSSAIN</t>
  </si>
  <si>
    <t>AEL-611</t>
  </si>
  <si>
    <t>178849</t>
  </si>
  <si>
    <t>10078880</t>
  </si>
  <si>
    <t>540261</t>
  </si>
  <si>
    <t>49487/1</t>
  </si>
  <si>
    <t>KHI/HO/D/MO/PC COMP/C/93458/15/07/2024</t>
  </si>
  <si>
    <t>PEERAN  DITTA</t>
  </si>
  <si>
    <t>AER-523</t>
  </si>
  <si>
    <t>PK10K178717</t>
  </si>
  <si>
    <t>H10078750</t>
  </si>
  <si>
    <t>391141</t>
  </si>
  <si>
    <t>49229/1</t>
  </si>
  <si>
    <t>KHI/HO/D/MO/PC COMP/C/93458/1/07/2024</t>
  </si>
  <si>
    <t>MUHAMMAD  FAROOQ</t>
  </si>
  <si>
    <t>AES-089</t>
  </si>
  <si>
    <t>6921545</t>
  </si>
  <si>
    <t>MR073868</t>
  </si>
  <si>
    <t>534560</t>
  </si>
  <si>
    <t>65979/1</t>
  </si>
  <si>
    <t>KHI/HO/D/MO/PC COMP/C/93461/5/07/2024</t>
  </si>
  <si>
    <t>BABAR   MASIH</t>
  </si>
  <si>
    <t>TOYOTA YARIS GLI CVT</t>
  </si>
  <si>
    <t>AES-662</t>
  </si>
  <si>
    <t>Z579862</t>
  </si>
  <si>
    <t>4205033</t>
  </si>
  <si>
    <t>0336</t>
  </si>
  <si>
    <t>618466</t>
  </si>
  <si>
    <t>42395/1</t>
  </si>
  <si>
    <t>KHI/HO/D/MO/PC COMP/C/93459/17/07/2024</t>
  </si>
  <si>
    <t>MUHAMMAD  HUSNAIN</t>
  </si>
  <si>
    <t>AGX-293</t>
  </si>
  <si>
    <t>R18Z12928247</t>
  </si>
  <si>
    <t>NFBFC666XJR031604</t>
  </si>
  <si>
    <t>492129</t>
  </si>
  <si>
    <t>58928/1</t>
  </si>
  <si>
    <t>KHI/HO/D/MO/PC COMP/C/93457/52/07/2024</t>
  </si>
  <si>
    <t>MUHAMMAD  MAAZ</t>
  </si>
  <si>
    <t>TOYOTA COROLLA ALTIS GRAN</t>
  </si>
  <si>
    <t>AGX-788</t>
  </si>
  <si>
    <t>Q043698</t>
  </si>
  <si>
    <t>R-6021189</t>
  </si>
  <si>
    <t>582768</t>
  </si>
  <si>
    <t>31860/2</t>
  </si>
  <si>
    <t>KHI/HO/D/MO/PC COMP/C/93460/1/07/2024</t>
  </si>
  <si>
    <t>MUNZIR KHAN KARMAL</t>
  </si>
  <si>
    <t>SUZUKI CULTUS VXR EURO-II</t>
  </si>
  <si>
    <t>AJX-240</t>
  </si>
  <si>
    <t>124722</t>
  </si>
  <si>
    <t>10024697</t>
  </si>
  <si>
    <t>0810</t>
  </si>
  <si>
    <t>336479</t>
  </si>
  <si>
    <t>53601/2</t>
  </si>
  <si>
    <t>KHI/HO/D/MO/PC COMP/C/93457/3/07/2024</t>
  </si>
  <si>
    <t>MIAN  MUHAMMAD  AKRAM</t>
  </si>
  <si>
    <t>TOYOTA YARIS ATIV X 1.5 A</t>
  </si>
  <si>
    <t>AKZ-218</t>
  </si>
  <si>
    <t>2A54377</t>
  </si>
  <si>
    <t>9519875</t>
  </si>
  <si>
    <t>0312</t>
  </si>
  <si>
    <t>123420</t>
  </si>
  <si>
    <t>54675/1</t>
  </si>
  <si>
    <t>KHI/HO/D/MO/PC COMP/C/93457/1/07/2024</t>
  </si>
  <si>
    <t>SYED SADAQAT HUSSAIN SHAH</t>
  </si>
  <si>
    <t>ALA-744</t>
  </si>
  <si>
    <t>6R240072</t>
  </si>
  <si>
    <t>6H1140107</t>
  </si>
  <si>
    <t>0413</t>
  </si>
  <si>
    <t>285442</t>
  </si>
  <si>
    <t>52867/1</t>
  </si>
  <si>
    <t>KHI/HO/D/MO/PC COMP/C/93457/4/07/2024</t>
  </si>
  <si>
    <t>ZULFIQAR  ALI</t>
  </si>
  <si>
    <t>ALA-894</t>
  </si>
  <si>
    <t>1138593</t>
  </si>
  <si>
    <t>556575</t>
  </si>
  <si>
    <t>55088/1</t>
  </si>
  <si>
    <t>KHI/HO/D/MO/PC COMP/C/93457/12/07/2024</t>
  </si>
  <si>
    <t>MUHAMMAD HASNAIN MEHMOOD</t>
  </si>
  <si>
    <t>SUZUKI ALTO VXR E-2</t>
  </si>
  <si>
    <t>ALB-749</t>
  </si>
  <si>
    <t>1140240</t>
  </si>
  <si>
    <t>0471</t>
  </si>
  <si>
    <t>556675</t>
  </si>
  <si>
    <t>49294/1</t>
  </si>
  <si>
    <t>KHI/HO/D/MO/PC COMP/C/93458/6/07/2024</t>
  </si>
  <si>
    <t>MANSOOR  AHMED</t>
  </si>
  <si>
    <t>SUZUKI MEHRAN VXR EURO-II</t>
  </si>
  <si>
    <t>ALC-074</t>
  </si>
  <si>
    <t>01288055</t>
  </si>
  <si>
    <t>535801</t>
  </si>
  <si>
    <t>55122/1</t>
  </si>
  <si>
    <t>KHI/HO/D/MO/PC COMP/C/93457/19/07/2024</t>
  </si>
  <si>
    <t>ALD-959</t>
  </si>
  <si>
    <t>1015620</t>
  </si>
  <si>
    <t>0564</t>
  </si>
  <si>
    <t>209646</t>
  </si>
  <si>
    <t>53893/1</t>
  </si>
  <si>
    <t>KHI/HO/D/MO/PC COMP/C/93457/20/07/2024</t>
  </si>
  <si>
    <t>MUHAMMAD   ADEEL</t>
  </si>
  <si>
    <t>ALE-446</t>
  </si>
  <si>
    <t>1015121</t>
  </si>
  <si>
    <t>392084</t>
  </si>
  <si>
    <t>54243/1</t>
  </si>
  <si>
    <t>KHI/HO/D/MO/PC COMP/C/93457/7/07/2024</t>
  </si>
  <si>
    <t>HAFIZ  ZOHAIB  RASHEED</t>
  </si>
  <si>
    <t>ALF-406</t>
  </si>
  <si>
    <t>6R239761</t>
  </si>
  <si>
    <t>1139792</t>
  </si>
  <si>
    <t>0553</t>
  </si>
  <si>
    <t>555054</t>
  </si>
  <si>
    <t>53592/1</t>
  </si>
  <si>
    <t>KHI/HO/D/MO/PC COMP/C/93457/26/07/2024</t>
  </si>
  <si>
    <t>HASEEB AHMAD RANA</t>
  </si>
  <si>
    <t>ALJ-329</t>
  </si>
  <si>
    <t>6R240680</t>
  </si>
  <si>
    <t>6H1140665</t>
  </si>
  <si>
    <t>0565</t>
  </si>
  <si>
    <t>164332</t>
  </si>
  <si>
    <t>55117/1</t>
  </si>
  <si>
    <t>KHI/HO/D/MO/PC COMP/C/93457/44/07/2024</t>
  </si>
  <si>
    <t>SYED ZEESHAN HAIDER KAZMI</t>
  </si>
  <si>
    <t>ALJ-497</t>
  </si>
  <si>
    <t>6R242461</t>
  </si>
  <si>
    <t>H1142498</t>
  </si>
  <si>
    <t>566996</t>
  </si>
  <si>
    <t>55911/1</t>
  </si>
  <si>
    <t>KHI/HO/D/MO/PC COMP/C/93460/9/07/2024</t>
  </si>
  <si>
    <t>HUMAIRA  NOREEN</t>
  </si>
  <si>
    <t>ALJ-669</t>
  </si>
  <si>
    <t>1142807</t>
  </si>
  <si>
    <t>553697</t>
  </si>
  <si>
    <t>54412/1</t>
  </si>
  <si>
    <t>KHI/HO/D/MO/PC COMP/C/93460/7/07/2024</t>
  </si>
  <si>
    <t>DURDANA   NAJAM</t>
  </si>
  <si>
    <t>ALJ-893</t>
  </si>
  <si>
    <t>R024305</t>
  </si>
  <si>
    <t>565044</t>
  </si>
  <si>
    <t>52011/1</t>
  </si>
  <si>
    <t>KHI/HO/D/MO/PC COMP/C/93457/6/07/2024</t>
  </si>
  <si>
    <t>AMBAR SUMAIRA TAHIR</t>
  </si>
  <si>
    <t>ALM-779</t>
  </si>
  <si>
    <t>2A54442</t>
  </si>
  <si>
    <t>7034498</t>
  </si>
  <si>
    <t>550425</t>
  </si>
  <si>
    <t>58689/1</t>
  </si>
  <si>
    <t>KHI/HO/D/MO/PC COMP/C/93457/24/07/2024</t>
  </si>
  <si>
    <t>MUHAMMAD MUDASSAR SHERAZ</t>
  </si>
  <si>
    <t>ALM-959</t>
  </si>
  <si>
    <t>10136752</t>
  </si>
  <si>
    <t>545023</t>
  </si>
  <si>
    <t>56841/1</t>
  </si>
  <si>
    <t>KHI/HO/D/MO/PC COMP/C/93460/10/07/2024</t>
  </si>
  <si>
    <t>KHALID   HUSSAIN</t>
  </si>
  <si>
    <t>ALU-018</t>
  </si>
  <si>
    <t>101007611</t>
  </si>
  <si>
    <t>570512</t>
  </si>
  <si>
    <t>55435/1</t>
  </si>
  <si>
    <t>KHI/HO/D/MO/PC COMP/C/93457/51/07/2024</t>
  </si>
  <si>
    <t>SAJJAD  AHMAD</t>
  </si>
  <si>
    <t>ALV-752</t>
  </si>
  <si>
    <t>1141680</t>
  </si>
  <si>
    <t>496225</t>
  </si>
  <si>
    <t>58875/1</t>
  </si>
  <si>
    <t>KHI/HO/D/MO/PC COMP/C/93457/50/07/2024</t>
  </si>
  <si>
    <t>ABDUL  HAMEED</t>
  </si>
  <si>
    <t>ALW-608</t>
  </si>
  <si>
    <t>10071067</t>
  </si>
  <si>
    <t>0825</t>
  </si>
  <si>
    <t>581618</t>
  </si>
  <si>
    <t>55675/1</t>
  </si>
  <si>
    <t>KHI/HO/D/MO/PC COMP/C/93457/34/07/2024</t>
  </si>
  <si>
    <t>ANA-752</t>
  </si>
  <si>
    <t>NR024550</t>
  </si>
  <si>
    <t>569337</t>
  </si>
  <si>
    <t>58932/1</t>
  </si>
  <si>
    <t>KHI/HO/D/MO/PC COMP/C/93457/48/07/2024</t>
  </si>
  <si>
    <t>WAQAS  SAJID</t>
  </si>
  <si>
    <t>SUZUKI CULTUS VXL</t>
  </si>
  <si>
    <t>ANJ-189</t>
  </si>
  <si>
    <t>10032959</t>
  </si>
  <si>
    <t>0482</t>
  </si>
  <si>
    <t>580824</t>
  </si>
  <si>
    <t>58754/1</t>
  </si>
  <si>
    <t>KHI/HO/D/MO/PC COMP/C/93457/30/07/2024</t>
  </si>
  <si>
    <t>ASIM  ALI</t>
  </si>
  <si>
    <t>ANW-910</t>
  </si>
  <si>
    <t>6R102761</t>
  </si>
  <si>
    <t>1002743</t>
  </si>
  <si>
    <t>535351</t>
  </si>
  <si>
    <t>66018/1</t>
  </si>
  <si>
    <t>KHI/HO/D/MO/PC COMP/C/93461/7/07/2024</t>
  </si>
  <si>
    <t>MUHAMMAD  MUJAHID  ABBAS</t>
  </si>
  <si>
    <t>APA-936</t>
  </si>
  <si>
    <t>6R225021</t>
  </si>
  <si>
    <t>1125033</t>
  </si>
  <si>
    <t>592442</t>
  </si>
  <si>
    <t>64710/1</t>
  </si>
  <si>
    <t>KHI/HO/D/MO/PC COMP/C/93461/4/07/2024</t>
  </si>
  <si>
    <t>USMAN IJAZ LONE</t>
  </si>
  <si>
    <t>TOYOTA YARIS ATIV X CVT 1</t>
  </si>
  <si>
    <t>APM-841</t>
  </si>
  <si>
    <t>2A61972</t>
  </si>
  <si>
    <t>7039838</t>
  </si>
  <si>
    <t>0339</t>
  </si>
  <si>
    <t>613273</t>
  </si>
  <si>
    <t>42024/1</t>
  </si>
  <si>
    <t>KHI/HO/D/MO/PC COMP/C/93459/5/07/2024</t>
  </si>
  <si>
    <t>SHER  AKBAR</t>
  </si>
  <si>
    <t>TOYOTA FIELDER XG A/T</t>
  </si>
  <si>
    <t>AQF-267</t>
  </si>
  <si>
    <t>711228</t>
  </si>
  <si>
    <t>432409</t>
  </si>
  <si>
    <t>42259/2</t>
  </si>
  <si>
    <t>KHI/HO/D/MO/PC COMP/C/93459/22/07/2024</t>
  </si>
  <si>
    <t>USMAN  ALI</t>
  </si>
  <si>
    <t>HONDA CIVIC 1.8 I-VTEC OR</t>
  </si>
  <si>
    <t>AQJ-003</t>
  </si>
  <si>
    <t>R063679</t>
  </si>
  <si>
    <t>483484</t>
  </si>
  <si>
    <t>42525/1</t>
  </si>
  <si>
    <t>KHI/HO/D/MO/PC COMP/C/93459/24/07/2024</t>
  </si>
  <si>
    <t>RANA ASAD  NASEEM</t>
  </si>
  <si>
    <t>SUZUKI CULTUS AGS</t>
  </si>
  <si>
    <t>ARD-947</t>
  </si>
  <si>
    <t>10059207</t>
  </si>
  <si>
    <t>0401</t>
  </si>
  <si>
    <t>497354</t>
  </si>
  <si>
    <t>42575/1</t>
  </si>
  <si>
    <t>KHI/HO/D/MO/PC COMP/C/93459/20/07/2024</t>
  </si>
  <si>
    <t>MUHAMMAD SHARIF IMRAN</t>
  </si>
  <si>
    <t>3830309747451</t>
  </si>
  <si>
    <t>FAW FAW XP-V DUAL A/C</t>
  </si>
  <si>
    <t>ARF-261</t>
  </si>
  <si>
    <t>000627</t>
  </si>
  <si>
    <t>496370</t>
  </si>
  <si>
    <t>58688/1</t>
  </si>
  <si>
    <t>KHI/HO/D/MO/PC COMP/C/93457/22/07/2024</t>
  </si>
  <si>
    <t>MUMTAZ   MUHAMMAD</t>
  </si>
  <si>
    <t>HONDA VEZEL HYBRID A/T.</t>
  </si>
  <si>
    <t>ATH-282</t>
  </si>
  <si>
    <t>1032617</t>
  </si>
  <si>
    <t>580867</t>
  </si>
  <si>
    <t>49352/1</t>
  </si>
  <si>
    <t>KHI/HO/D/MO/PC COMP/C/93458/19/07/2024</t>
  </si>
  <si>
    <t>ALI  ZAIN UL  ABIDIN</t>
  </si>
  <si>
    <t>AUJ-494</t>
  </si>
  <si>
    <t>R076026</t>
  </si>
  <si>
    <t>303065</t>
  </si>
  <si>
    <t>49733/1</t>
  </si>
  <si>
    <t>KHI/HO/D/MO/PC COMP/C/93458/39/07/2024</t>
  </si>
  <si>
    <t>MUHAMMAD TANVEER KHAN</t>
  </si>
  <si>
    <t>AUJ-502</t>
  </si>
  <si>
    <t>10112332</t>
  </si>
  <si>
    <t>540386</t>
  </si>
  <si>
    <t>49668/1</t>
  </si>
  <si>
    <t>KHI/HO/D/MO/PC COMP/C/93458/30/07/2024</t>
  </si>
  <si>
    <t>SHAIKH UMER WAQAS</t>
  </si>
  <si>
    <t>HONDA BRV I-VTEC STD A/T</t>
  </si>
  <si>
    <t>AUK-510</t>
  </si>
  <si>
    <t>022971</t>
  </si>
  <si>
    <t>0824</t>
  </si>
  <si>
    <t>221858</t>
  </si>
  <si>
    <t>49758/1</t>
  </si>
  <si>
    <t>KHI/HO/D/MO/PC COMP/C/93458/40/07/2024</t>
  </si>
  <si>
    <t>SAYED ASHFAQ UL HASSAN SAEED</t>
  </si>
  <si>
    <t>DAIHATSU MIRA EIS</t>
  </si>
  <si>
    <t>AUK-615</t>
  </si>
  <si>
    <t>0037770</t>
  </si>
  <si>
    <t>0603</t>
  </si>
  <si>
    <t>541498</t>
  </si>
  <si>
    <t>48414/1</t>
  </si>
  <si>
    <t>KHI/HO/D/MO/PC COMP/C/93458/13/07/2024</t>
  </si>
  <si>
    <t>SHAGUFTA  JABEN</t>
  </si>
  <si>
    <t>AUW-130</t>
  </si>
  <si>
    <t>R18Z16923613</t>
  </si>
  <si>
    <t>NFBFC6667MR076004</t>
  </si>
  <si>
    <t>534364</t>
  </si>
  <si>
    <t>58927/1</t>
  </si>
  <si>
    <t>KHI/HO/D/MO/PC COMP/C/93457/47/07/2024</t>
  </si>
  <si>
    <t>ZAHIDA  SHAHZAD</t>
  </si>
  <si>
    <t>KIA PICANTO 1.0L M/T</t>
  </si>
  <si>
    <t>AUX-086</t>
  </si>
  <si>
    <t>G3LAMP-090677</t>
  </si>
  <si>
    <t>NNATAS2AXKP501804</t>
  </si>
  <si>
    <t>582053</t>
  </si>
  <si>
    <t>49459/1</t>
  </si>
  <si>
    <t>KHI/HO/D/MO/PC COMP/C/93458/18/07/2024</t>
  </si>
  <si>
    <t>MOHAMMAD IRFAN  SARWAR</t>
  </si>
  <si>
    <t>MG MG ZS EV</t>
  </si>
  <si>
    <t>AUZ-255</t>
  </si>
  <si>
    <t>B100042318</t>
  </si>
  <si>
    <t>MZ075780</t>
  </si>
  <si>
    <t>344241</t>
  </si>
  <si>
    <t>55206/1</t>
  </si>
  <si>
    <t>KHI/HO/D/MO/PC COMP/C/93457/8/07/2024</t>
  </si>
  <si>
    <t>MALIK KAMRAN  YOUSAF</t>
  </si>
  <si>
    <t>AZT-588</t>
  </si>
  <si>
    <t>1140654</t>
  </si>
  <si>
    <t>569306</t>
  </si>
  <si>
    <t>54766/1</t>
  </si>
  <si>
    <t>KHI/HO/D/MO/PC COMP/C/93457/25/07/2024</t>
  </si>
  <si>
    <t>MUHAMMAD ASIF KHAN</t>
  </si>
  <si>
    <t>AZV-205</t>
  </si>
  <si>
    <t>1143122</t>
  </si>
  <si>
    <t>565300</t>
  </si>
  <si>
    <t>54883/1</t>
  </si>
  <si>
    <t>KHI/HO/D/MO/PC COMP/C/93457/33/07/2024</t>
  </si>
  <si>
    <t>ZAHOOR  AHMED</t>
  </si>
  <si>
    <t>SUZUKI ALTO VX EURO II</t>
  </si>
  <si>
    <t>AZW-166</t>
  </si>
  <si>
    <t>1144590</t>
  </si>
  <si>
    <t>566890</t>
  </si>
  <si>
    <t>55442/1</t>
  </si>
  <si>
    <t>KHI/HO/D/MO/PC COMP/C/93457/35/07/2024</t>
  </si>
  <si>
    <t>NAILA  YASMEEN</t>
  </si>
  <si>
    <t>AZY-631</t>
  </si>
  <si>
    <t>1143907</t>
  </si>
  <si>
    <t>566658</t>
  </si>
  <si>
    <t>42114/1</t>
  </si>
  <si>
    <t>KHI/HO/D/MO/PC COMP/C/93459/7/07/2024</t>
  </si>
  <si>
    <t>MUHAMMAD  ABID NEYAZ KHAN</t>
  </si>
  <si>
    <t>TOYOTA COROLLA XLI 1.3</t>
  </si>
  <si>
    <t>BBS-232</t>
  </si>
  <si>
    <t>2193141</t>
  </si>
  <si>
    <t>493776</t>
  </si>
  <si>
    <t>58887/1</t>
  </si>
  <si>
    <t>KHI/HO/D/MO/PC COMP/C/93457/53/07/2024</t>
  </si>
  <si>
    <t>ARSHAD ABDULLAH VOHRA</t>
  </si>
  <si>
    <t>BEQ-225</t>
  </si>
  <si>
    <t>Q312862</t>
  </si>
  <si>
    <t>7011851</t>
  </si>
  <si>
    <t>356710</t>
  </si>
  <si>
    <t>65946/1</t>
  </si>
  <si>
    <t>KHI/HO/D/MO/PC COMP/C/93461/12/07/2024</t>
  </si>
  <si>
    <t>HAMMAD  ALI</t>
  </si>
  <si>
    <t>BG-7307</t>
  </si>
  <si>
    <t>008122</t>
  </si>
  <si>
    <t>619271</t>
  </si>
  <si>
    <t>65741/1</t>
  </si>
  <si>
    <t>KHI/HO/D/MO/PC COMP/C/93461/9/07/2024</t>
  </si>
  <si>
    <t>NOMAN  SADIQ</t>
  </si>
  <si>
    <t>SUZUKI CULTUS VXR LE</t>
  </si>
  <si>
    <t>BGH-361</t>
  </si>
  <si>
    <t>532978</t>
  </si>
  <si>
    <t>620390</t>
  </si>
  <si>
    <t>49226/1</t>
  </si>
  <si>
    <t>KHI/HO/D/MO/PC COMP/C/93458/5/07/2024</t>
  </si>
  <si>
    <t>SHAHIDA  BANO</t>
  </si>
  <si>
    <t>BHV-375</t>
  </si>
  <si>
    <t>543327</t>
  </si>
  <si>
    <t>539839</t>
  </si>
  <si>
    <t>42581/1</t>
  </si>
  <si>
    <t>KHI/HO/D/MO/PC COMP/C/93459/21/07/2024</t>
  </si>
  <si>
    <t>MUNAWAR  ALI</t>
  </si>
  <si>
    <t>BHW-535</t>
  </si>
  <si>
    <t>Z484228</t>
  </si>
  <si>
    <t>4109889</t>
  </si>
  <si>
    <t>0570</t>
  </si>
  <si>
    <t>495012</t>
  </si>
  <si>
    <t>49470/1</t>
  </si>
  <si>
    <t>KHI/HO/D/MO/PC COMP/P/93572/07/2024</t>
  </si>
  <si>
    <t>AMANULLAH   MEMON</t>
  </si>
  <si>
    <t>4220157536677</t>
  </si>
  <si>
    <t>TOYOTA LEXUS LAND CRUISER</t>
  </si>
  <si>
    <t>BN-0570</t>
  </si>
  <si>
    <t>3UR-3313939</t>
  </si>
  <si>
    <t>URJ201-4230156</t>
  </si>
  <si>
    <t>0110</t>
  </si>
  <si>
    <t>85104</t>
  </si>
  <si>
    <t>41950/1</t>
  </si>
  <si>
    <t>KHI/HO/D/MO/PC COMP/C/93459/3/07/2024</t>
  </si>
  <si>
    <t>ABID  HUSSAIN</t>
  </si>
  <si>
    <t>BNR-859</t>
  </si>
  <si>
    <t>4164635</t>
  </si>
  <si>
    <t>491700</t>
  </si>
  <si>
    <t>58862/1</t>
  </si>
  <si>
    <t>KHI/HO/D/MO/PC COMP/C/93457/43/07/2024</t>
  </si>
  <si>
    <t>FAHEEM  SARWAR</t>
  </si>
  <si>
    <t>BPV-122</t>
  </si>
  <si>
    <t>10087264</t>
  </si>
  <si>
    <t>395194</t>
  </si>
  <si>
    <t>58705/1</t>
  </si>
  <si>
    <t>KHI/HO/D/MO/PC COMP/C/93457/23/07/2024</t>
  </si>
  <si>
    <t>MUHAMMAD ABDULLAH  KHURRAM</t>
  </si>
  <si>
    <t>BQX-815</t>
  </si>
  <si>
    <t>1016142</t>
  </si>
  <si>
    <t>580100</t>
  </si>
  <si>
    <t>42279/1</t>
  </si>
  <si>
    <t>KHI/HO/D/MO/PC COMP/C/93459/16/07/2024</t>
  </si>
  <si>
    <t>KHANIS  -</t>
  </si>
  <si>
    <t>NISSAN DAYZ</t>
  </si>
  <si>
    <t>BRG-425</t>
  </si>
  <si>
    <t>LJ5358</t>
  </si>
  <si>
    <t>357629</t>
  </si>
  <si>
    <t>494830</t>
  </si>
  <si>
    <t>40631/1</t>
  </si>
  <si>
    <t>KHI/HO/D/MO/PC COMP/C/93459/6/07/2024</t>
  </si>
  <si>
    <t>KHAWER BIN ISLAM</t>
  </si>
  <si>
    <t>BRW-321</t>
  </si>
  <si>
    <t>1037876</t>
  </si>
  <si>
    <t>0121</t>
  </si>
  <si>
    <t>461021</t>
  </si>
  <si>
    <t>42237/1</t>
  </si>
  <si>
    <t>KHI/HO/D/MO/PC COMP/C/93459/15/07/2024</t>
  </si>
  <si>
    <t>SYED QASIM SHAH</t>
  </si>
  <si>
    <t>SUZUKI WAGON-R</t>
  </si>
  <si>
    <t>BRZ-064</t>
  </si>
  <si>
    <t>10104767</t>
  </si>
  <si>
    <t>274381</t>
  </si>
  <si>
    <t>42417/1</t>
  </si>
  <si>
    <t>KHI/HO/D/MO/PC COMP/C/93459/23/07/2024</t>
  </si>
  <si>
    <t>REHMAN  ASHRAF</t>
  </si>
  <si>
    <t>BRZ-557</t>
  </si>
  <si>
    <t>1027849</t>
  </si>
  <si>
    <t>486003</t>
  </si>
  <si>
    <t>42238/1</t>
  </si>
  <si>
    <t>KHI/HO/D/MO/PC COMP/C/93459/14/07/2024</t>
  </si>
  <si>
    <t>MADIHA  AHMED</t>
  </si>
  <si>
    <t>BSA-742</t>
  </si>
  <si>
    <t>1035616</t>
  </si>
  <si>
    <t>0107</t>
  </si>
  <si>
    <t>495940</t>
  </si>
  <si>
    <t>56869/1</t>
  </si>
  <si>
    <t>KHI/HO/D/MO/PC COMP/C/93457/16/07/2024</t>
  </si>
  <si>
    <t>MUZAMMAL  HUSSAIN</t>
  </si>
  <si>
    <t>CHANGAN ALSVIN</t>
  </si>
  <si>
    <t>BTO-104</t>
  </si>
  <si>
    <t>1009717</t>
  </si>
  <si>
    <t>0481</t>
  </si>
  <si>
    <t>568525</t>
  </si>
  <si>
    <t>49060/1</t>
  </si>
  <si>
    <t>KHI/HO/D/MO/PC COMP/C/93458/3/07/2024</t>
  </si>
  <si>
    <t>MUHAMMAD  ATHER</t>
  </si>
  <si>
    <t>BUA-436</t>
  </si>
  <si>
    <t>Q076615</t>
  </si>
  <si>
    <t>6054031</t>
  </si>
  <si>
    <t>539231</t>
  </si>
  <si>
    <t>46208/2</t>
  </si>
  <si>
    <t>KHI/HO/D/MO/PC COMP/C/93458/8/07/2024</t>
  </si>
  <si>
    <t>DANISH ASHFAN JAN</t>
  </si>
  <si>
    <t>KIA PICANTO 1.0L A/T</t>
  </si>
  <si>
    <t>BUA-485</t>
  </si>
  <si>
    <t>706176</t>
  </si>
  <si>
    <t>521248</t>
  </si>
  <si>
    <t>66017/1</t>
  </si>
  <si>
    <t>KHI/HO/D/MO/PC COMP/C/93461/8/07/2024</t>
  </si>
  <si>
    <t>ANWAR  KHAN</t>
  </si>
  <si>
    <t>DAIHATSU MIRA</t>
  </si>
  <si>
    <t>BUJ-993</t>
  </si>
  <si>
    <t>68463</t>
  </si>
  <si>
    <t>612974</t>
  </si>
  <si>
    <t>53569/2</t>
  </si>
  <si>
    <t>KHI/HO/D/MO/PC COMP/C/93457/9/07/2024</t>
  </si>
  <si>
    <t>MASUB  WASIM</t>
  </si>
  <si>
    <t>HYUNDAI ELANTRA 2.0 MP1 A</t>
  </si>
  <si>
    <t>BXB-021</t>
  </si>
  <si>
    <t>304313</t>
  </si>
  <si>
    <t>558192</t>
  </si>
  <si>
    <t>54401/1</t>
  </si>
  <si>
    <t>KHI/HO/D/MO/PC COMP/C/93457/32/07/2024</t>
  </si>
  <si>
    <t>SADAQAT  SHAFIQ</t>
  </si>
  <si>
    <t>BXG-644</t>
  </si>
  <si>
    <t>Q098256</t>
  </si>
  <si>
    <t>6075762</t>
  </si>
  <si>
    <t>424675</t>
  </si>
  <si>
    <t>65285/1</t>
  </si>
  <si>
    <t>KHI/HO/D/MO/PC COMP/C/93461/2/07/2024</t>
  </si>
  <si>
    <t>SAID JAMAL KHAN</t>
  </si>
  <si>
    <t>BYP-283</t>
  </si>
  <si>
    <t>Q072203</t>
  </si>
  <si>
    <t>6049714</t>
  </si>
  <si>
    <t>0155</t>
  </si>
  <si>
    <t>618280</t>
  </si>
  <si>
    <t>47745/1</t>
  </si>
  <si>
    <t>KHI/HO/D/MO/CV/C/93454/2/07/2024</t>
  </si>
  <si>
    <t>GHULAM  HAIDER</t>
  </si>
  <si>
    <t>3520277434537</t>
  </si>
  <si>
    <t>SUZUKI RAVI VX EURO II</t>
  </si>
  <si>
    <t>CAF-5445</t>
  </si>
  <si>
    <t>476592</t>
  </si>
  <si>
    <t>529706</t>
  </si>
  <si>
    <t>58925/1</t>
  </si>
  <si>
    <t>KHI/HO/D/MO/PC COMP/C/93457/49/07/2024</t>
  </si>
  <si>
    <t>SYED  IMTIAZ  HUSSAIN ZAIDI</t>
  </si>
  <si>
    <t>FDA-17-590</t>
  </si>
  <si>
    <t>PKB696579</t>
  </si>
  <si>
    <t>SB308PK01235904</t>
  </si>
  <si>
    <t>554718</t>
  </si>
  <si>
    <t>49795/1</t>
  </si>
  <si>
    <t>KHI/HO/D/MO/PC COMP/C/93458/31/07/2024</t>
  </si>
  <si>
    <t>MUHAMMAD  AFZAL</t>
  </si>
  <si>
    <t>TOYOTA REVO VIGO A/T</t>
  </si>
  <si>
    <t>KX-3012</t>
  </si>
  <si>
    <t>5533071</t>
  </si>
  <si>
    <t>540312</t>
  </si>
  <si>
    <t>58954/1</t>
  </si>
  <si>
    <t>KHI/HO/D/MO/CV/C/93454/1/07/2024</t>
  </si>
  <si>
    <t>USMAN   AHMED</t>
  </si>
  <si>
    <t>LB-8122</t>
  </si>
  <si>
    <t>490584</t>
  </si>
  <si>
    <t>580228</t>
  </si>
  <si>
    <t>42295/1</t>
  </si>
  <si>
    <t>KHI/HO/D/MO/PC COMP/C/93459/9/07/2024</t>
  </si>
  <si>
    <t>MUHAMMAD  BILAL</t>
  </si>
  <si>
    <t>LE-14-622</t>
  </si>
  <si>
    <t>113274</t>
  </si>
  <si>
    <t>495734</t>
  </si>
  <si>
    <t>42196/1</t>
  </si>
  <si>
    <t>KHI/HO/D/MO/PC COMP/C/93459/8/07/2024</t>
  </si>
  <si>
    <t>MUHAMMAD USMAN GHANI</t>
  </si>
  <si>
    <t>LE-18-1033</t>
  </si>
  <si>
    <t>B164316</t>
  </si>
  <si>
    <t>10064308</t>
  </si>
  <si>
    <t>480925</t>
  </si>
  <si>
    <t>42465/1</t>
  </si>
  <si>
    <t>KHI/HO/D/MO/PC COMP/C/93459/18/07/2024</t>
  </si>
  <si>
    <t>SHAKEEL  RIAZ</t>
  </si>
  <si>
    <t>HONDA CIVIC VTI ORIEL I-V</t>
  </si>
  <si>
    <t>LE-18-6022</t>
  </si>
  <si>
    <t>R18Z12924538</t>
  </si>
  <si>
    <t>NFBFC6666HR027771</t>
  </si>
  <si>
    <t>497097</t>
  </si>
  <si>
    <t>32348/1</t>
  </si>
  <si>
    <t>KHI/HO/D/MO/PC COMP/C/93460/2/07/2024</t>
  </si>
  <si>
    <t>HAMOOD UR REHMAN</t>
  </si>
  <si>
    <t>HONDA BRV S CVT</t>
  </si>
  <si>
    <t>LE-18A-5358</t>
  </si>
  <si>
    <t>JR011585</t>
  </si>
  <si>
    <t>0304</t>
  </si>
  <si>
    <t>69421</t>
  </si>
  <si>
    <t>49315/1</t>
  </si>
  <si>
    <t>KHI/HO/D/MO/PC COMP/C/93458/11/07/2024</t>
  </si>
  <si>
    <t>ABDUL REHMAN ASHRAF</t>
  </si>
  <si>
    <t>LEA-19-5386</t>
  </si>
  <si>
    <t>B183200</t>
  </si>
  <si>
    <t>10083054</t>
  </si>
  <si>
    <t>539195</t>
  </si>
  <si>
    <t>65607/1</t>
  </si>
  <si>
    <t>KHI/HO/D/MO/PC COMP/C/93461/15/07/2024</t>
  </si>
  <si>
    <t>MUHAMMAD FARHAN TAHIR</t>
  </si>
  <si>
    <t>LEB-17-8126</t>
  </si>
  <si>
    <t>PKB674307</t>
  </si>
  <si>
    <t>SB308PK01212836</t>
  </si>
  <si>
    <t>610571</t>
  </si>
  <si>
    <t>42530/1</t>
  </si>
  <si>
    <t>KHI/HO/D/MO/PC COMP/C/93460/4/07/2024</t>
  </si>
  <si>
    <t>TANVEER   ASLAM</t>
  </si>
  <si>
    <t>TOYOTA COROLLA GLI M/T 1.</t>
  </si>
  <si>
    <t>LEB-17-8747</t>
  </si>
  <si>
    <t>Z479297</t>
  </si>
  <si>
    <t>4106644</t>
  </si>
  <si>
    <t>490949</t>
  </si>
  <si>
    <t>42069/1</t>
  </si>
  <si>
    <t>KHI/HO/D/MO/PC COMP/C/93459/4/07/2024</t>
  </si>
  <si>
    <t>MAQSOOD  ALAM</t>
  </si>
  <si>
    <t>HONDA N WGN</t>
  </si>
  <si>
    <t>LEB-18-1418</t>
  </si>
  <si>
    <t>A7136905</t>
  </si>
  <si>
    <t>JH 12026964</t>
  </si>
  <si>
    <t>462358</t>
  </si>
  <si>
    <t>42587/1</t>
  </si>
  <si>
    <t>KHI/HO/D/MO/PC COMP/C/93459/26/07/2024</t>
  </si>
  <si>
    <t>GHULAM  SARWAR</t>
  </si>
  <si>
    <t>TOYOTA COROLLA  XLI</t>
  </si>
  <si>
    <t>LEC-15-2881</t>
  </si>
  <si>
    <t>Z243846</t>
  </si>
  <si>
    <t>4028391</t>
  </si>
  <si>
    <t>444025</t>
  </si>
  <si>
    <t>64321/1</t>
  </si>
  <si>
    <t>KHI/HO/D/MO/PC COMP/C/93461/10/07/2024</t>
  </si>
  <si>
    <t>ASAD  ALI</t>
  </si>
  <si>
    <t>SUZUKI MEHRAN VXR</t>
  </si>
  <si>
    <t>LEC-15-5479</t>
  </si>
  <si>
    <t>1148946</t>
  </si>
  <si>
    <t>612156</t>
  </si>
  <si>
    <t>42606/1</t>
  </si>
  <si>
    <t>KHI/HO/D/MO/PC COMP/C/93459/30/07/2024</t>
  </si>
  <si>
    <t>ALI KHALID SINDHU</t>
  </si>
  <si>
    <t>HONDA CITY ASPIRE</t>
  </si>
  <si>
    <t>LEC-16-4775</t>
  </si>
  <si>
    <t>GR183290</t>
  </si>
  <si>
    <t>496431</t>
  </si>
  <si>
    <t>42592/1</t>
  </si>
  <si>
    <t>KHI/HO/D/MO/PC COMP/C/93460/5/07/2024</t>
  </si>
  <si>
    <t>MUHAMMAD  ARSHAD</t>
  </si>
  <si>
    <t>HONDA CITY I-VTEC (M/T)</t>
  </si>
  <si>
    <t>LED-16-5373</t>
  </si>
  <si>
    <t>184810</t>
  </si>
  <si>
    <t>0321</t>
  </si>
  <si>
    <t>494224</t>
  </si>
  <si>
    <t>65104/1</t>
  </si>
  <si>
    <t>KHI/HO/D/MO/PC COMP/C/93461/11/07/2024</t>
  </si>
  <si>
    <t>MUHAMMAD  AMJAD</t>
  </si>
  <si>
    <t>LEE-18-303</t>
  </si>
  <si>
    <t>NZE170R-4147707</t>
  </si>
  <si>
    <t>617238</t>
  </si>
  <si>
    <t>65669/1</t>
  </si>
  <si>
    <t>KHI/HO/D/MO/PC COMP/C/93461/13/07/2024</t>
  </si>
  <si>
    <t>IRTIZA   NAEEM</t>
  </si>
  <si>
    <t>LEF-19-6554</t>
  </si>
  <si>
    <t>10046801</t>
  </si>
  <si>
    <t>619661</t>
  </si>
  <si>
    <t>41968/1</t>
  </si>
  <si>
    <t>KHI/HO/D/MO/PC COMP/C/93459/1/07/2024</t>
  </si>
  <si>
    <t>SAMIA  RAZZAQ</t>
  </si>
  <si>
    <t>LEH-16-2007</t>
  </si>
  <si>
    <t>GR000852</t>
  </si>
  <si>
    <t>491049</t>
  </si>
  <si>
    <t>38081/1</t>
  </si>
  <si>
    <t>KHI/HO/D/MO/PC COMP/C/93459/31/07/2024</t>
  </si>
  <si>
    <t>JAVED ASHRAF</t>
  </si>
  <si>
    <t>LEH-19-4613</t>
  </si>
  <si>
    <t>1007238</t>
  </si>
  <si>
    <t>0318</t>
  </si>
  <si>
    <t>392997</t>
  </si>
  <si>
    <t>42536/1</t>
  </si>
  <si>
    <t>KHI/HO/D/MO/PC COMP/C/93459/10/07/2024</t>
  </si>
  <si>
    <t>RASHID  HUSSAIN</t>
  </si>
  <si>
    <t>MNA-252</t>
  </si>
  <si>
    <t>PK10K160038</t>
  </si>
  <si>
    <t>10060027</t>
  </si>
  <si>
    <t>495151</t>
  </si>
  <si>
    <t>65558/1</t>
  </si>
  <si>
    <t>KHI/HO/D/MO/PC COMP/C/93461/6/07/2024</t>
  </si>
  <si>
    <t>MUHAMMAD JUNAID SHAFIQ</t>
  </si>
  <si>
    <t>RIB-539</t>
  </si>
  <si>
    <t>268873</t>
  </si>
  <si>
    <t>0808</t>
  </si>
  <si>
    <t>619369</t>
  </si>
  <si>
    <t>56437/1</t>
  </si>
  <si>
    <t>KHI/HO/D/MO/PC COMP/C/93457/2/07/2024</t>
  </si>
  <si>
    <t>ALA-851</t>
  </si>
  <si>
    <t>10137775</t>
  </si>
  <si>
    <t>199992</t>
  </si>
  <si>
    <t>53896/1</t>
  </si>
  <si>
    <t>KHI/HO/D/MO/PC COMP/C/93457/5/07/2024</t>
  </si>
  <si>
    <t>MUHAMMAD  NAUMAN</t>
  </si>
  <si>
    <t>3520150106393</t>
  </si>
  <si>
    <t>ALE-226</t>
  </si>
  <si>
    <t>1138915</t>
  </si>
  <si>
    <t>0306</t>
  </si>
  <si>
    <t>555153</t>
  </si>
  <si>
    <t>56925/1</t>
  </si>
  <si>
    <t>KHI/HO/D/MO/PC COMP/C/93457/10/07/2024</t>
  </si>
  <si>
    <t>EHTSHAM UL HAQ</t>
  </si>
  <si>
    <t>SUZUKI CULTUS VXR</t>
  </si>
  <si>
    <t>AZS-973</t>
  </si>
  <si>
    <t>10098696</t>
  </si>
  <si>
    <t>443472</t>
  </si>
  <si>
    <t>55081/1</t>
  </si>
  <si>
    <t>KHI/HO/D/MO/PC COMP/C/93457/11/07/2024</t>
  </si>
  <si>
    <t>IRSHAD   AHMED</t>
  </si>
  <si>
    <t>ALG-233</t>
  </si>
  <si>
    <t>1140967</t>
  </si>
  <si>
    <t>566179</t>
  </si>
  <si>
    <t>54559/1</t>
  </si>
  <si>
    <t>KHI/HO/D/MO/PC COMP/C/93457/14/07/2024</t>
  </si>
  <si>
    <t>KAMRAN  AKRAM</t>
  </si>
  <si>
    <t>ALK-782</t>
  </si>
  <si>
    <t>1015695</t>
  </si>
  <si>
    <t>564358</t>
  </si>
  <si>
    <t>53481/1</t>
  </si>
  <si>
    <t>KHI/HO/D/MO/PC COMP/C/93457/17/07/2024</t>
  </si>
  <si>
    <t>MUHAMMAD  ADNAN AYUB</t>
  </si>
  <si>
    <t>ALJ-766</t>
  </si>
  <si>
    <t>R239222</t>
  </si>
  <si>
    <t>H1139215</t>
  </si>
  <si>
    <t>542052</t>
  </si>
  <si>
    <t>53539/1</t>
  </si>
  <si>
    <t>KHI/HO/D/MO/PC COMP/C/93457/21/07/2024</t>
  </si>
  <si>
    <t>AZIZ UR REHMAN</t>
  </si>
  <si>
    <t>3520146301737</t>
  </si>
  <si>
    <t>ALF-116</t>
  </si>
  <si>
    <t>1015786</t>
  </si>
  <si>
    <t>560017</t>
  </si>
  <si>
    <t>58736/1</t>
  </si>
  <si>
    <t>KHI/HO/D/MO/PC COMP/C/93457/27/07/2024</t>
  </si>
  <si>
    <t>ALI  GHULAM  HUSSAIN</t>
  </si>
  <si>
    <t>ALH-957</t>
  </si>
  <si>
    <t>709989</t>
  </si>
  <si>
    <t>580890</t>
  </si>
  <si>
    <t>58835/1</t>
  </si>
  <si>
    <t>KHI/HO/D/MO/PC COMP/C/93457/29/07/2024</t>
  </si>
  <si>
    <t>ALI  RAZA  HASHMI</t>
  </si>
  <si>
    <t>3310268671047</t>
  </si>
  <si>
    <t>BAE-157</t>
  </si>
  <si>
    <t>L12B51013114</t>
  </si>
  <si>
    <t>NFBGN8628NR023384</t>
  </si>
  <si>
    <t>580341</t>
  </si>
  <si>
    <t>54356/1</t>
  </si>
  <si>
    <t>KHI/HO/D/MO/PC COMP/C/93457/31/07/2024</t>
  </si>
  <si>
    <t>FAROOQ  SHAH</t>
  </si>
  <si>
    <t>AZV-627</t>
  </si>
  <si>
    <t>1144191</t>
  </si>
  <si>
    <t>0809</t>
  </si>
  <si>
    <t>566921</t>
  </si>
  <si>
    <t>42362/1</t>
  </si>
  <si>
    <t>KHI/HO/D/MO/PC COMP/C/93459/13/07/2024</t>
  </si>
  <si>
    <t>ARB-465</t>
  </si>
  <si>
    <t>R18Z16911366</t>
  </si>
  <si>
    <t>NFBFC6664LR062950</t>
  </si>
  <si>
    <t>493389</t>
  </si>
  <si>
    <t>56078/1</t>
  </si>
  <si>
    <t>KHI/HO/D/MO/PC COMP/C/93457/36/07/2024</t>
  </si>
  <si>
    <t>HARIS  HAMAD</t>
  </si>
  <si>
    <t>ALH-962</t>
  </si>
  <si>
    <t>L12B51013556</t>
  </si>
  <si>
    <t>24656</t>
  </si>
  <si>
    <t>0475</t>
  </si>
  <si>
    <t>407017</t>
  </si>
  <si>
    <t>55673/1</t>
  </si>
  <si>
    <t>KHI/HO/D/MO/PC COMP/C/93457/38/07/2024</t>
  </si>
  <si>
    <t>MAJID  SULTAN</t>
  </si>
  <si>
    <t>ALK-276</t>
  </si>
  <si>
    <t>6R242330</t>
  </si>
  <si>
    <t>1142344</t>
  </si>
  <si>
    <t>0340</t>
  </si>
  <si>
    <t>562057</t>
  </si>
  <si>
    <t>54354/1</t>
  </si>
  <si>
    <t>KHI/HO/D/MO/PC COMP/C/93457/39/07/2024</t>
  </si>
  <si>
    <t>MAZHAR  NAWAZ KHAN</t>
  </si>
  <si>
    <t>KIA STONIC EX PLUS 1.368</t>
  </si>
  <si>
    <t>ALC-852</t>
  </si>
  <si>
    <t>702080</t>
  </si>
  <si>
    <t>0563</t>
  </si>
  <si>
    <t>219101</t>
  </si>
  <si>
    <t>54208/1</t>
  </si>
  <si>
    <t>KHI/HO/D/MO/PC COMP/C/93457/40/07/2024</t>
  </si>
  <si>
    <t>KHIZRA  .</t>
  </si>
  <si>
    <t>ALG-740</t>
  </si>
  <si>
    <t>6R242479</t>
  </si>
  <si>
    <t>H1142204</t>
  </si>
  <si>
    <t>556247</t>
  </si>
  <si>
    <t>54182/1</t>
  </si>
  <si>
    <t>KHI/HO/D/MO/PC COMP/C/93457/41/07/2024</t>
  </si>
  <si>
    <t>MUZAFFAR MASOOD BAIG</t>
  </si>
  <si>
    <t>ALJ-543</t>
  </si>
  <si>
    <t>1142172</t>
  </si>
  <si>
    <t>563537</t>
  </si>
  <si>
    <t>55529/1</t>
  </si>
  <si>
    <t>KHI/HO/D/MO/PC COMP/C/93457/46/07/2024</t>
  </si>
  <si>
    <t>SHEIKH  MUHAMMAD  IMRAN</t>
  </si>
  <si>
    <t>AZZ-490</t>
  </si>
  <si>
    <t>1144630</t>
  </si>
  <si>
    <t>569509</t>
  </si>
  <si>
    <t>52689/1</t>
  </si>
  <si>
    <t>KHI/HO/D/MO/PC COMP/C/90920/54/06/2024</t>
  </si>
  <si>
    <t>MUHAMMAD  ISLAM</t>
  </si>
  <si>
    <t>3420247646791</t>
  </si>
  <si>
    <t>TOYOTA COROLLA ALTIS 1.6</t>
  </si>
  <si>
    <t>AKE-135</t>
  </si>
  <si>
    <t>Q097322</t>
  </si>
  <si>
    <t>0411</t>
  </si>
  <si>
    <t>551654</t>
  </si>
  <si>
    <t>51204/1</t>
  </si>
  <si>
    <t>KHI/HO/D/MO/PC COMP/C/90920/63/06/2024</t>
  </si>
  <si>
    <t>MUAMMAD  USAMA</t>
  </si>
  <si>
    <t>3460357942065</t>
  </si>
  <si>
    <t>AKX-735</t>
  </si>
  <si>
    <t>543128</t>
  </si>
  <si>
    <t>54143/2</t>
  </si>
  <si>
    <t>KHI/HO/D/MO/PC COMP/C/90920/59/06/2024</t>
  </si>
  <si>
    <t>MUHAMMAD  SHAHZAD</t>
  </si>
  <si>
    <t>3410190178547</t>
  </si>
  <si>
    <t>AKY-460</t>
  </si>
  <si>
    <t>560052</t>
  </si>
  <si>
    <t>57875/2</t>
  </si>
  <si>
    <t>KHI/HO/D/MO/PC COMP/C/90920/30/06/2024</t>
  </si>
  <si>
    <t>ASIF  AKRAM</t>
  </si>
  <si>
    <t>3520140976987</t>
  </si>
  <si>
    <t>ALA-458</t>
  </si>
  <si>
    <t>576708</t>
  </si>
  <si>
    <t>53687/1</t>
  </si>
  <si>
    <t>KHI/HO/D/MO/PC COMP/C/90920/36/06/2024</t>
  </si>
  <si>
    <t>ABDUL  KHALIQ</t>
  </si>
  <si>
    <t>3630226746921</t>
  </si>
  <si>
    <t>ALH-865</t>
  </si>
  <si>
    <t>561326</t>
  </si>
  <si>
    <t>52796/1</t>
  </si>
  <si>
    <t>KHI/HO/D/MO/PC COMP/C/90920/72/06/2024</t>
  </si>
  <si>
    <t>ZAFAR  HUSSAIN</t>
  </si>
  <si>
    <t>3630202399207</t>
  </si>
  <si>
    <t>ALJ-790</t>
  </si>
  <si>
    <t>555556</t>
  </si>
  <si>
    <t>58088/1</t>
  </si>
  <si>
    <t>KHI/HO/D/MO/PC COMP/C/90920/46/06/2024</t>
  </si>
  <si>
    <t>ABDUL   REHMAN</t>
  </si>
  <si>
    <t>3520222613441</t>
  </si>
  <si>
    <t>ALP-809</t>
  </si>
  <si>
    <t>577936</t>
  </si>
  <si>
    <t>57783/1</t>
  </si>
  <si>
    <t>KHI/HO/D/MO/PC COMP/C/90920/17/06/2024</t>
  </si>
  <si>
    <t>SABEEHA  BEGUM</t>
  </si>
  <si>
    <t>1350345357248</t>
  </si>
  <si>
    <t>AZA-640</t>
  </si>
  <si>
    <t>0678</t>
  </si>
  <si>
    <t>432217</t>
  </si>
  <si>
    <t>58402/2</t>
  </si>
  <si>
    <t>KHI/HO/D/MO/PC COMP/C/90920/9/06/2024</t>
  </si>
  <si>
    <t>ARSHAD  ALI</t>
  </si>
  <si>
    <t>4420565951387</t>
  </si>
  <si>
    <t>BSE-511</t>
  </si>
  <si>
    <t>0252</t>
  </si>
  <si>
    <t>579684</t>
  </si>
  <si>
    <t>57927/1</t>
  </si>
  <si>
    <t>KHI/HO/D/MO/PC COMP/C/90920/45/06/2024</t>
  </si>
  <si>
    <t>NAEEM  AHMED</t>
  </si>
  <si>
    <t>4210127817107</t>
  </si>
  <si>
    <t>BXJ-150</t>
  </si>
  <si>
    <t>577778</t>
  </si>
  <si>
    <t>50341/1</t>
  </si>
  <si>
    <t>KHI/HO/D/MO/PC COMP/C/88626/79/05/2024</t>
  </si>
  <si>
    <t>MUHAMMAD  FAZAL</t>
  </si>
  <si>
    <t>3450215712635</t>
  </si>
  <si>
    <t>TOYOTA FORTUNER</t>
  </si>
  <si>
    <t>AJK-512</t>
  </si>
  <si>
    <t>D5154151</t>
  </si>
  <si>
    <t>541636</t>
  </si>
  <si>
    <t>52696/1</t>
  </si>
  <si>
    <t>KHI/HO/D/MO/PC COMP/C/88626/103/05/2024</t>
  </si>
  <si>
    <t>SAMRA  NAHEED</t>
  </si>
  <si>
    <t>3540303201466</t>
  </si>
  <si>
    <t>AJV-953</t>
  </si>
  <si>
    <t>553925</t>
  </si>
  <si>
    <t>53152/1</t>
  </si>
  <si>
    <t>KHI/HO/D/MO/PC COMP/C/88626/118/05/2024</t>
  </si>
  <si>
    <t>RASHID  QURESHI</t>
  </si>
  <si>
    <t>3630289733301</t>
  </si>
  <si>
    <t>AKD-276</t>
  </si>
  <si>
    <t>555096</t>
  </si>
  <si>
    <t>57194/1</t>
  </si>
  <si>
    <t>KHI/HO/D/MO/PC COMP/C/88626/80/05/2024</t>
  </si>
  <si>
    <t>SYED KASHIF ABBAS SHAH</t>
  </si>
  <si>
    <t>3520109974907</t>
  </si>
  <si>
    <t>AKL-215</t>
  </si>
  <si>
    <t>573658</t>
  </si>
  <si>
    <t>57429/1</t>
  </si>
  <si>
    <t>KHI/HO/D/MO/PC COMP/C/88626/117/05/2024</t>
  </si>
  <si>
    <t>MUHAMMAD SAEED KHOKHAR</t>
  </si>
  <si>
    <t>3520215593947</t>
  </si>
  <si>
    <t>TOYOTA COROLLA ALTIS</t>
  </si>
  <si>
    <t>AKL-922</t>
  </si>
  <si>
    <t>Q094216</t>
  </si>
  <si>
    <t>568648</t>
  </si>
  <si>
    <t>57589/1</t>
  </si>
  <si>
    <t>KHI/HO/D/MO/PC COMP/C/88626/132/05/2024</t>
  </si>
  <si>
    <t>MUHAMMAD  ARSLAN</t>
  </si>
  <si>
    <t>3520170386581</t>
  </si>
  <si>
    <t>AKM-343</t>
  </si>
  <si>
    <t>0341</t>
  </si>
  <si>
    <t>577227</t>
  </si>
  <si>
    <t>57495/1</t>
  </si>
  <si>
    <t>KHI/HO/D/MO/PC COMP/C/88626/111/05/2024</t>
  </si>
  <si>
    <t>FARRUKH  NAWAZ KHAN</t>
  </si>
  <si>
    <t>3210246266959</t>
  </si>
  <si>
    <t>AKN-409</t>
  </si>
  <si>
    <t>574947</t>
  </si>
  <si>
    <t>57344/1</t>
  </si>
  <si>
    <t>KHI/HO/D/MO/PC COMP/C/88626/95/05/2024</t>
  </si>
  <si>
    <t>FAYYAZ  AHMED</t>
  </si>
  <si>
    <t>3630224222841</t>
  </si>
  <si>
    <t>AKN-458</t>
  </si>
  <si>
    <t>573404</t>
  </si>
  <si>
    <t>52563/1</t>
  </si>
  <si>
    <t>KHI/HO/D/MO/PC COMP/C/88626/89/05/2024</t>
  </si>
  <si>
    <t>MUHAMMAD AFNAN NASIR</t>
  </si>
  <si>
    <t>3630221137489</t>
  </si>
  <si>
    <t>AKN-535</t>
  </si>
  <si>
    <t>552917</t>
  </si>
  <si>
    <t>57497/1</t>
  </si>
  <si>
    <t>KHI/HO/D/MO/PC COMP/C/88626/116/05/2024</t>
  </si>
  <si>
    <t>MUHAMMAD   KHURSHEED</t>
  </si>
  <si>
    <t>3210252546521</t>
  </si>
  <si>
    <t>AKN-705</t>
  </si>
  <si>
    <t>575237</t>
  </si>
  <si>
    <t>57582/1</t>
  </si>
  <si>
    <t>KHI/HO/D/MO/PC COMP/C/88626/126/05/2024</t>
  </si>
  <si>
    <t>RANA ABDUL GHAFFAR</t>
  </si>
  <si>
    <t>3130331434461</t>
  </si>
  <si>
    <t>AKQ-023</t>
  </si>
  <si>
    <t>Q094146</t>
  </si>
  <si>
    <t>151294</t>
  </si>
  <si>
    <t>57705/1</t>
  </si>
  <si>
    <t>KHI/HO/D/MO/PC COMP/C/88626/130/05/2024</t>
  </si>
  <si>
    <t>IMTIAZ  KHAN</t>
  </si>
  <si>
    <t>3520258652533</t>
  </si>
  <si>
    <t>HONDA CITY CVT ASPIRE A/T</t>
  </si>
  <si>
    <t>AKQ-153</t>
  </si>
  <si>
    <t>499060</t>
  </si>
  <si>
    <t>57597/1</t>
  </si>
  <si>
    <t>KHI/HO/D/MO/PC COMP/C/88626/129/05/2024</t>
  </si>
  <si>
    <t>GHULAM  MUSTAFA</t>
  </si>
  <si>
    <t>3520291602993</t>
  </si>
  <si>
    <t>HYUNDAI ELANTRA A/T SUNRO</t>
  </si>
  <si>
    <t>AKX-956</t>
  </si>
  <si>
    <t>494066</t>
  </si>
  <si>
    <t>57513/1</t>
  </si>
  <si>
    <t>KHI/HO/D/MO/PC COMP/C/88626/124/05/2024</t>
  </si>
  <si>
    <t>IFTIKHAR   AHMAD</t>
  </si>
  <si>
    <t>3520215566185</t>
  </si>
  <si>
    <t>SUZUKI WAGON R STINGRAY</t>
  </si>
  <si>
    <t>ALA-513</t>
  </si>
  <si>
    <t>PK10B236723</t>
  </si>
  <si>
    <t>PK10136758</t>
  </si>
  <si>
    <t>575558</t>
  </si>
  <si>
    <t>57369/1</t>
  </si>
  <si>
    <t>KHI/HO/D/MO/PC COMP/C/88626/105/05/2024</t>
  </si>
  <si>
    <t>ABDULLAH  .</t>
  </si>
  <si>
    <t>3520243459687</t>
  </si>
  <si>
    <t>ALA-673</t>
  </si>
  <si>
    <t>574915</t>
  </si>
  <si>
    <t>57387/1</t>
  </si>
  <si>
    <t>KHI/HO/D/MO/PC COMP/C/88626/94/05/2024</t>
  </si>
  <si>
    <t>MUHAMMAD SAJID ALI HAJVERY  PARACHA</t>
  </si>
  <si>
    <t>1720121809549</t>
  </si>
  <si>
    <t>ALC-158</t>
  </si>
  <si>
    <t>PK10B235674</t>
  </si>
  <si>
    <t>PK10135689</t>
  </si>
  <si>
    <t>574486</t>
  </si>
  <si>
    <t>53549/1</t>
  </si>
  <si>
    <t>KHI/HO/D/MO/PC COMP/C/88626/138/05/2024</t>
  </si>
  <si>
    <t>RAJA  ASIF ASGHAR</t>
  </si>
  <si>
    <t>3630288935871</t>
  </si>
  <si>
    <t>ALG-332</t>
  </si>
  <si>
    <t>552634</t>
  </si>
  <si>
    <t>57532/1</t>
  </si>
  <si>
    <t>KHI/HO/D/MO/PC COMP/C/88626/106/05/2024</t>
  </si>
  <si>
    <t>MUHAMMAD ADIL ASLAM</t>
  </si>
  <si>
    <t>3630353483959</t>
  </si>
  <si>
    <t>ALH-087</t>
  </si>
  <si>
    <t>569865</t>
  </si>
  <si>
    <t>56275/1</t>
  </si>
  <si>
    <t>KHI/HO/D/MO/PC COMP/C/88626/99/05/2024</t>
  </si>
  <si>
    <t>REHMAN  ULLAH  KHAN</t>
  </si>
  <si>
    <t>3740503780107</t>
  </si>
  <si>
    <t>AZX-928</t>
  </si>
  <si>
    <t>22D3624</t>
  </si>
  <si>
    <t>336821</t>
  </si>
  <si>
    <t>57420/1</t>
  </si>
  <si>
    <t>KHI/HO/D/MO/CV/C/88993/4/05/2024</t>
  </si>
  <si>
    <t>MUHAMMAD  WAQAR  SHABANI</t>
  </si>
  <si>
    <t>LB-6715</t>
  </si>
  <si>
    <t>576591</t>
  </si>
  <si>
    <t>51914/1</t>
  </si>
  <si>
    <t>KHI/HO/D/MO/PC COMP/C/86646/13/04/2024</t>
  </si>
  <si>
    <t>TASSAWAR  HUSSAIN</t>
  </si>
  <si>
    <t>3540467316305</t>
  </si>
  <si>
    <t>AJJ-187</t>
  </si>
  <si>
    <t>551520</t>
  </si>
  <si>
    <t>56900/1</t>
  </si>
  <si>
    <t>KHI/HO/D/MO/PC COMP/C/86646/84/04/2024</t>
  </si>
  <si>
    <t>MUDASSAR  HASSAN</t>
  </si>
  <si>
    <t>PROTON SAGA 1.3 L STD M/T</t>
  </si>
  <si>
    <t>AJZ-624</t>
  </si>
  <si>
    <t>S4PEWT3134</t>
  </si>
  <si>
    <t>P000794</t>
  </si>
  <si>
    <t>575656</t>
  </si>
  <si>
    <t>56866/1</t>
  </si>
  <si>
    <t>KHI/HO/D/MO/PC COMP/C/86646/69/04/2024</t>
  </si>
  <si>
    <t>IRFAN BENJAMIN BHATTI</t>
  </si>
  <si>
    <t>SUZUKI BOLAN STD</t>
  </si>
  <si>
    <t>AJZ-928</t>
  </si>
  <si>
    <t>573632</t>
  </si>
  <si>
    <t>56916/1</t>
  </si>
  <si>
    <t>KHI/HO/D/MO/PC COMP/C/86646/91/04/2024</t>
  </si>
  <si>
    <t>MUHAMMAD ALI  HASSAN</t>
  </si>
  <si>
    <t>AKG-124</t>
  </si>
  <si>
    <t>554829</t>
  </si>
  <si>
    <t>56816/1</t>
  </si>
  <si>
    <t>KHI/HO/D/MO/PC COMP/C/86646/75/04/2024</t>
  </si>
  <si>
    <t>SHUMAILA  IRAM</t>
  </si>
  <si>
    <t>AKG-990</t>
  </si>
  <si>
    <t>Q359883</t>
  </si>
  <si>
    <t>368345</t>
  </si>
  <si>
    <t>56829/1</t>
  </si>
  <si>
    <t>KHI/HO/D/MO/PC COMP/C/86646/90/04/2024</t>
  </si>
  <si>
    <t>SHEIKH MUHAMMAD SUFYAN  HUSSAIN</t>
  </si>
  <si>
    <t>CHANGAN ALSVIN LUMEIRE</t>
  </si>
  <si>
    <t>CZ-9642</t>
  </si>
  <si>
    <t>N-1012499</t>
  </si>
  <si>
    <t>568852</t>
  </si>
  <si>
    <t>56442/1</t>
  </si>
  <si>
    <t>KHI/HO/D/MO/CV/C/86620/5/04/2024</t>
  </si>
  <si>
    <t>ABDUL  JABBAR</t>
  </si>
  <si>
    <t>LB-5893</t>
  </si>
  <si>
    <t>572411</t>
  </si>
  <si>
    <t>52580/1</t>
  </si>
  <si>
    <t>KHI/HO/D/MO/PC COMP/C/86646/26/04/2024</t>
  </si>
  <si>
    <t>MOHAMMED  AMIR</t>
  </si>
  <si>
    <t>AJM-275</t>
  </si>
  <si>
    <t>535037</t>
  </si>
  <si>
    <t>56858/1</t>
  </si>
  <si>
    <t>KHI/HO/D/MO/PC COMP/C/86646/77/04/2024</t>
  </si>
  <si>
    <t>AKH-832</t>
  </si>
  <si>
    <t>573597</t>
  </si>
  <si>
    <t>55908/1</t>
  </si>
  <si>
    <t>KHI/HO/D/MO/PC COMP/C/85047/47/03/2024</t>
  </si>
  <si>
    <t>SHAKIL  AHMAD</t>
  </si>
  <si>
    <t>AEK-112</t>
  </si>
  <si>
    <t>261351</t>
  </si>
  <si>
    <t>57267/1</t>
  </si>
  <si>
    <t>KHI/HO/D/MO/PC COMP/C/85047/66/03/2024</t>
  </si>
  <si>
    <t>ALI  HAMZA</t>
  </si>
  <si>
    <t>AKN-059</t>
  </si>
  <si>
    <t>541084</t>
  </si>
  <si>
    <t>56859/1</t>
  </si>
  <si>
    <t>KHI/HO/D/MO/PC COMP/C/84688/3/02/2024</t>
  </si>
  <si>
    <t>MUHAMMAD WAHEED TARIQ  BHATTI</t>
  </si>
  <si>
    <t>SUZUKI SWIFT DLX M/T NAV.</t>
  </si>
  <si>
    <t>AJZ-483</t>
  </si>
  <si>
    <t>564869</t>
  </si>
  <si>
    <t>SALAAM TAKAFUL</t>
  </si>
  <si>
    <t>PO Amount</t>
  </si>
  <si>
    <t>PO Date</t>
  </si>
  <si>
    <t>Fresh Cases</t>
  </si>
  <si>
    <t>Renewal Cases</t>
  </si>
  <si>
    <t>Total</t>
  </si>
  <si>
    <t>22Aug240008</t>
  </si>
  <si>
    <t>-07-2024</t>
  </si>
  <si>
    <t>-02-2024</t>
  </si>
  <si>
    <t>aa</t>
  </si>
  <si>
    <t>aaaa</t>
  </si>
  <si>
    <t>c</t>
  </si>
  <si>
    <t>00008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</si>
  <si>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</si>
  <si>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</si>
  <si>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</si>
  <si>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</si>
  <si>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</si>
  <si>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</si>
  <si>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</si>
  <si>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</si>
  <si>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00002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</si>
  <si>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</si>
  <si>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</si>
  <si>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</si>
  <si>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</si>
  <si>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</si>
  <si>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</si>
  <si>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</si>
  <si>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</si>
  <si>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</si>
  <si>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</si>
  <si>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00003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</si>
  <si>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</si>
  <si>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</si>
  <si>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</si>
  <si>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</si>
  <si>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</si>
  <si>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</si>
  <si>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</si>
  <si>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</si>
  <si>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</si>
  <si>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</si>
  <si>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00004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</si>
  <si>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</si>
  <si>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</si>
  <si>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</si>
  <si>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</si>
  <si>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</si>
  <si>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</si>
  <si>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</si>
  <si>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</si>
  <si>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</si>
  <si>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</si>
  <si>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00005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</si>
  <si>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</si>
  <si>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</si>
  <si>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</si>
  <si>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</si>
  <si>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</si>
  <si>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</si>
  <si>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</si>
  <si>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</si>
  <si>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</si>
  <si>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</si>
  <si>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00006</t>
  </si>
  <si>
    <t>00060</t>
  </si>
  <si>
    <t>00061</t>
  </si>
  <si>
    <t>00007</t>
  </si>
  <si>
    <t>00001</t>
  </si>
  <si>
    <t>-06-2024</t>
  </si>
  <si>
    <t>-05-2024</t>
  </si>
  <si>
    <t>-04-2024</t>
  </si>
  <si>
    <t>-03-2024</t>
  </si>
  <si>
    <t>a</t>
  </si>
  <si>
    <t>00011</t>
  </si>
  <si>
    <t>00009</t>
  </si>
  <si>
    <t>00010</t>
  </si>
  <si>
    <t>00063</t>
  </si>
  <si>
    <t>00072</t>
  </si>
  <si>
    <t>00079</t>
  </si>
  <si>
    <t>00103</t>
  </si>
  <si>
    <t>00118</t>
  </si>
  <si>
    <t>00080</t>
  </si>
  <si>
    <t>00117</t>
  </si>
  <si>
    <t>00132</t>
  </si>
  <si>
    <t>00111</t>
  </si>
  <si>
    <t>00095</t>
  </si>
  <si>
    <t>00089</t>
  </si>
  <si>
    <t>00116</t>
  </si>
  <si>
    <t>00126</t>
  </si>
  <si>
    <t>00130</t>
  </si>
  <si>
    <t>00129</t>
  </si>
  <si>
    <t>00124</t>
  </si>
  <si>
    <t>00105</t>
  </si>
  <si>
    <t>00094</t>
  </si>
  <si>
    <t>00138</t>
  </si>
  <si>
    <t>00106</t>
  </si>
  <si>
    <t>00099</t>
  </si>
  <si>
    <t>00084</t>
  </si>
  <si>
    <t>00069</t>
  </si>
  <si>
    <t>00091</t>
  </si>
  <si>
    <t>00075</t>
  </si>
  <si>
    <t>00090</t>
  </si>
  <si>
    <t>00077</t>
  </si>
  <si>
    <t>00066</t>
  </si>
  <si>
    <t>040000179442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</si>
</sst>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[$-409]d\-mmm\-yy;@"/>
    <numFmt numFmtId="167" formatCode="_(* #,##0_);_(* \(#,##0\);_(* &quot;-&quot;??_);_(@_)"/>
    <numFmt numFmtId="168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color theme="1"/>
      <name val="Times New Roman"/>
      <family val="1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9"/>
      <color theme="1"/>
      <name val="Segoe UI"/>
      <family val="2"/>
      <charset val="1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5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65" fontId="4" fillId="3" borderId="1" xfId="3" applyNumberFormat="1" applyFont="1" applyFill="1" applyBorder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6" fontId="4" fillId="2" borderId="1" xfId="3" applyNumberFormat="1" applyFont="1" applyFill="1" applyBorder="1" applyAlignment="1">
      <alignment horizontal="center" vertical="center" wrapText="1"/>
    </xf>
    <xf numFmtId="167" fontId="4" fillId="2" borderId="1" xfId="1" applyNumberFormat="1" applyFont="1" applyFill="1" applyBorder="1" applyAlignment="1">
      <alignment horizontal="center" vertical="center" wrapText="1"/>
    </xf>
    <xf numFmtId="9" fontId="4" fillId="2" borderId="1" xfId="4" applyFont="1" applyFill="1" applyBorder="1" applyAlignment="1">
      <alignment horizontal="center" vertic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167" fontId="4" fillId="4" borderId="1" xfId="1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167" fontId="4" fillId="5" borderId="1" xfId="1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 applyAlignment="1">
      <alignment horizontal="center" vertical="center" wrapText="1"/>
    </xf>
    <xf numFmtId="167" fontId="7" fillId="2" borderId="1" xfId="3" applyNumberFormat="1" applyFont="1" applyFill="1" applyBorder="1" applyAlignment="1">
      <alignment horizontal="center" vertical="center" wrapText="1"/>
    </xf>
    <xf numFmtId="166" fontId="7" fillId="2" borderId="1" xfId="2" applyNumberFormat="1" applyFont="1" applyFill="1" applyBorder="1" applyAlignment="1">
      <alignment horizontal="center" vertical="center" wrapText="1"/>
    </xf>
    <xf numFmtId="167" fontId="4" fillId="4" borderId="1" xfId="3" applyNumberFormat="1" applyFont="1" applyFill="1" applyBorder="1" applyAlignment="1">
      <alignment horizontal="center" vertical="center" wrapText="1"/>
    </xf>
    <xf numFmtId="167" fontId="4" fillId="3" borderId="1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68" fontId="8" fillId="0" borderId="2" xfId="1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/>
    <xf numFmtId="168" fontId="10" fillId="0" borderId="2" xfId="1" applyNumberFormat="1" applyFont="1" applyBorder="1"/>
    <xf numFmtId="167" fontId="0" fillId="0" borderId="2" xfId="0" applyNumberFormat="1" applyBorder="1"/>
    <xf numFmtId="167" fontId="2" fillId="0" borderId="2" xfId="0" applyNumberFormat="1" applyFont="1" applyBorder="1"/>
    <xf numFmtId="168" fontId="2" fillId="4" borderId="3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168" fontId="0" fillId="0" borderId="2" xfId="1" applyNumberFormat="1" applyFont="1" applyBorder="1"/>
    <xf numFmtId="0" fontId="11" fillId="0" borderId="2" xfId="0" applyFont="1" applyBorder="1" applyAlignment="1">
      <alignment horizontal="center" vertical="center"/>
    </xf>
    <xf numFmtId="168" fontId="2" fillId="4" borderId="2" xfId="0" applyNumberFormat="1" applyFont="1" applyFill="1" applyBorder="1"/>
    <xf numFmtId="168" fontId="2" fillId="0" borderId="0" xfId="1" applyNumberFormat="1" applyFont="1" applyFill="1"/>
    <xf numFmtId="0" fontId="13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3" fontId="16" fillId="0" borderId="7" xfId="0" applyNumberFormat="1" applyFont="1" applyBorder="1" applyAlignment="1">
      <alignment horizontal="right" vertical="center"/>
    </xf>
    <xf numFmtId="0" fontId="16" fillId="0" borderId="7" xfId="0" applyFont="1" applyBorder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3" fontId="17" fillId="0" borderId="7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top"/>
    </xf>
    <xf numFmtId="167" fontId="18" fillId="0" borderId="0" xfId="1" applyNumberFormat="1" applyFont="1" applyAlignment="1">
      <alignment vertical="top"/>
    </xf>
    <xf numFmtId="0" fontId="19" fillId="0" borderId="0" xfId="0" applyFont="1"/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49" fontId="0" fillId="0" borderId="0" xfId="0" applyNumberFormat="1" applyAlignment="1">
      <alignment vertical="top"/>
    </xf>
  </cellXfs>
  <cellStyles count="5">
    <cellStyle name="Comma" xfId="1" builtinId="3"/>
    <cellStyle name="Comma 2" xfId="3" xr:uid="{8C2DE616-C54E-4888-AADA-1C006B5DEC43}"/>
    <cellStyle name="Normal" xfId="0" builtinId="0"/>
    <cellStyle name="Normal 2 2 2" xfId="2" xr:uid="{7E47F4F5-4C86-4FE2-9306-56728969A2F4}"/>
    <cellStyle name="Percent 2" xfId="4" xr:uid="{D5064287-40F5-4803-8FB7-CD5F10497616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23.xlsx" TargetMode="External"/><Relationship Id="rId1" Type="http://schemas.openxmlformats.org/officeDocument/2006/relationships/externalLinkPath" Target="file:///C:\Users\adil.hassan\Downloads\1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12233.xlsx" TargetMode="External"/><Relationship Id="rId1" Type="http://schemas.openxmlformats.org/officeDocument/2006/relationships/externalLinkPath" Target="file:///C:\Users\adil.hassan\Downloads\1122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KHI/HO/D/MO/PC COMP/C/83022/41/02/2024</v>
          </cell>
          <cell r="C2" t="str">
            <v>070000154999</v>
          </cell>
        </row>
        <row r="3">
          <cell r="B3" t="str">
            <v>KHI/HO/D/MO/PC COMP/C/92394/6/07/2024</v>
          </cell>
          <cell r="C3" t="str">
            <v>070000162215</v>
          </cell>
        </row>
        <row r="4">
          <cell r="B4" t="str">
            <v>KHI/HO/D/MO/PC COMP/C/92394/25/07/2024</v>
          </cell>
          <cell r="C4" t="str">
            <v>070000162908</v>
          </cell>
        </row>
        <row r="5">
          <cell r="B5" t="str">
            <v>KHI/HO/D/MO/PC COMP/C/92394/18/07/2024</v>
          </cell>
          <cell r="C5" t="str">
            <v>070000162327</v>
          </cell>
        </row>
        <row r="6">
          <cell r="B6" t="str">
            <v>KHI/HO/D/MO/PC COMP/C/92394/45/07/2024</v>
          </cell>
          <cell r="C6" t="str">
            <v>070000163283</v>
          </cell>
        </row>
        <row r="7">
          <cell r="B7" t="str">
            <v>KHI/HO/D/MO/PC COMP/C/92394/40/07/2024</v>
          </cell>
          <cell r="C7" t="str">
            <v>070000163268</v>
          </cell>
        </row>
        <row r="8">
          <cell r="B8" t="str">
            <v>KHI/HO/D/MO/PC COMP/C/92394/21/07/2024</v>
          </cell>
          <cell r="C8" t="str">
            <v>070000162365</v>
          </cell>
        </row>
        <row r="9">
          <cell r="B9" t="str">
            <v>KHI/HO/D/MO/PC COMP/C/92394/32/07/2024</v>
          </cell>
          <cell r="C9" t="str">
            <v>070000163233</v>
          </cell>
        </row>
        <row r="10">
          <cell r="B10" t="str">
            <v>KHI/HO/D/MO/PC COMP/C/92394/33/07/2024</v>
          </cell>
          <cell r="C10" t="str">
            <v>070000163235</v>
          </cell>
        </row>
        <row r="11">
          <cell r="B11" t="str">
            <v>KHI/HO/D/MO/PC COMP/C/92394/44/07/2024</v>
          </cell>
          <cell r="C11" t="str">
            <v>070000163281</v>
          </cell>
        </row>
        <row r="12">
          <cell r="B12" t="str">
            <v>KHI/HO/D/MO/PC COMP/C/92394/31/07/2024</v>
          </cell>
          <cell r="C12" t="str">
            <v>070000163231</v>
          </cell>
        </row>
        <row r="13">
          <cell r="B13" t="str">
            <v>KHI/HO/D/MO/PC COMP/C/92394/38/07/2024</v>
          </cell>
          <cell r="C13" t="str">
            <v>070000163264</v>
          </cell>
        </row>
        <row r="14">
          <cell r="B14" t="str">
            <v>KHI/HO/D/MO/PC COMP/C/92394/39/07/2024</v>
          </cell>
          <cell r="C14" t="str">
            <v>070000163265</v>
          </cell>
        </row>
        <row r="15">
          <cell r="B15" t="str">
            <v>KHI/HO/D/MO/PC COMP/C/92394/20/07/2024</v>
          </cell>
          <cell r="C15" t="str">
            <v>070000162362</v>
          </cell>
        </row>
        <row r="16">
          <cell r="B16" t="str">
            <v>KHI/HO/D/MO/PC COMP/C/92394/26/07/2024</v>
          </cell>
          <cell r="C16" t="str">
            <v>070000162931</v>
          </cell>
        </row>
        <row r="17">
          <cell r="B17" t="str">
            <v>KHI/HO/D/MO/PC COMP/C/92394/8/07/2024</v>
          </cell>
          <cell r="C17" t="str">
            <v>070000162226</v>
          </cell>
        </row>
        <row r="18">
          <cell r="B18" t="str">
            <v>KHI/HO/D/MO/PC COMP/C/92394/50/07/2024</v>
          </cell>
          <cell r="C18" t="str">
            <v>070000163480</v>
          </cell>
        </row>
        <row r="19">
          <cell r="B19" t="str">
            <v>KHI/HO/D/MO/PC COMP/C/92394/12/07/2024</v>
          </cell>
          <cell r="C19" t="str">
            <v>070000162232</v>
          </cell>
        </row>
        <row r="20">
          <cell r="B20" t="str">
            <v>KHI/HO/D/MO/PC COMP/C/92394/5/07/2024</v>
          </cell>
          <cell r="C20" t="str">
            <v>070000162211</v>
          </cell>
        </row>
        <row r="21">
          <cell r="B21" t="str">
            <v>KHI/HO/D/MO/CV/C/92498/1/07/2024</v>
          </cell>
          <cell r="C21" t="str">
            <v>070000162212</v>
          </cell>
        </row>
        <row r="22">
          <cell r="B22" t="str">
            <v>KHI/HO/D/MO/PC COMP/C/92394/34/07/2024</v>
          </cell>
          <cell r="C22" t="str">
            <v>070000163236</v>
          </cell>
        </row>
        <row r="23">
          <cell r="B23" t="str">
            <v>KHI/HO/D/MO/PC COMP/C/92394/19/07/2024</v>
          </cell>
          <cell r="C23" t="str">
            <v>070000162328</v>
          </cell>
        </row>
        <row r="24">
          <cell r="B24" t="str">
            <v>KHI/HO/D/MO/PC COMP/C/92394/28/07/2024</v>
          </cell>
          <cell r="C24" t="str">
            <v>070000162962</v>
          </cell>
        </row>
        <row r="25">
          <cell r="B25" t="str">
            <v>KHI/HO/D/MO/PC COMP/C/92394/42/07/2024</v>
          </cell>
          <cell r="C25" t="str">
            <v>070000163275</v>
          </cell>
        </row>
        <row r="26">
          <cell r="B26" t="str">
            <v>KHI/HO/D/MO/PC COMP/C/92394/59/07/2024</v>
          </cell>
          <cell r="C26" t="str">
            <v>070000163526</v>
          </cell>
        </row>
        <row r="27">
          <cell r="B27" t="str">
            <v>KHI/HO/D/MO/PC COMP/C/92394/61/07/2024</v>
          </cell>
          <cell r="C27" t="str">
            <v>070000163556</v>
          </cell>
        </row>
        <row r="28">
          <cell r="B28" t="str">
            <v>KHI/HO/D/MO/PC COMP/C/92394/7/07/2024</v>
          </cell>
          <cell r="C28" t="str">
            <v>070000162219</v>
          </cell>
        </row>
        <row r="29">
          <cell r="B29" t="str">
            <v>KHI/HO/D/MO/PC COMP/C/92394/13/07/2024</v>
          </cell>
          <cell r="C29" t="str">
            <v>070000162291</v>
          </cell>
        </row>
        <row r="30">
          <cell r="B30" t="str">
            <v>KHI/HO/D/MO/PC COMP/C/92394/14/07/2024</v>
          </cell>
          <cell r="C30" t="str">
            <v>070000162298</v>
          </cell>
        </row>
        <row r="31">
          <cell r="B31" t="str">
            <v>KHI/HO/D/MO/PC COMP/C/92394/55/07/2024</v>
          </cell>
          <cell r="C31" t="str">
            <v>070000163518</v>
          </cell>
        </row>
        <row r="32">
          <cell r="B32" t="str">
            <v>KHI/HO/D/MO/PC COMP/C/92394/56/07/2024</v>
          </cell>
          <cell r="C32" t="str">
            <v>070000163519</v>
          </cell>
        </row>
        <row r="33">
          <cell r="B33" t="str">
            <v>KHI/HO/D/MO/PC COMP/C/92394/60/07/2024</v>
          </cell>
          <cell r="C33" t="str">
            <v>070000163527</v>
          </cell>
        </row>
        <row r="34">
          <cell r="B34" t="str">
            <v>KHI/HO/D/MO/PC COMP/C/92394/2/07/2024</v>
          </cell>
          <cell r="C34" t="str">
            <v>070000162193</v>
          </cell>
        </row>
        <row r="35">
          <cell r="B35" t="str">
            <v>KHI/HO/D/MO/PC COMP/C/92394/3/07/2024</v>
          </cell>
          <cell r="C35" t="str">
            <v>070000162198</v>
          </cell>
        </row>
        <row r="36">
          <cell r="B36" t="str">
            <v>KHI/HO/D/MO/PC COMP/C/92394/48/07/2024</v>
          </cell>
          <cell r="C36" t="str">
            <v>070000163435</v>
          </cell>
        </row>
        <row r="37">
          <cell r="B37" t="str">
            <v>KHI/HO/D/MO/PC COMP/C/92394/46/07/2024</v>
          </cell>
          <cell r="C37" t="str">
            <v>070000163284</v>
          </cell>
        </row>
        <row r="38">
          <cell r="B38" t="str">
            <v>KHI/HO/D/MO/PC COMP/C/92394/17/07/2024</v>
          </cell>
          <cell r="C38" t="str">
            <v>070000162320</v>
          </cell>
        </row>
        <row r="39">
          <cell r="B39" t="str">
            <v>KHI/HO/D/MO/PC COMP/C/92394/15/07/2024</v>
          </cell>
          <cell r="C39" t="str">
            <v>070000162314</v>
          </cell>
        </row>
        <row r="40">
          <cell r="B40" t="str">
            <v>KHI/HO/D/MO/PC COMP/C/92394/22/07/2024</v>
          </cell>
          <cell r="C40" t="str">
            <v>070000162418</v>
          </cell>
        </row>
        <row r="41">
          <cell r="B41" t="str">
            <v>KHI/HO/D/MO/PC COMP/C/92394/24/07/2024</v>
          </cell>
          <cell r="C41" t="str">
            <v>070000162774</v>
          </cell>
        </row>
        <row r="42">
          <cell r="B42" t="str">
            <v>KHI/HO/D/MO/PC COMP/C/92394/43/07/2024</v>
          </cell>
          <cell r="C42" t="str">
            <v>070000163276</v>
          </cell>
        </row>
        <row r="43">
          <cell r="B43" t="str">
            <v>KHI/HO/D/MO/PC COMP/C/92394/47/07/2024</v>
          </cell>
          <cell r="C43" t="str">
            <v>070000163428</v>
          </cell>
        </row>
        <row r="44">
          <cell r="B44" t="str">
            <v>KHI/HO/D/MO/PC COMP/C/92394/4/07/2024</v>
          </cell>
          <cell r="C44" t="str">
            <v>070000162200</v>
          </cell>
        </row>
        <row r="45">
          <cell r="B45" t="str">
            <v>KHI/HO/D/MO/PC COMP/C/92394/41/07/2024</v>
          </cell>
          <cell r="C45" t="str">
            <v>070000163274</v>
          </cell>
        </row>
        <row r="46">
          <cell r="B46" t="str">
            <v>KHI/HO/D/MO/PC COMP/C/92394/49/07/2024</v>
          </cell>
          <cell r="C46" t="str">
            <v>070000163477</v>
          </cell>
        </row>
        <row r="47">
          <cell r="B47" t="str">
            <v>KHI/HO/D/MO/PC COMP/C/92394/51/07/2024</v>
          </cell>
          <cell r="C47" t="str">
            <v>070000163495</v>
          </cell>
        </row>
        <row r="48">
          <cell r="B48" t="str">
            <v>KHI/HO/D/MO/PC COMP/C/92394/52/07/2024</v>
          </cell>
          <cell r="C48" t="str">
            <v>070000163496</v>
          </cell>
        </row>
        <row r="49">
          <cell r="B49" t="str">
            <v>KHI/HO/D/MO/PC COMP/C/92394/30/07/2024</v>
          </cell>
          <cell r="C49" t="str">
            <v>070000162997</v>
          </cell>
        </row>
        <row r="50">
          <cell r="B50" t="str">
            <v>KHI/HO/D/MO/PC COMP/C/92394/53/07/2024</v>
          </cell>
          <cell r="C50" t="str">
            <v>070000163510</v>
          </cell>
        </row>
        <row r="51">
          <cell r="B51" t="str">
            <v>KHI/HO/D/MO/PC COMP/C/92394/57/07/2024</v>
          </cell>
          <cell r="C51" t="str">
            <v>070000163524</v>
          </cell>
        </row>
        <row r="52">
          <cell r="B52" t="str">
            <v>KHI/HO/D/MO/PC COMP/C/92394/58/07/2024</v>
          </cell>
          <cell r="C52" t="str">
            <v>070000163525</v>
          </cell>
        </row>
        <row r="53">
          <cell r="B53" t="str">
            <v>KHI/HO/D/MO/PC COMP/C/92394/54/07/2024</v>
          </cell>
          <cell r="C53" t="str">
            <v>070000163517</v>
          </cell>
        </row>
        <row r="54">
          <cell r="B54" t="str">
            <v>KHI/HO/D/MO/PC COMP/C/92394/29/07/2024</v>
          </cell>
          <cell r="C54" t="str">
            <v>070000162990</v>
          </cell>
        </row>
        <row r="55">
          <cell r="B55" t="str">
            <v>KHI/HO/D/MO/PC COMP/C/92394/27/07/2024</v>
          </cell>
          <cell r="C55" t="str">
            <v>070000162960</v>
          </cell>
        </row>
        <row r="56">
          <cell r="B56" t="str">
            <v>KHI/HO/D/MO/PC COMP/C/92394/23/07/2024</v>
          </cell>
          <cell r="C56" t="str">
            <v>070000162639</v>
          </cell>
        </row>
        <row r="57">
          <cell r="B57" t="str">
            <v>KHI/HO/D/MO/PC COMP/C/92394/37/07/2024</v>
          </cell>
          <cell r="C57" t="str">
            <v>070000163244</v>
          </cell>
        </row>
        <row r="58">
          <cell r="B58" t="str">
            <v>KHI/HO/D/MO/PC COMP/C/92394/16/07/2024</v>
          </cell>
          <cell r="C58" t="str">
            <v>070000162319</v>
          </cell>
        </row>
        <row r="59">
          <cell r="B59" t="str">
            <v>KHI/HO/D/MO/PC COMP/C/92394/35/07/2024</v>
          </cell>
          <cell r="C59" t="str">
            <v>070000163237</v>
          </cell>
        </row>
        <row r="60">
          <cell r="B60" t="str">
            <v>KHI/HO/D/MO/PC COMP/C/92394/36/07/2024</v>
          </cell>
          <cell r="C60" t="str">
            <v>070000163238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KHI/HO/D/MO/PC COMP/C/84688/3/02/2024</v>
          </cell>
          <cell r="C2" t="str">
            <v>070000155177</v>
          </cell>
        </row>
        <row r="3">
          <cell r="B3" t="str">
            <v>KHI/HO/D/MO/PC COMP/C/86646/84/04/2024</v>
          </cell>
          <cell r="C3" t="str">
            <v>070000156827</v>
          </cell>
        </row>
        <row r="4">
          <cell r="B4" t="str">
            <v>KHI/HO/D/MO/PC COMP/C/86646/13/04/2024</v>
          </cell>
          <cell r="C4" t="str">
            <v>070000156742</v>
          </cell>
        </row>
        <row r="5">
          <cell r="B5" t="str">
            <v>KHI/HO/D/MO/PC COMP/C/85047/66/03/2024</v>
          </cell>
          <cell r="C5" t="str">
            <v>070000155359</v>
          </cell>
        </row>
        <row r="6">
          <cell r="B6" t="str">
            <v>KHI/HO/D/MO/PC COMP/C/85047/47/03/2024</v>
          </cell>
          <cell r="C6" t="str">
            <v>070000155339</v>
          </cell>
        </row>
        <row r="7">
          <cell r="B7" t="str">
            <v>KHI/HO/D/MO/PC COMP/C/86646/69/04/2024</v>
          </cell>
          <cell r="C7" t="str">
            <v>070000156811</v>
          </cell>
        </row>
        <row r="8">
          <cell r="B8" t="str">
            <v>KHI/HO/D/MO/PC COMP/C/86646/75/04/2024</v>
          </cell>
          <cell r="C8" t="str">
            <v>070000156818</v>
          </cell>
        </row>
        <row r="9">
          <cell r="B9" t="str">
            <v>KHI/HO/D/MO/PC COMP/C/86646/77/04/2024</v>
          </cell>
          <cell r="C9" t="str">
            <v>070000156820</v>
          </cell>
        </row>
        <row r="10">
          <cell r="B10" t="str">
            <v>KHI/HO/D/MO/CV/C/86620/5/04/2024</v>
          </cell>
          <cell r="C10" t="str">
            <v>070000156665</v>
          </cell>
        </row>
        <row r="11">
          <cell r="B11" t="str">
            <v>KHI/HO/D/MO/PC COMP/C/86646/90/04/2024</v>
          </cell>
          <cell r="C11" t="str">
            <v>070000156834</v>
          </cell>
        </row>
        <row r="12">
          <cell r="B12" t="str">
            <v>KHI/HO/D/MO/PC COMP/C/86646/91/04/2024</v>
          </cell>
          <cell r="C12" t="str">
            <v>070000156835</v>
          </cell>
        </row>
        <row r="13">
          <cell r="B13" t="str">
            <v>KHI/HO/D/MO/PC COMP/C/86646/26/04/2024</v>
          </cell>
          <cell r="C13" t="str">
            <v>070000156758</v>
          </cell>
        </row>
        <row r="14">
          <cell r="B14" t="str">
            <v>KHI/HO/D/MO/PC COMP/C/93459/16/07/2024</v>
          </cell>
          <cell r="C14" t="str">
            <v>070000162582</v>
          </cell>
        </row>
        <row r="15">
          <cell r="B15" t="str">
            <v>KHI/HO/D/MO/PC COMP/C/90920/72/06/2024</v>
          </cell>
          <cell r="C15" t="str">
            <v>070000161366</v>
          </cell>
        </row>
        <row r="16">
          <cell r="B16" t="str">
            <v>KHI/HO/D/MO/PC COMP/C/93457/16/07/2024</v>
          </cell>
          <cell r="C16" t="str">
            <v>070000162460</v>
          </cell>
        </row>
        <row r="17">
          <cell r="B17" t="str">
            <v>KHI/HO/D/MO/PC COMP/C/88626/95/05/2024</v>
          </cell>
          <cell r="C17" t="str">
            <v>070000159188</v>
          </cell>
        </row>
        <row r="18">
          <cell r="B18" t="str">
            <v>KHI/HO/D/MO/CV/C/93454/1/07/2024</v>
          </cell>
          <cell r="C18" t="str">
            <v>070000162437</v>
          </cell>
        </row>
        <row r="19">
          <cell r="B19" t="str">
            <v>KHI/HO/D/MO/CV/C/93454/2/07/2024</v>
          </cell>
          <cell r="C19" t="str">
            <v>070000162438</v>
          </cell>
        </row>
        <row r="20">
          <cell r="B20" t="str">
            <v>KHI/HO/D/MO/PC COMP/C/88626/111/05/2024</v>
          </cell>
          <cell r="C20" t="str">
            <v>070000159204</v>
          </cell>
        </row>
        <row r="21">
          <cell r="B21" t="str">
            <v>KHI/HO/D/MO/PC COMP/C/88626/116/05/2024</v>
          </cell>
          <cell r="C21" t="str">
            <v>070000159209</v>
          </cell>
        </row>
        <row r="22">
          <cell r="B22" t="str">
            <v>KHI/HO/D/MO/PC COMP/C/88626/117/05/2024</v>
          </cell>
          <cell r="C22" t="str">
            <v>070000159210</v>
          </cell>
        </row>
        <row r="23">
          <cell r="B23" t="str">
            <v>KHI/HO/D/MO/PC COMP/C/88626/118/05/2024</v>
          </cell>
          <cell r="C23" t="str">
            <v>070000159211</v>
          </cell>
        </row>
        <row r="24">
          <cell r="B24" t="str">
            <v>KHI/HO/D/MO/PC COMP/C/88626/138/05/2024</v>
          </cell>
          <cell r="C24" t="str">
            <v>070000159231</v>
          </cell>
        </row>
        <row r="25">
          <cell r="B25" t="str">
            <v>KHI/HO/D/MO/PC COMP/C/88626/124/05/2024</v>
          </cell>
          <cell r="C25" t="str">
            <v>070000159217</v>
          </cell>
        </row>
        <row r="26">
          <cell r="B26" t="str">
            <v>KHI/HO/D/MO/PC COMP/C/88626/126/05/2024</v>
          </cell>
          <cell r="C26" t="str">
            <v>070000159219</v>
          </cell>
        </row>
        <row r="27">
          <cell r="B27" t="str">
            <v>KHI/HO/D/MO/PC COMP/C/88626/129/05/2024</v>
          </cell>
          <cell r="C27" t="str">
            <v>070000159222</v>
          </cell>
        </row>
        <row r="28">
          <cell r="B28" t="str">
            <v>KHI/HO/D/MO/PC COMP/C/88626/130/05/2024</v>
          </cell>
          <cell r="C28" t="str">
            <v>070000159223</v>
          </cell>
        </row>
        <row r="29">
          <cell r="B29" t="str">
            <v>KHI/HO/D/MO/PC COMP/C/88626/132/05/2024</v>
          </cell>
          <cell r="C29" t="str">
            <v>070000159225</v>
          </cell>
        </row>
        <row r="30">
          <cell r="B30" t="str">
            <v>KHI/HO/D/MO/PC COMP/C/93459/31/07/2024</v>
          </cell>
          <cell r="C30" t="str">
            <v>070000162910</v>
          </cell>
        </row>
        <row r="31">
          <cell r="B31" t="str">
            <v>KHI/HO/D/MO/PC COMP/C/93459/29/07/2024</v>
          </cell>
          <cell r="C31" t="str">
            <v>070000162906</v>
          </cell>
        </row>
        <row r="32">
          <cell r="B32" t="str">
            <v>KHI/HO/D/MO/PC COMP/C/93459/30/07/2024</v>
          </cell>
          <cell r="C32" t="str">
            <v>070000162907</v>
          </cell>
        </row>
        <row r="33">
          <cell r="B33" t="str">
            <v>KHI/HO/D/MO/PC COMP/C/93459/3/07/2024</v>
          </cell>
          <cell r="C33" t="str">
            <v>070000162564</v>
          </cell>
        </row>
        <row r="34">
          <cell r="B34" t="str">
            <v>KHI/HO/D/MO/PC COMP/C/93459/4/07/2024</v>
          </cell>
          <cell r="C34" t="str">
            <v>070000162567</v>
          </cell>
        </row>
        <row r="35">
          <cell r="B35" t="str">
            <v>KHI/HO/D/MO/PC COMP/C/93459/1/07/2024</v>
          </cell>
          <cell r="C35" t="str">
            <v>070000162562</v>
          </cell>
        </row>
        <row r="36">
          <cell r="B36" t="str">
            <v>KHI/HO/D/MO/PC COMP/C/93459/5/07/2024</v>
          </cell>
          <cell r="C36" t="str">
            <v>070000162568</v>
          </cell>
        </row>
        <row r="37">
          <cell r="B37" t="str">
            <v>KHI/HO/D/MO/PC COMP/C/93459/6/07/2024</v>
          </cell>
          <cell r="C37" t="str">
            <v>070000162569</v>
          </cell>
        </row>
        <row r="38">
          <cell r="B38" t="str">
            <v>KHI/HO/D/MO/PC COMP/C/93459/7/07/2024</v>
          </cell>
          <cell r="C38" t="str">
            <v>070000162570</v>
          </cell>
        </row>
        <row r="39">
          <cell r="B39" t="str">
            <v>KHI/HO/D/MO/PC COMP/C/93459/8/07/2024</v>
          </cell>
          <cell r="C39" t="str">
            <v>070000162572</v>
          </cell>
        </row>
        <row r="40">
          <cell r="B40" t="str">
            <v>KHI/HO/D/MO/PC COMP/C/93459/12/07/2024</v>
          </cell>
          <cell r="C40" t="str">
            <v>070000162577</v>
          </cell>
        </row>
        <row r="41">
          <cell r="B41" t="str">
            <v>KHI/HO/D/MO/PC COMP/C/93459/17/07/2024</v>
          </cell>
          <cell r="C41" t="str">
            <v>070000162583</v>
          </cell>
        </row>
        <row r="42">
          <cell r="B42" t="str">
            <v>KHI/HO/D/MO/PC COMP/C/93459/23/07/2024</v>
          </cell>
          <cell r="C42" t="str">
            <v>070000162590</v>
          </cell>
        </row>
        <row r="43">
          <cell r="B43" t="str">
            <v>KHI/HO/D/MO/PC COMP/C/93459/24/07/2024</v>
          </cell>
          <cell r="C43" t="str">
            <v>070000162592</v>
          </cell>
        </row>
        <row r="44">
          <cell r="B44" t="str">
            <v>KHI/HO/D/MO/PC COMP/C/93459/25/07/2024</v>
          </cell>
          <cell r="C44" t="str">
            <v>070000162593</v>
          </cell>
        </row>
        <row r="45">
          <cell r="B45" t="str">
            <v>KHI/HO/D/MO/PC COMP/C/93459/26/07/2024</v>
          </cell>
          <cell r="C45" t="str">
            <v>070000162594</v>
          </cell>
        </row>
        <row r="46">
          <cell r="B46" t="str">
            <v>KHI/HO/D/MO/PC COMP/C/93459/27/07/2024</v>
          </cell>
          <cell r="C46" t="str">
            <v>070000162595</v>
          </cell>
        </row>
        <row r="47">
          <cell r="B47" t="str">
            <v>KHI/HO/D/MO/PC COMP/C/93460/1/07/2024</v>
          </cell>
          <cell r="C47" t="str">
            <v>070000162596</v>
          </cell>
        </row>
        <row r="48">
          <cell r="B48" t="str">
            <v>KHI/HO/D/MO/PC COMP/C/93460/2/07/2024</v>
          </cell>
          <cell r="C48" t="str">
            <v>070000162598</v>
          </cell>
        </row>
        <row r="49">
          <cell r="B49" t="str">
            <v>KHI/HO/D/MO/PC COMP/C/93460/4/07/2024</v>
          </cell>
          <cell r="C49" t="str">
            <v>070000162602</v>
          </cell>
        </row>
        <row r="50">
          <cell r="B50" t="str">
            <v>KHI/HO/D/MO/PC COMP/C/93460/5/07/2024</v>
          </cell>
          <cell r="C50" t="str">
            <v>070000162603</v>
          </cell>
        </row>
        <row r="51">
          <cell r="B51" t="str">
            <v>KHI/HO/D/MO/PC COMP/C/93460/7/07/2024</v>
          </cell>
          <cell r="C51" t="str">
            <v>070000162605</v>
          </cell>
        </row>
        <row r="52">
          <cell r="B52" t="str">
            <v>KHI/HO/D/MO/PC COMP/C/93460/9/07/2024</v>
          </cell>
          <cell r="C52" t="str">
            <v>070000162607</v>
          </cell>
        </row>
        <row r="53">
          <cell r="B53" t="str">
            <v>KHI/HO/D/MO/PC COMP/C/93460/10/07/2024</v>
          </cell>
          <cell r="C53" t="str">
            <v>070000162608</v>
          </cell>
        </row>
        <row r="54">
          <cell r="B54" t="str">
            <v>KHI/HO/D/MO/PC COMP/C/93460/12/07/2024</v>
          </cell>
          <cell r="C54" t="str">
            <v>070000162610</v>
          </cell>
        </row>
        <row r="55">
          <cell r="B55" t="str">
            <v>KHI/HO/D/MO/CV/C/88993/4/05/2024</v>
          </cell>
          <cell r="C55" t="str">
            <v>070000158838</v>
          </cell>
        </row>
        <row r="56">
          <cell r="B56" t="str">
            <v>KHI/HO/D/MO/PC COMP/C/93459/9/07/2024</v>
          </cell>
          <cell r="C56" t="str">
            <v>070000162573</v>
          </cell>
        </row>
        <row r="57">
          <cell r="B57" t="str">
            <v>KHI/HO/D/MO/PC COMP/C/93459/10/07/2024</v>
          </cell>
          <cell r="C57" t="str">
            <v>070000162574</v>
          </cell>
        </row>
        <row r="58">
          <cell r="B58" t="str">
            <v>KHI/HO/D/MO/PC COMP/C/93459/11/07/2024</v>
          </cell>
          <cell r="C58" t="str">
            <v>070000162575</v>
          </cell>
        </row>
        <row r="59">
          <cell r="B59" t="str">
            <v>KHI/HO/D/MO/PC COMP/C/93459/13/07/2024</v>
          </cell>
          <cell r="C59" t="str">
            <v>070000162578</v>
          </cell>
        </row>
        <row r="60">
          <cell r="B60" t="str">
            <v>KHI/HO/D/MO/PC COMP/C/93459/14/07/2024</v>
          </cell>
          <cell r="C60" t="str">
            <v>070000162580</v>
          </cell>
        </row>
        <row r="61">
          <cell r="B61" t="str">
            <v>KHI/HO/D/MO/PC COMP/C/93459/15/07/2024</v>
          </cell>
          <cell r="C61" t="str">
            <v>070000162581</v>
          </cell>
        </row>
        <row r="62">
          <cell r="B62" t="str">
            <v>KHI/HO/D/MO/PC COMP/C/93459/18/07/2024</v>
          </cell>
          <cell r="C62" t="str">
            <v>070000162585</v>
          </cell>
        </row>
        <row r="63">
          <cell r="B63" t="str">
            <v>KHI/HO/D/MO/PC COMP/C/93459/19/07/2024</v>
          </cell>
          <cell r="C63" t="str">
            <v>070000162586</v>
          </cell>
        </row>
        <row r="64">
          <cell r="B64" t="str">
            <v>KHI/HO/D/MO/PC COMP/C/93459/20/07/2024</v>
          </cell>
          <cell r="C64" t="str">
            <v>070000162587</v>
          </cell>
        </row>
        <row r="65">
          <cell r="B65" t="str">
            <v>KHI/HO/D/MO/PC COMP/C/93459/21/07/2024</v>
          </cell>
          <cell r="C65" t="str">
            <v>070000162588</v>
          </cell>
        </row>
        <row r="66">
          <cell r="B66" t="str">
            <v>KHI/HO/D/MO/PC COMP/C/93459/22/07/2024</v>
          </cell>
          <cell r="C66" t="str">
            <v>070000162589</v>
          </cell>
        </row>
        <row r="67">
          <cell r="B67" t="str">
            <v>KHI/HO/D/MO/PC COMP/C/93459/2/07/2024</v>
          </cell>
          <cell r="C67" t="str">
            <v>070000162563</v>
          </cell>
        </row>
        <row r="68">
          <cell r="B68" t="str">
            <v>KHI/HO/D/MO/PC COMP/C/90920/9/06/2024</v>
          </cell>
          <cell r="C68" t="str">
            <v>070000161303</v>
          </cell>
        </row>
        <row r="69">
          <cell r="B69" t="str">
            <v>KHI/HO/D/MO/PC COMP/C/90920/17/06/2024</v>
          </cell>
          <cell r="C69" t="str">
            <v>070000161311</v>
          </cell>
        </row>
        <row r="70">
          <cell r="B70" t="str">
            <v>KHI/HO/D/MO/PC COMP/C/90920/30/06/2024</v>
          </cell>
          <cell r="C70" t="str">
            <v>070000161324</v>
          </cell>
        </row>
        <row r="71">
          <cell r="B71" t="str">
            <v>KHI/HO/D/MO/PC COMP/C/90920/36/06/2024</v>
          </cell>
          <cell r="C71" t="str">
            <v>070000161330</v>
          </cell>
        </row>
        <row r="72">
          <cell r="B72" t="str">
            <v>KHI/HO/D/MO/PC COMP/C/90920/45/06/2024</v>
          </cell>
          <cell r="C72" t="str">
            <v>070000161339</v>
          </cell>
        </row>
        <row r="73">
          <cell r="B73" t="str">
            <v>KHI/HO/D/MO/PC COMP/C/90920/46/06/2024</v>
          </cell>
          <cell r="C73" t="str">
            <v>070000161340</v>
          </cell>
        </row>
        <row r="74">
          <cell r="B74" t="str">
            <v>KHI/HO/D/MO/PC COMP/C/90920/54/06/2024</v>
          </cell>
          <cell r="C74" t="str">
            <v>070000161348</v>
          </cell>
        </row>
        <row r="75">
          <cell r="B75" t="str">
            <v>KHI/HO/D/MO/PC COMP/C/90920/59/06/2024</v>
          </cell>
          <cell r="C75" t="str">
            <v>070000161353</v>
          </cell>
        </row>
        <row r="76">
          <cell r="B76" t="str">
            <v>KHI/HO/D/MO/PC COMP/C/90920/63/06/2024</v>
          </cell>
          <cell r="C76" t="str">
            <v>070000161357</v>
          </cell>
        </row>
        <row r="77">
          <cell r="B77" t="str">
            <v>KHI/HO/D/MO/PC COMP/C/93457/1/07/2024</v>
          </cell>
          <cell r="C77" t="str">
            <v>070000162442</v>
          </cell>
        </row>
        <row r="78">
          <cell r="B78" t="str">
            <v>KHI/HO/D/MO/PC COMP/C/93457/4/07/2024</v>
          </cell>
          <cell r="C78" t="str">
            <v>070000162445</v>
          </cell>
        </row>
        <row r="79">
          <cell r="B79" t="str">
            <v>KHI/HO/D/MO/PC COMP/C/93457/9/07/2024</v>
          </cell>
          <cell r="C79" t="str">
            <v>070000162452</v>
          </cell>
        </row>
        <row r="80">
          <cell r="B80" t="str">
            <v>KHI/HO/D/MO/PC COMP/C/93457/14/07/2024</v>
          </cell>
          <cell r="C80" t="str">
            <v>070000162458</v>
          </cell>
        </row>
        <row r="81">
          <cell r="B81" t="str">
            <v>KHI/HO/D/MO/PC COMP/C/93457/21/07/2024</v>
          </cell>
          <cell r="C81" t="str">
            <v>070000162467</v>
          </cell>
        </row>
        <row r="82">
          <cell r="B82" t="str">
            <v>KHI/HO/D/MO/PC COMP/C/93457/47/07/2024</v>
          </cell>
          <cell r="C82" t="str">
            <v>070000162496</v>
          </cell>
        </row>
        <row r="83">
          <cell r="B83" t="str">
            <v>KHI/HO/D/MO/PC COMP/C/93457/52/07/2024</v>
          </cell>
          <cell r="C83" t="str">
            <v>070000162501</v>
          </cell>
        </row>
        <row r="84">
          <cell r="B84" t="str">
            <v>KHI/HO/D/MO/PC COMP/C/88626/89/05/2024</v>
          </cell>
          <cell r="C84" t="str">
            <v>070000159182</v>
          </cell>
        </row>
        <row r="85">
          <cell r="B85" t="str">
            <v>KHI/HO/D/MO/PC COMP/C/93457/10/07/2024</v>
          </cell>
          <cell r="C85" t="str">
            <v>070000162453</v>
          </cell>
        </row>
        <row r="86">
          <cell r="B86" t="str">
            <v>KHI/HO/D/MO/PC COMP/C/93457/11/07/2024</v>
          </cell>
          <cell r="C86" t="str">
            <v>070000162455</v>
          </cell>
        </row>
        <row r="87">
          <cell r="B87" t="str">
            <v>KHI/HO/D/MO/PC COMP/C/93457/12/07/2024</v>
          </cell>
          <cell r="C87" t="str">
            <v>070000162456</v>
          </cell>
        </row>
        <row r="88">
          <cell r="B88" t="str">
            <v>KHI/HO/D/MO/PC COMP/C/93457/13/07/2024</v>
          </cell>
          <cell r="C88" t="str">
            <v>070000162457</v>
          </cell>
        </row>
        <row r="89">
          <cell r="B89" t="str">
            <v>KHI/HO/D/MO/PC COMP/C/93457/2/07/2024</v>
          </cell>
          <cell r="C89" t="str">
            <v>070000162443</v>
          </cell>
        </row>
        <row r="90">
          <cell r="B90" t="str">
            <v>KHI/HO/D/MO/PC COMP/C/93457/8/07/2024</v>
          </cell>
          <cell r="C90" t="str">
            <v>070000162451</v>
          </cell>
        </row>
        <row r="91">
          <cell r="B91" t="str">
            <v>KHI/HO/D/MO/PC COMP/C/93457/43/07/2024</v>
          </cell>
          <cell r="C91" t="str">
            <v>070000162491</v>
          </cell>
        </row>
        <row r="92">
          <cell r="B92" t="str">
            <v>KHI/HO/D/MO/PC COMP/C/93457/45/07/2024</v>
          </cell>
          <cell r="C92" t="str">
            <v>070000162494</v>
          </cell>
        </row>
        <row r="93">
          <cell r="B93" t="str">
            <v>KHI/HO/D/MO/PC COMP/C/93457/46/07/2024</v>
          </cell>
          <cell r="C93" t="str">
            <v>070000162495</v>
          </cell>
        </row>
        <row r="94">
          <cell r="B94" t="str">
            <v>KHI/HO/D/MO/PC COMP/C/93457/48/07/2024</v>
          </cell>
          <cell r="C94" t="str">
            <v>070000162497</v>
          </cell>
        </row>
        <row r="95">
          <cell r="B95" t="str">
            <v>KHI/HO/D/MO/PC COMP/C/93457/49/07/2024</v>
          </cell>
          <cell r="C95" t="str">
            <v>070000162498</v>
          </cell>
        </row>
        <row r="96">
          <cell r="B96" t="str">
            <v>KHI/HO/D/MO/PC COMP/C/93457/50/07/2024</v>
          </cell>
          <cell r="C96" t="str">
            <v>070000162499</v>
          </cell>
        </row>
        <row r="97">
          <cell r="B97" t="str">
            <v>KHI/HO/D/MO/PC COMP/C/93457/51/07/2024</v>
          </cell>
          <cell r="C97" t="str">
            <v>070000162500</v>
          </cell>
        </row>
        <row r="98">
          <cell r="B98" t="str">
            <v>KHI/HO/D/MO/PC COMP/C/93457/53/07/2024</v>
          </cell>
          <cell r="C98" t="str">
            <v>070000162502</v>
          </cell>
        </row>
        <row r="99">
          <cell r="B99" t="str">
            <v>KHI/HO/D/MO/PC COMP/C/93457/17/07/2024</v>
          </cell>
          <cell r="C99" t="str">
            <v>070000162461</v>
          </cell>
        </row>
        <row r="100">
          <cell r="B100" t="str">
            <v>KHI/HO/D/MO/PC COMP/C/93457/19/07/2024</v>
          </cell>
          <cell r="C100" t="str">
            <v>070000162463</v>
          </cell>
        </row>
        <row r="101">
          <cell r="B101" t="str">
            <v>KHI/HO/D/MO/PC COMP/C/93457/20/07/2024</v>
          </cell>
          <cell r="C101" t="str">
            <v>070000162464</v>
          </cell>
        </row>
        <row r="102">
          <cell r="B102" t="str">
            <v>KHI/HO/D/MO/PC COMP/C/93457/3/07/2024</v>
          </cell>
          <cell r="C102" t="str">
            <v>070000162444</v>
          </cell>
        </row>
        <row r="103">
          <cell r="B103" t="str">
            <v>KHI/HO/D/MO/PC COMP/C/93457/26/07/2024</v>
          </cell>
          <cell r="C103" t="str">
            <v>070000162474</v>
          </cell>
        </row>
        <row r="104">
          <cell r="B104" t="str">
            <v>KHI/HO/D/MO/PC COMP/C/93457/30/07/2024</v>
          </cell>
          <cell r="C104" t="str">
            <v>070000162478</v>
          </cell>
        </row>
        <row r="105">
          <cell r="B105" t="str">
            <v>KHI/HO/D/MO/PC COMP/C/93457/32/07/2024</v>
          </cell>
          <cell r="C105" t="str">
            <v>070000162480</v>
          </cell>
        </row>
        <row r="106">
          <cell r="B106" t="str">
            <v>KHI/HO/D/MO/PC COMP/C/93457/34/07/2024</v>
          </cell>
          <cell r="C106" t="str">
            <v>070000162482</v>
          </cell>
        </row>
        <row r="107">
          <cell r="B107" t="str">
            <v>KHI/HO/D/MO/PC COMP/C/93457/36/07/2024</v>
          </cell>
          <cell r="C107" t="str">
            <v>070000162484</v>
          </cell>
        </row>
        <row r="108">
          <cell r="B108" t="str">
            <v>KHI/HO/D/MO/PC COMP/C/93457/37/07/2024</v>
          </cell>
          <cell r="C108" t="str">
            <v>070000162485</v>
          </cell>
        </row>
        <row r="109">
          <cell r="B109" t="str">
            <v>KHI/HO/D/MO/PC COMP/C/88626/79/05/2024</v>
          </cell>
          <cell r="C109" t="str">
            <v>070000159172</v>
          </cell>
        </row>
        <row r="110">
          <cell r="B110" t="str">
            <v>KHI/HO/D/MO/PC COMP/C/88626/80/05/2024</v>
          </cell>
          <cell r="C110" t="str">
            <v>070000159173</v>
          </cell>
        </row>
        <row r="111">
          <cell r="B111" t="str">
            <v>KHI/HO/D/MO/PC COMP/C/88626/94/05/2024</v>
          </cell>
          <cell r="C111" t="str">
            <v>070000159187</v>
          </cell>
        </row>
        <row r="112">
          <cell r="B112" t="str">
            <v>KHI/HO/D/MO/PC COMP/C/88626/99/05/2024</v>
          </cell>
          <cell r="C112" t="str">
            <v>070000159192</v>
          </cell>
        </row>
        <row r="113">
          <cell r="B113" t="str">
            <v>KHI/HO/D/MO/PC COMP/C/93457/39/07/2024</v>
          </cell>
          <cell r="C113" t="str">
            <v>070000162487</v>
          </cell>
        </row>
        <row r="114">
          <cell r="B114" t="str">
            <v>KHI/HO/D/MO/PC COMP/C/93457/5/07/2024</v>
          </cell>
          <cell r="C114" t="str">
            <v>070000162446</v>
          </cell>
        </row>
        <row r="115">
          <cell r="B115" t="str">
            <v>KHI/HO/D/MO/PC COMP/C/93457/6/07/2024</v>
          </cell>
          <cell r="C115" t="str">
            <v>070000162447</v>
          </cell>
        </row>
        <row r="116">
          <cell r="B116" t="str">
            <v>KHI/HO/D/MO/PC COMP/C/93457/7/07/2024</v>
          </cell>
          <cell r="C116" t="str">
            <v>070000162449</v>
          </cell>
        </row>
        <row r="117">
          <cell r="B117" t="str">
            <v>KHI/HO/D/MO/PC COMP/C/88626/103/05/2024</v>
          </cell>
          <cell r="C117" t="str">
            <v>070000159196</v>
          </cell>
        </row>
        <row r="118">
          <cell r="B118" t="str">
            <v>KHI/HO/D/MO/PC COMP/C/88626/105/05/2024</v>
          </cell>
          <cell r="C118" t="str">
            <v>070000159198</v>
          </cell>
        </row>
        <row r="119">
          <cell r="B119" t="str">
            <v>KHI/HO/D/MO/PC COMP/C/88626/106/05/2024</v>
          </cell>
          <cell r="C119" t="str">
            <v>070000159199</v>
          </cell>
        </row>
        <row r="120">
          <cell r="B120" t="str">
            <v>KHI/HO/D/MO/PC COMP/C/93457/22/07/2024</v>
          </cell>
          <cell r="C120" t="str">
            <v>070000162469</v>
          </cell>
        </row>
        <row r="121">
          <cell r="B121" t="str">
            <v>KHI/HO/D/MO/PC COMP/C/93457/23/07/2024</v>
          </cell>
          <cell r="C121" t="str">
            <v>070000162470</v>
          </cell>
        </row>
        <row r="122">
          <cell r="B122" t="str">
            <v>KHI/HO/D/MO/PC COMP/C/93457/24/07/2024</v>
          </cell>
          <cell r="C122" t="str">
            <v>070000162471</v>
          </cell>
        </row>
        <row r="123">
          <cell r="B123" t="str">
            <v>KHI/HO/D/MO/PC COMP/C/93457/25/07/2024</v>
          </cell>
          <cell r="C123" t="str">
            <v>070000162472</v>
          </cell>
        </row>
        <row r="124">
          <cell r="B124" t="str">
            <v>KHI/HO/D/MO/PC COMP/C/93457/27/07/2024</v>
          </cell>
          <cell r="C124" t="str">
            <v>070000162475</v>
          </cell>
        </row>
        <row r="125">
          <cell r="B125" t="str">
            <v>KHI/HO/D/MO/PC COMP/C/93457/29/07/2024</v>
          </cell>
          <cell r="C125" t="str">
            <v>070000162477</v>
          </cell>
        </row>
        <row r="126">
          <cell r="B126" t="str">
            <v>KHI/HO/D/MO/PC COMP/C/93457/31/07/2024</v>
          </cell>
          <cell r="C126" t="str">
            <v>070000162479</v>
          </cell>
        </row>
        <row r="127">
          <cell r="B127" t="str">
            <v>KHI/HO/D/MO/PC COMP/C/93457/33/07/2024</v>
          </cell>
          <cell r="C127" t="str">
            <v>070000162481</v>
          </cell>
        </row>
        <row r="128">
          <cell r="B128" t="str">
            <v>KHI/HO/D/MO/PC COMP/C/93457/35/07/2024</v>
          </cell>
          <cell r="C128" t="str">
            <v>070000162483</v>
          </cell>
        </row>
        <row r="129">
          <cell r="B129" t="str">
            <v>KHI/HO/D/MO/PC COMP/C/93457/38/07/2024</v>
          </cell>
          <cell r="C129" t="str">
            <v>070000162486</v>
          </cell>
        </row>
        <row r="130">
          <cell r="B130" t="str">
            <v>KHI/HO/D/MO/PC COMP/C/93457/40/07/2024</v>
          </cell>
          <cell r="C130" t="str">
            <v>070000162488</v>
          </cell>
        </row>
        <row r="131">
          <cell r="B131" t="str">
            <v>KHI/HO/D/MO/PC COMP/C/93457/41/07/2024</v>
          </cell>
          <cell r="C131" t="str">
            <v>070000162489</v>
          </cell>
        </row>
        <row r="132">
          <cell r="B132" t="str">
            <v>KHI/HO/D/MO/PC COMP/C/93457/44/07/2024</v>
          </cell>
          <cell r="C132" t="str">
            <v>070000162493</v>
          </cell>
        </row>
        <row r="133">
          <cell r="B133" t="str">
            <v>KHI/HO/D/MO/PC COMP/C/93458/32/07/2024</v>
          </cell>
          <cell r="C133" t="str">
            <v>070000162548</v>
          </cell>
        </row>
        <row r="134">
          <cell r="B134" t="str">
            <v>KHI/HO/D/MO/PC COMP/C/93458/36/07/2024</v>
          </cell>
          <cell r="C134" t="str">
            <v>070000162553</v>
          </cell>
        </row>
        <row r="135">
          <cell r="B135" t="str">
            <v>KHI/HO/D/MO/PC COMP/C/93458/37/07/2024</v>
          </cell>
          <cell r="C135" t="str">
            <v>070000162554</v>
          </cell>
        </row>
        <row r="136">
          <cell r="B136" t="str">
            <v>KHI/HO/D/MO/PC COMP/C/93458/38/07/2024</v>
          </cell>
          <cell r="C136" t="str">
            <v>070000162557</v>
          </cell>
        </row>
        <row r="137">
          <cell r="B137" t="str">
            <v>KHI/HO/D/MO/PC COMP/C/93458/40/07/2024</v>
          </cell>
          <cell r="C137" t="str">
            <v>070000162559</v>
          </cell>
        </row>
        <row r="138">
          <cell r="B138" t="str">
            <v>KHI/HO/D/MO/PC COMP/C/93461/9/07/2024</v>
          </cell>
          <cell r="C138" t="str">
            <v>070000162619</v>
          </cell>
        </row>
        <row r="139">
          <cell r="B139" t="str">
            <v>KHI/HO/D/MO/PC COMP/C/93461/11/07/2024</v>
          </cell>
          <cell r="C139" t="str">
            <v>070000162621</v>
          </cell>
        </row>
        <row r="140">
          <cell r="B140" t="str">
            <v>KHI/HO/D/MO/PC COMP/C/93461/12/07/2024</v>
          </cell>
          <cell r="C140" t="str">
            <v>070000162622</v>
          </cell>
        </row>
        <row r="141">
          <cell r="B141" t="str">
            <v>KHI/HO/D/MO/PC COMP/C/93461/13/07/2024</v>
          </cell>
          <cell r="C141" t="str">
            <v>070000162623</v>
          </cell>
        </row>
        <row r="142">
          <cell r="B142" t="str">
            <v>KHI/HO/D/MO/PC COMP/C/93461/15/07/2024</v>
          </cell>
          <cell r="C142" t="str">
            <v>070000162626</v>
          </cell>
        </row>
        <row r="143">
          <cell r="B143" t="str">
            <v>KHI/HO/D/MO/PC COMP/C/93458/14/07/2024</v>
          </cell>
          <cell r="C143" t="str">
            <v>070000162522</v>
          </cell>
        </row>
        <row r="144">
          <cell r="B144" t="str">
            <v>KHI/HO/D/MO/PC COMP/C/93458/15/07/2024</v>
          </cell>
          <cell r="C144" t="str">
            <v>070000162523</v>
          </cell>
        </row>
        <row r="145">
          <cell r="B145" t="str">
            <v>KHI/HO/D/MO/PC COMP/C/93458/18/07/2024</v>
          </cell>
          <cell r="C145" t="str">
            <v>070000162526</v>
          </cell>
        </row>
        <row r="146">
          <cell r="B146" t="str">
            <v>KHI/HO/D/MO/PC COMP/C/93458/19/07/2024</v>
          </cell>
          <cell r="C146" t="str">
            <v>070000162527</v>
          </cell>
        </row>
        <row r="147">
          <cell r="B147" t="str">
            <v>KHI/HO/D/MO/PC COMP/C/93458/17/07/2024</v>
          </cell>
          <cell r="C147" t="str">
            <v>070000162525</v>
          </cell>
        </row>
        <row r="148">
          <cell r="B148" t="str">
            <v>KHI/HO/D/MO/PC COMP/C/93458/29/07/2024</v>
          </cell>
          <cell r="C148" t="str">
            <v>070000162542</v>
          </cell>
        </row>
        <row r="149">
          <cell r="B149" t="str">
            <v>KHI/HO/D/MO/PC COMP/C/93458/33/07/2024</v>
          </cell>
          <cell r="C149" t="str">
            <v>070000162550</v>
          </cell>
        </row>
        <row r="150">
          <cell r="B150" t="str">
            <v>KHI/HO/D/MO/PC COMP/C/93461/1/07/2024</v>
          </cell>
          <cell r="C150" t="str">
            <v>070000162611</v>
          </cell>
        </row>
        <row r="151">
          <cell r="B151" t="str">
            <v>KHI/HO/D/MO/PC COMP/C/93461/2/07/2024</v>
          </cell>
          <cell r="C151" t="str">
            <v>070000162612</v>
          </cell>
        </row>
        <row r="152">
          <cell r="B152" t="str">
            <v>KHI/HO/D/MO/PC COMP/C/93461/4/07/2024</v>
          </cell>
          <cell r="C152" t="str">
            <v>070000162614</v>
          </cell>
        </row>
        <row r="153">
          <cell r="B153" t="str">
            <v>KHI/HO/D/MO/PC COMP/C/93461/5/07/2024</v>
          </cell>
          <cell r="C153" t="str">
            <v>070000162615</v>
          </cell>
        </row>
        <row r="154">
          <cell r="B154" t="str">
            <v>KHI/HO/D/MO/PC COMP/C/93461/6/07/2024</v>
          </cell>
          <cell r="C154" t="str">
            <v>070000162616</v>
          </cell>
        </row>
        <row r="155">
          <cell r="B155" t="str">
            <v>KHI/HO/D/MO/PC COMP/C/93461/7/07/2024</v>
          </cell>
          <cell r="C155" t="str">
            <v>070000162617</v>
          </cell>
        </row>
        <row r="156">
          <cell r="B156" t="str">
            <v>KHI/HO/D/MO/PC COMP/C/93461/8/07/2024</v>
          </cell>
          <cell r="C156" t="str">
            <v>070000162618</v>
          </cell>
        </row>
        <row r="157">
          <cell r="B157" t="str">
            <v>KHI/HO/D/MO/PC COMP/C/93461/10/07/2024</v>
          </cell>
          <cell r="C157" t="str">
            <v>070000162620</v>
          </cell>
        </row>
        <row r="158">
          <cell r="B158" t="str">
            <v>KHI/HO/D/MO/PC COMP/C/93458/20/07/2024</v>
          </cell>
          <cell r="C158" t="str">
            <v>070000162529</v>
          </cell>
        </row>
        <row r="159">
          <cell r="B159" t="str">
            <v>KHI/HO/D/MO/PC COMP/C/93458/22/07/2024</v>
          </cell>
          <cell r="C159" t="str">
            <v>070000162532</v>
          </cell>
        </row>
        <row r="160">
          <cell r="B160" t="str">
            <v>KHI/HO/D/MO/PC COMP/C/93458/24/07/2024</v>
          </cell>
          <cell r="C160" t="str">
            <v>070000162534</v>
          </cell>
        </row>
        <row r="161">
          <cell r="B161" t="str">
            <v>KHI/HO/D/MO/PC COMP/C/93458/25/07/2024</v>
          </cell>
          <cell r="C161" t="str">
            <v>070000162537</v>
          </cell>
        </row>
        <row r="162">
          <cell r="B162" t="str">
            <v>KHI/HO/D/MO/PC COMP/C/93458/5/07/2024</v>
          </cell>
          <cell r="C162" t="str">
            <v>070000162511</v>
          </cell>
        </row>
        <row r="163">
          <cell r="B163" t="str">
            <v>KHI/HO/D/MO/PC COMP/C/93458/10/07/2024</v>
          </cell>
          <cell r="C163" t="str">
            <v>070000162518</v>
          </cell>
        </row>
        <row r="164">
          <cell r="B164" t="str">
            <v>KHI/HO/D/MO/PC COMP/C/93458/23/07/2024</v>
          </cell>
          <cell r="C164" t="str">
            <v>070000162533</v>
          </cell>
        </row>
        <row r="165">
          <cell r="B165" t="str">
            <v>KHI/HO/D/MO/PC COMP/C/93458/27/07/2024</v>
          </cell>
          <cell r="C165" t="str">
            <v>070000162540</v>
          </cell>
        </row>
        <row r="166">
          <cell r="B166" t="str">
            <v>KHI/HO/D/MO/PC COMP/C/93458/28/07/2024</v>
          </cell>
          <cell r="C166" t="str">
            <v>070000162541</v>
          </cell>
        </row>
        <row r="167">
          <cell r="B167" t="str">
            <v>KHI/HO/D/MO/PC COMP/C/93458/30/07/2024</v>
          </cell>
          <cell r="C167" t="str">
            <v>070000162543</v>
          </cell>
        </row>
        <row r="168">
          <cell r="B168" t="str">
            <v>KHI/HO/D/MO/PC COMP/C/93458/6/07/2024</v>
          </cell>
          <cell r="C168" t="str">
            <v>070000162512</v>
          </cell>
        </row>
        <row r="169">
          <cell r="B169" t="str">
            <v>KHI/HO/D/MO/PC COMP/C/93458/7/07/2024</v>
          </cell>
          <cell r="C169" t="str">
            <v>070000162513</v>
          </cell>
        </row>
        <row r="170">
          <cell r="B170" t="str">
            <v>KHI/HO/D/MO/PC COMP/C/93458/8/07/2024</v>
          </cell>
          <cell r="C170" t="str">
            <v>070000162515</v>
          </cell>
        </row>
        <row r="171">
          <cell r="B171" t="str">
            <v>KHI/HO/D/MO/PC COMP/C/93458/9/07/2024</v>
          </cell>
          <cell r="C171" t="str">
            <v>070000162517</v>
          </cell>
        </row>
        <row r="172">
          <cell r="B172" t="str">
            <v>KHI/HO/D/MO/PC COMP/C/93458/11/07/2024</v>
          </cell>
          <cell r="C172" t="str">
            <v>070000162519</v>
          </cell>
        </row>
        <row r="173">
          <cell r="B173" t="str">
            <v>KHI/HO/D/MO/PC COMP/C/93458/12/07/2024</v>
          </cell>
          <cell r="C173" t="str">
            <v>070000162520</v>
          </cell>
        </row>
        <row r="174">
          <cell r="B174" t="str">
            <v>KHI/HO/D/MO/PC COMP/C/93458/13/07/2024</v>
          </cell>
          <cell r="C174" t="str">
            <v>070000162521</v>
          </cell>
        </row>
        <row r="175">
          <cell r="B175" t="str">
            <v>KHI/HO/D/MO/PC COMP/C/93458/16/07/2024</v>
          </cell>
          <cell r="C175" t="str">
            <v>070000162524</v>
          </cell>
        </row>
        <row r="176">
          <cell r="B176" t="str">
            <v>KHI/HO/D/MO/PC COMP/C/93458/21/07/2024</v>
          </cell>
          <cell r="C176" t="str">
            <v>070000162531</v>
          </cell>
        </row>
        <row r="177">
          <cell r="B177" t="str">
            <v>KHI/HO/D/MO/PC COMP/C/93458/26/07/2024</v>
          </cell>
          <cell r="C177" t="str">
            <v>070000162538</v>
          </cell>
        </row>
        <row r="178">
          <cell r="B178" t="str">
            <v>KHI/HO/D/MO/PC COMP/C/93458/31/07/2024</v>
          </cell>
          <cell r="C178" t="str">
            <v>070000162546</v>
          </cell>
        </row>
        <row r="179">
          <cell r="B179" t="str">
            <v>KHI/HO/D/MO/PC COMP/C/93458/1/07/2024</v>
          </cell>
          <cell r="C179" t="str">
            <v>070000162504</v>
          </cell>
        </row>
        <row r="180">
          <cell r="B180" t="str">
            <v>KHI/HO/D/MO/PC COMP/C/93458/2/07/2024</v>
          </cell>
          <cell r="C180" t="str">
            <v>070000162505</v>
          </cell>
        </row>
        <row r="181">
          <cell r="B181" t="str">
            <v>KHI/HO/D/MO/PC COMP/C/93458/3/07/2024</v>
          </cell>
          <cell r="C181" t="str">
            <v>070000162506</v>
          </cell>
        </row>
        <row r="182">
          <cell r="B182" t="str">
            <v>KHI/HO/D/MO/PC COMP/C/93458/4/07/2024</v>
          </cell>
          <cell r="C182" t="str">
            <v>070000162507</v>
          </cell>
        </row>
        <row r="183">
          <cell r="B183" t="str">
            <v>KHI/HO/D/MO/PC COMP/C/93458/35/07/2024</v>
          </cell>
          <cell r="C183" t="str">
            <v>070000162552</v>
          </cell>
        </row>
        <row r="184">
          <cell r="B184" t="str">
            <v>KHI/HO/D/MO/PC COMP/C/93458/39/07/2024</v>
          </cell>
          <cell r="C184" t="str">
            <v>070000162558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7580-AE61-4AB2-8D5E-CE410F368095}">
  <dimension ref="A1:AH63"/>
  <sheetViews>
    <sheetView topLeftCell="S52" workbookViewId="0">
      <selection activeCell="AG3" sqref="AG3:AG62"/>
    </sheetView>
  </sheetViews>
  <sheetFormatPr defaultRowHeight="15" x14ac:dyDescent="0.25"/>
  <cols>
    <col min="9" max="9" width="14.7109375" customWidth="1"/>
    <col min="25" max="25" width="18.28515625" customWidth="1"/>
    <col min="32" max="32" width="37.140625" bestFit="1" customWidth="1"/>
    <col min="33" max="33" width="15" customWidth="1"/>
    <col min="34" max="34" width="11.28515625" customWidth="1"/>
  </cols>
  <sheetData>
    <row r="1" spans="1:34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9" t="s">
        <v>20</v>
      </c>
      <c r="W1" s="10" t="s">
        <v>21</v>
      </c>
      <c r="X1" s="11" t="s">
        <v>22</v>
      </c>
      <c r="Y1" s="10" t="s">
        <v>23</v>
      </c>
      <c r="Z1" s="12" t="s">
        <v>24</v>
      </c>
      <c r="AA1" s="13" t="s">
        <v>25</v>
      </c>
      <c r="AB1" s="14" t="s">
        <v>26</v>
      </c>
      <c r="AC1" s="15" t="s">
        <v>27</v>
      </c>
      <c r="AD1" s="16" t="s">
        <v>28</v>
      </c>
      <c r="AE1" s="17" t="s">
        <v>29</v>
      </c>
      <c r="AF1" s="18" t="s">
        <v>30</v>
      </c>
      <c r="AG1" s="18" t="s">
        <v>31</v>
      </c>
      <c r="AH1" s="18" t="s">
        <v>32</v>
      </c>
    </row>
    <row r="2" spans="1:34" x14ac:dyDescent="0.25">
      <c r="A2" s="19" t="s">
        <v>33</v>
      </c>
      <c r="B2" s="19" t="s">
        <v>34</v>
      </c>
      <c r="C2" s="20">
        <v>45474</v>
      </c>
      <c r="D2" s="19" t="s">
        <v>35</v>
      </c>
      <c r="E2" s="19" t="s">
        <v>36</v>
      </c>
      <c r="F2" s="21">
        <v>45477</v>
      </c>
      <c r="G2" s="21">
        <v>45841</v>
      </c>
      <c r="H2" s="22" t="s">
        <v>37</v>
      </c>
      <c r="I2" s="23">
        <v>4200004911209</v>
      </c>
      <c r="J2" s="22" t="s">
        <v>38</v>
      </c>
      <c r="K2" s="19" t="s">
        <v>39</v>
      </c>
      <c r="L2" s="19" t="s">
        <v>40</v>
      </c>
      <c r="M2" s="19" t="s">
        <v>41</v>
      </c>
      <c r="N2" s="19" t="s">
        <v>34</v>
      </c>
      <c r="O2" s="19" t="s">
        <v>42</v>
      </c>
      <c r="P2" s="19" t="s">
        <v>43</v>
      </c>
      <c r="Q2" s="19" t="s">
        <v>44</v>
      </c>
      <c r="R2" s="21">
        <v>45482</v>
      </c>
      <c r="S2" s="21">
        <v>46573</v>
      </c>
      <c r="T2" s="24">
        <v>3900000</v>
      </c>
      <c r="U2" s="19"/>
      <c r="V2" s="19"/>
      <c r="W2" s="25">
        <v>3900000</v>
      </c>
      <c r="X2" s="26">
        <v>1.5</v>
      </c>
      <c r="Y2" s="25">
        <v>58500</v>
      </c>
      <c r="Z2" s="19"/>
      <c r="AA2" s="19" t="s">
        <v>45</v>
      </c>
      <c r="AB2" s="23">
        <v>1141070247</v>
      </c>
      <c r="AC2" s="27">
        <v>45525</v>
      </c>
      <c r="AD2" s="28" t="s">
        <v>46</v>
      </c>
      <c r="AE2" s="28">
        <v>0</v>
      </c>
      <c r="AF2" s="29" t="s">
        <v>36</v>
      </c>
      <c r="AG2" s="30">
        <v>58500</v>
      </c>
      <c r="AH2" s="31">
        <v>0</v>
      </c>
    </row>
    <row r="3" spans="1:34" x14ac:dyDescent="0.25">
      <c r="A3" s="19" t="s">
        <v>33</v>
      </c>
      <c r="B3" s="19" t="s">
        <v>47</v>
      </c>
      <c r="C3" s="20">
        <v>45474</v>
      </c>
      <c r="D3" s="19" t="s">
        <v>35</v>
      </c>
      <c r="E3" s="19" t="s">
        <v>48</v>
      </c>
      <c r="F3" s="21">
        <v>45482</v>
      </c>
      <c r="G3" s="21">
        <v>45846</v>
      </c>
      <c r="H3" s="22" t="s">
        <v>49</v>
      </c>
      <c r="I3" s="23">
        <v>3310212525553</v>
      </c>
      <c r="J3" s="22" t="s">
        <v>50</v>
      </c>
      <c r="K3" s="19" t="s">
        <v>51</v>
      </c>
      <c r="L3" s="19" t="s">
        <v>52</v>
      </c>
      <c r="M3" s="19" t="s">
        <v>53</v>
      </c>
      <c r="N3" s="19" t="s">
        <v>47</v>
      </c>
      <c r="O3" s="19" t="s">
        <v>54</v>
      </c>
      <c r="P3" s="19" t="s">
        <v>55</v>
      </c>
      <c r="Q3" s="19" t="s">
        <v>56</v>
      </c>
      <c r="R3" s="21">
        <v>45484</v>
      </c>
      <c r="S3" s="21">
        <v>46573</v>
      </c>
      <c r="T3" s="24">
        <v>3500000</v>
      </c>
      <c r="U3" s="19"/>
      <c r="V3" s="19"/>
      <c r="W3" s="25">
        <v>3500000</v>
      </c>
      <c r="X3" s="26">
        <v>1.5</v>
      </c>
      <c r="Y3" s="25">
        <v>52500</v>
      </c>
      <c r="Z3" s="19"/>
      <c r="AA3" s="19" t="s">
        <v>45</v>
      </c>
      <c r="AB3" s="23">
        <v>1141070247</v>
      </c>
      <c r="AC3" s="27">
        <v>45525</v>
      </c>
      <c r="AD3" s="28" t="s">
        <v>46</v>
      </c>
      <c r="AE3" s="28">
        <v>9</v>
      </c>
      <c r="AF3" s="29" t="s">
        <v>57</v>
      </c>
      <c r="AG3" s="30">
        <v>52500</v>
      </c>
      <c r="AH3" s="31">
        <v>0</v>
      </c>
    </row>
    <row r="4" spans="1:34" x14ac:dyDescent="0.25">
      <c r="A4" s="19" t="s">
        <v>33</v>
      </c>
      <c r="B4" s="19" t="s">
        <v>58</v>
      </c>
      <c r="C4" s="20">
        <v>45474</v>
      </c>
      <c r="D4" s="19" t="s">
        <v>35</v>
      </c>
      <c r="E4" s="19" t="s">
        <v>59</v>
      </c>
      <c r="F4" s="21">
        <v>45482</v>
      </c>
      <c r="G4" s="21">
        <v>45846</v>
      </c>
      <c r="H4" s="22" t="s">
        <v>60</v>
      </c>
      <c r="I4" s="23">
        <v>3310036968725</v>
      </c>
      <c r="J4" s="22" t="s">
        <v>61</v>
      </c>
      <c r="K4" s="19"/>
      <c r="L4" s="19" t="s">
        <v>62</v>
      </c>
      <c r="M4" s="19" t="s">
        <v>63</v>
      </c>
      <c r="N4" s="19" t="s">
        <v>58</v>
      </c>
      <c r="O4" s="19" t="s">
        <v>54</v>
      </c>
      <c r="P4" s="19" t="s">
        <v>55</v>
      </c>
      <c r="Q4" s="19" t="s">
        <v>64</v>
      </c>
      <c r="R4" s="21">
        <v>45484</v>
      </c>
      <c r="S4" s="21">
        <v>46573</v>
      </c>
      <c r="T4" s="24">
        <v>4719000</v>
      </c>
      <c r="U4" s="19"/>
      <c r="V4" s="19"/>
      <c r="W4" s="25">
        <v>4719000</v>
      </c>
      <c r="X4" s="26">
        <v>1.5</v>
      </c>
      <c r="Y4" s="25">
        <v>70785</v>
      </c>
      <c r="Z4" s="19"/>
      <c r="AA4" s="19" t="s">
        <v>45</v>
      </c>
      <c r="AB4" s="23">
        <v>1141070247</v>
      </c>
      <c r="AC4" s="27">
        <v>45525</v>
      </c>
      <c r="AD4" s="28" t="s">
        <v>46</v>
      </c>
      <c r="AE4" s="28">
        <v>0</v>
      </c>
      <c r="AF4" s="29" t="s">
        <v>59</v>
      </c>
      <c r="AG4" s="30">
        <v>70785</v>
      </c>
      <c r="AH4" s="31">
        <v>0</v>
      </c>
    </row>
    <row r="5" spans="1:34" x14ac:dyDescent="0.25">
      <c r="A5" s="19" t="s">
        <v>33</v>
      </c>
      <c r="B5" s="19" t="s">
        <v>65</v>
      </c>
      <c r="C5" s="20">
        <v>45474</v>
      </c>
      <c r="D5" s="19" t="s">
        <v>35</v>
      </c>
      <c r="E5" s="19" t="s">
        <v>66</v>
      </c>
      <c r="F5" s="21">
        <v>45484</v>
      </c>
      <c r="G5" s="21">
        <v>45848</v>
      </c>
      <c r="H5" s="22" t="s">
        <v>67</v>
      </c>
      <c r="I5" s="23">
        <v>3130266517601</v>
      </c>
      <c r="J5" s="22" t="s">
        <v>68</v>
      </c>
      <c r="K5" s="19" t="s">
        <v>69</v>
      </c>
      <c r="L5" s="19" t="s">
        <v>70</v>
      </c>
      <c r="M5" s="19" t="s">
        <v>71</v>
      </c>
      <c r="N5" s="19" t="s">
        <v>65</v>
      </c>
      <c r="O5" s="19" t="s">
        <v>54</v>
      </c>
      <c r="P5" s="19" t="s">
        <v>72</v>
      </c>
      <c r="Q5" s="19" t="s">
        <v>73</v>
      </c>
      <c r="R5" s="21">
        <v>45488</v>
      </c>
      <c r="S5" s="21">
        <v>46573</v>
      </c>
      <c r="T5" s="24">
        <v>1200000</v>
      </c>
      <c r="U5" s="19"/>
      <c r="V5" s="19"/>
      <c r="W5" s="25">
        <v>1200000</v>
      </c>
      <c r="X5" s="26">
        <v>2</v>
      </c>
      <c r="Y5" s="25">
        <v>24000</v>
      </c>
      <c r="Z5" s="19"/>
      <c r="AA5" s="19" t="s">
        <v>45</v>
      </c>
      <c r="AB5" s="23">
        <v>1141070247</v>
      </c>
      <c r="AC5" s="27">
        <v>45525</v>
      </c>
      <c r="AD5" s="28" t="s">
        <v>46</v>
      </c>
      <c r="AE5" s="28">
        <v>9</v>
      </c>
      <c r="AF5" s="29" t="s">
        <v>66</v>
      </c>
      <c r="AG5" s="30">
        <v>24000</v>
      </c>
      <c r="AH5" s="31">
        <v>0</v>
      </c>
    </row>
    <row r="6" spans="1:34" x14ac:dyDescent="0.25">
      <c r="A6" s="19" t="s">
        <v>33</v>
      </c>
      <c r="B6" s="19" t="s">
        <v>74</v>
      </c>
      <c r="C6" s="20">
        <v>45474</v>
      </c>
      <c r="D6" s="19" t="s">
        <v>35</v>
      </c>
      <c r="E6" s="19" t="s">
        <v>75</v>
      </c>
      <c r="F6" s="21">
        <v>45484</v>
      </c>
      <c r="G6" s="21">
        <v>45848</v>
      </c>
      <c r="H6" s="22" t="s">
        <v>76</v>
      </c>
      <c r="I6" s="23">
        <v>3540420512451</v>
      </c>
      <c r="J6" s="22" t="s">
        <v>77</v>
      </c>
      <c r="K6" s="19" t="s">
        <v>78</v>
      </c>
      <c r="L6" s="19" t="s">
        <v>79</v>
      </c>
      <c r="M6" s="19" t="s">
        <v>80</v>
      </c>
      <c r="N6" s="19" t="s">
        <v>74</v>
      </c>
      <c r="O6" s="19" t="s">
        <v>54</v>
      </c>
      <c r="P6" s="19" t="s">
        <v>81</v>
      </c>
      <c r="Q6" s="19" t="s">
        <v>82</v>
      </c>
      <c r="R6" s="21">
        <v>45485</v>
      </c>
      <c r="S6" s="21">
        <v>47304</v>
      </c>
      <c r="T6" s="24">
        <v>2780000</v>
      </c>
      <c r="U6" s="19"/>
      <c r="V6" s="19"/>
      <c r="W6" s="25">
        <v>2780000</v>
      </c>
      <c r="X6" s="26">
        <v>2</v>
      </c>
      <c r="Y6" s="25">
        <v>55600</v>
      </c>
      <c r="Z6" s="19"/>
      <c r="AA6" s="19" t="s">
        <v>45</v>
      </c>
      <c r="AB6" s="23">
        <v>1141070247</v>
      </c>
      <c r="AC6" s="27">
        <v>45525</v>
      </c>
      <c r="AD6" s="28" t="s">
        <v>46</v>
      </c>
      <c r="AE6" s="28">
        <v>0</v>
      </c>
      <c r="AF6" s="29" t="s">
        <v>75</v>
      </c>
      <c r="AG6" s="30">
        <v>55600</v>
      </c>
      <c r="AH6" s="31">
        <v>0</v>
      </c>
    </row>
    <row r="7" spans="1:34" x14ac:dyDescent="0.25">
      <c r="A7" s="19" t="s">
        <v>33</v>
      </c>
      <c r="B7" s="19" t="s">
        <v>83</v>
      </c>
      <c r="C7" s="20">
        <v>45474</v>
      </c>
      <c r="D7" s="19" t="s">
        <v>35</v>
      </c>
      <c r="E7" s="19" t="s">
        <v>84</v>
      </c>
      <c r="F7" s="21">
        <v>45482</v>
      </c>
      <c r="G7" s="21">
        <v>45846</v>
      </c>
      <c r="H7" s="22" t="s">
        <v>85</v>
      </c>
      <c r="I7" s="23">
        <v>4550423485891</v>
      </c>
      <c r="J7" s="22" t="s">
        <v>86</v>
      </c>
      <c r="K7" s="19"/>
      <c r="L7" s="19" t="s">
        <v>87</v>
      </c>
      <c r="M7" s="19" t="s">
        <v>88</v>
      </c>
      <c r="N7" s="19" t="s">
        <v>83</v>
      </c>
      <c r="O7" s="19" t="s">
        <v>42</v>
      </c>
      <c r="P7" s="19" t="s">
        <v>89</v>
      </c>
      <c r="Q7" s="19" t="s">
        <v>90</v>
      </c>
      <c r="R7" s="21">
        <v>45488</v>
      </c>
      <c r="S7" s="21">
        <v>47304</v>
      </c>
      <c r="T7" s="24">
        <v>3045000</v>
      </c>
      <c r="U7" s="19"/>
      <c r="V7" s="19"/>
      <c r="W7" s="25">
        <v>3045000</v>
      </c>
      <c r="X7" s="26">
        <v>1.5</v>
      </c>
      <c r="Y7" s="25">
        <v>45675</v>
      </c>
      <c r="Z7" s="19"/>
      <c r="AA7" s="19" t="s">
        <v>45</v>
      </c>
      <c r="AB7" s="23">
        <v>1141070247</v>
      </c>
      <c r="AC7" s="27">
        <v>45525</v>
      </c>
      <c r="AD7" s="28" t="s">
        <v>46</v>
      </c>
      <c r="AE7" s="28">
        <v>9</v>
      </c>
      <c r="AF7" s="29" t="s">
        <v>84</v>
      </c>
      <c r="AG7" s="30">
        <v>45675</v>
      </c>
      <c r="AH7" s="31">
        <v>0</v>
      </c>
    </row>
    <row r="8" spans="1:34" x14ac:dyDescent="0.25">
      <c r="A8" s="19" t="s">
        <v>33</v>
      </c>
      <c r="B8" s="19" t="s">
        <v>91</v>
      </c>
      <c r="C8" s="20">
        <v>45474</v>
      </c>
      <c r="D8" s="19" t="s">
        <v>35</v>
      </c>
      <c r="E8" s="19" t="s">
        <v>92</v>
      </c>
      <c r="F8" s="21">
        <v>45488</v>
      </c>
      <c r="G8" s="21">
        <v>45852</v>
      </c>
      <c r="H8" s="22" t="s">
        <v>93</v>
      </c>
      <c r="I8" s="23">
        <v>4220127198473</v>
      </c>
      <c r="J8" s="22" t="s">
        <v>94</v>
      </c>
      <c r="K8" s="19" t="s">
        <v>95</v>
      </c>
      <c r="L8" s="19" t="s">
        <v>96</v>
      </c>
      <c r="M8" s="19" t="s">
        <v>97</v>
      </c>
      <c r="N8" s="19" t="s">
        <v>91</v>
      </c>
      <c r="O8" s="19" t="s">
        <v>42</v>
      </c>
      <c r="P8" s="19" t="s">
        <v>98</v>
      </c>
      <c r="Q8" s="19" t="s">
        <v>99</v>
      </c>
      <c r="R8" s="21">
        <v>45492</v>
      </c>
      <c r="S8" s="21">
        <v>46604</v>
      </c>
      <c r="T8" s="24">
        <v>3000000</v>
      </c>
      <c r="U8" s="19"/>
      <c r="V8" s="19"/>
      <c r="W8" s="25">
        <v>3000000</v>
      </c>
      <c r="X8" s="26">
        <v>2</v>
      </c>
      <c r="Y8" s="25">
        <v>60000</v>
      </c>
      <c r="Z8" s="19"/>
      <c r="AA8" s="19" t="s">
        <v>45</v>
      </c>
      <c r="AB8" s="23">
        <v>1141070247</v>
      </c>
      <c r="AC8" s="27">
        <v>45525</v>
      </c>
      <c r="AD8" s="28" t="s">
        <v>46</v>
      </c>
      <c r="AE8" s="28">
        <v>0</v>
      </c>
      <c r="AF8" s="29" t="s">
        <v>92</v>
      </c>
      <c r="AG8" s="30">
        <v>60000</v>
      </c>
      <c r="AH8" s="31">
        <v>0</v>
      </c>
    </row>
    <row r="9" spans="1:34" x14ac:dyDescent="0.25">
      <c r="A9" s="19" t="s">
        <v>33</v>
      </c>
      <c r="B9" s="19" t="s">
        <v>100</v>
      </c>
      <c r="C9" s="20">
        <v>45474</v>
      </c>
      <c r="D9" s="19" t="s">
        <v>35</v>
      </c>
      <c r="E9" s="19" t="s">
        <v>101</v>
      </c>
      <c r="F9" s="21">
        <v>45488</v>
      </c>
      <c r="G9" s="21">
        <v>45852</v>
      </c>
      <c r="H9" s="22" t="s">
        <v>102</v>
      </c>
      <c r="I9" s="23" t="s">
        <v>103</v>
      </c>
      <c r="J9" s="22" t="s">
        <v>104</v>
      </c>
      <c r="K9" s="19"/>
      <c r="L9" s="19" t="s">
        <v>105</v>
      </c>
      <c r="M9" s="19" t="s">
        <v>106</v>
      </c>
      <c r="N9" s="19" t="s">
        <v>100</v>
      </c>
      <c r="O9" s="19" t="s">
        <v>54</v>
      </c>
      <c r="P9" s="19" t="s">
        <v>55</v>
      </c>
      <c r="Q9" s="19" t="s">
        <v>107</v>
      </c>
      <c r="R9" s="21">
        <v>45492</v>
      </c>
      <c r="S9" s="21">
        <v>46604</v>
      </c>
      <c r="T9" s="24">
        <v>3412000</v>
      </c>
      <c r="U9" s="19"/>
      <c r="V9" s="19"/>
      <c r="W9" s="25">
        <v>3412000</v>
      </c>
      <c r="X9" s="26">
        <v>2</v>
      </c>
      <c r="Y9" s="25">
        <v>68240</v>
      </c>
      <c r="Z9" s="19"/>
      <c r="AA9" s="19" t="s">
        <v>45</v>
      </c>
      <c r="AB9" s="23">
        <v>1141070247</v>
      </c>
      <c r="AC9" s="27">
        <v>45525</v>
      </c>
      <c r="AD9" s="28" t="s">
        <v>46</v>
      </c>
      <c r="AE9" s="28">
        <v>0</v>
      </c>
      <c r="AF9" s="29" t="s">
        <v>101</v>
      </c>
      <c r="AG9" s="30">
        <v>68240</v>
      </c>
      <c r="AH9" s="31">
        <v>0</v>
      </c>
    </row>
    <row r="10" spans="1:34" x14ac:dyDescent="0.25">
      <c r="A10" s="19" t="s">
        <v>33</v>
      </c>
      <c r="B10" s="19" t="s">
        <v>108</v>
      </c>
      <c r="C10" s="20">
        <v>45474</v>
      </c>
      <c r="D10" s="19" t="s">
        <v>35</v>
      </c>
      <c r="E10" s="19" t="s">
        <v>109</v>
      </c>
      <c r="F10" s="21">
        <v>45488</v>
      </c>
      <c r="G10" s="21">
        <v>45852</v>
      </c>
      <c r="H10" s="22" t="s">
        <v>110</v>
      </c>
      <c r="I10" s="23">
        <v>3520150713735</v>
      </c>
      <c r="J10" s="22" t="s">
        <v>111</v>
      </c>
      <c r="K10" s="19" t="s">
        <v>112</v>
      </c>
      <c r="L10" s="19" t="s">
        <v>113</v>
      </c>
      <c r="M10" s="19" t="s">
        <v>114</v>
      </c>
      <c r="N10" s="19" t="s">
        <v>108</v>
      </c>
      <c r="O10" s="19" t="s">
        <v>54</v>
      </c>
      <c r="P10" s="19" t="s">
        <v>81</v>
      </c>
      <c r="Q10" s="19" t="s">
        <v>115</v>
      </c>
      <c r="R10" s="21">
        <v>45492</v>
      </c>
      <c r="S10" s="21">
        <v>47336</v>
      </c>
      <c r="T10" s="24">
        <v>2300000</v>
      </c>
      <c r="U10" s="19"/>
      <c r="V10" s="19"/>
      <c r="W10" s="25">
        <v>2300000</v>
      </c>
      <c r="X10" s="26">
        <v>2</v>
      </c>
      <c r="Y10" s="25">
        <v>46000</v>
      </c>
      <c r="Z10" s="19"/>
      <c r="AA10" s="19" t="s">
        <v>45</v>
      </c>
      <c r="AB10" s="23">
        <v>1141070247</v>
      </c>
      <c r="AC10" s="27">
        <v>45525</v>
      </c>
      <c r="AD10" s="28" t="s">
        <v>46</v>
      </c>
      <c r="AE10" s="28">
        <v>0</v>
      </c>
      <c r="AF10" s="29" t="s">
        <v>109</v>
      </c>
      <c r="AG10" s="30">
        <v>46000</v>
      </c>
      <c r="AH10" s="31">
        <v>0</v>
      </c>
    </row>
    <row r="11" spans="1:34" x14ac:dyDescent="0.25">
      <c r="A11" s="19" t="s">
        <v>33</v>
      </c>
      <c r="B11" s="19" t="s">
        <v>116</v>
      </c>
      <c r="C11" s="20">
        <v>45474</v>
      </c>
      <c r="D11" s="19" t="s">
        <v>35</v>
      </c>
      <c r="E11" s="19" t="s">
        <v>117</v>
      </c>
      <c r="F11" s="21">
        <v>45488</v>
      </c>
      <c r="G11" s="21">
        <v>45852</v>
      </c>
      <c r="H11" s="22" t="s">
        <v>118</v>
      </c>
      <c r="I11" s="23">
        <v>4210117925699</v>
      </c>
      <c r="J11" s="22" t="s">
        <v>119</v>
      </c>
      <c r="K11" s="19" t="s">
        <v>120</v>
      </c>
      <c r="L11" s="19" t="s">
        <v>121</v>
      </c>
      <c r="M11" s="19" t="s">
        <v>122</v>
      </c>
      <c r="N11" s="19" t="s">
        <v>116</v>
      </c>
      <c r="O11" s="19" t="s">
        <v>54</v>
      </c>
      <c r="P11" s="19" t="s">
        <v>81</v>
      </c>
      <c r="Q11" s="19" t="s">
        <v>123</v>
      </c>
      <c r="R11" s="21">
        <v>45495</v>
      </c>
      <c r="S11" s="21">
        <v>46239</v>
      </c>
      <c r="T11" s="24">
        <v>6000000</v>
      </c>
      <c r="U11" s="19"/>
      <c r="V11" s="19"/>
      <c r="W11" s="25">
        <v>6000000</v>
      </c>
      <c r="X11" s="26">
        <v>1.5</v>
      </c>
      <c r="Y11" s="25">
        <v>90000</v>
      </c>
      <c r="Z11" s="19"/>
      <c r="AA11" s="19" t="s">
        <v>45</v>
      </c>
      <c r="AB11" s="23">
        <v>1141070247</v>
      </c>
      <c r="AC11" s="27">
        <v>45525</v>
      </c>
      <c r="AD11" s="28" t="s">
        <v>46</v>
      </c>
      <c r="AE11" s="28">
        <v>0</v>
      </c>
      <c r="AF11" s="29" t="s">
        <v>117</v>
      </c>
      <c r="AG11" s="30">
        <v>90000</v>
      </c>
      <c r="AH11" s="31">
        <v>0</v>
      </c>
    </row>
    <row r="12" spans="1:34" x14ac:dyDescent="0.25">
      <c r="A12" s="19" t="s">
        <v>33</v>
      </c>
      <c r="B12" s="19" t="s">
        <v>124</v>
      </c>
      <c r="C12" s="20">
        <v>45474</v>
      </c>
      <c r="D12" s="19" t="s">
        <v>35</v>
      </c>
      <c r="E12" s="19" t="s">
        <v>125</v>
      </c>
      <c r="F12" s="21">
        <v>45478</v>
      </c>
      <c r="G12" s="21">
        <v>45842</v>
      </c>
      <c r="H12" s="22" t="s">
        <v>126</v>
      </c>
      <c r="I12" s="23">
        <v>4250151536515</v>
      </c>
      <c r="J12" s="22" t="s">
        <v>111</v>
      </c>
      <c r="K12" s="19" t="s">
        <v>127</v>
      </c>
      <c r="L12" s="19" t="s">
        <v>128</v>
      </c>
      <c r="M12" s="19" t="s">
        <v>129</v>
      </c>
      <c r="N12" s="19" t="s">
        <v>124</v>
      </c>
      <c r="O12" s="19" t="s">
        <v>42</v>
      </c>
      <c r="P12" s="19" t="s">
        <v>43</v>
      </c>
      <c r="Q12" s="19" t="s">
        <v>130</v>
      </c>
      <c r="R12" s="21">
        <v>45483</v>
      </c>
      <c r="S12" s="21">
        <v>47304</v>
      </c>
      <c r="T12" s="24">
        <v>2050000</v>
      </c>
      <c r="U12" s="19"/>
      <c r="V12" s="19"/>
      <c r="W12" s="25">
        <v>2050000</v>
      </c>
      <c r="X12" s="26">
        <v>2</v>
      </c>
      <c r="Y12" s="25">
        <v>41000</v>
      </c>
      <c r="Z12" s="19"/>
      <c r="AA12" s="19" t="s">
        <v>45</v>
      </c>
      <c r="AB12" s="23">
        <v>1141070247</v>
      </c>
      <c r="AC12" s="27">
        <v>45525</v>
      </c>
      <c r="AD12" s="28" t="s">
        <v>46</v>
      </c>
      <c r="AE12" s="28">
        <v>9</v>
      </c>
      <c r="AF12" s="29" t="s">
        <v>125</v>
      </c>
      <c r="AG12" s="30">
        <v>41000</v>
      </c>
      <c r="AH12" s="31">
        <v>0</v>
      </c>
    </row>
    <row r="13" spans="1:34" x14ac:dyDescent="0.25">
      <c r="A13" s="19" t="s">
        <v>33</v>
      </c>
      <c r="B13" s="19" t="s">
        <v>131</v>
      </c>
      <c r="C13" s="20">
        <v>45474</v>
      </c>
      <c r="D13" s="19" t="s">
        <v>35</v>
      </c>
      <c r="E13" s="19" t="s">
        <v>132</v>
      </c>
      <c r="F13" s="21">
        <v>45492</v>
      </c>
      <c r="G13" s="21">
        <v>45856</v>
      </c>
      <c r="H13" s="22" t="s">
        <v>133</v>
      </c>
      <c r="I13" s="23">
        <v>3520125306349</v>
      </c>
      <c r="J13" s="22" t="s">
        <v>86</v>
      </c>
      <c r="K13" s="19"/>
      <c r="L13" s="19" t="s">
        <v>134</v>
      </c>
      <c r="M13" s="19" t="s">
        <v>135</v>
      </c>
      <c r="N13" s="19" t="s">
        <v>131</v>
      </c>
      <c r="O13" s="19" t="s">
        <v>54</v>
      </c>
      <c r="P13" s="19" t="s">
        <v>81</v>
      </c>
      <c r="Q13" s="19" t="s">
        <v>136</v>
      </c>
      <c r="R13" s="21">
        <v>45496</v>
      </c>
      <c r="S13" s="21">
        <v>45874</v>
      </c>
      <c r="T13" s="24">
        <v>3045000</v>
      </c>
      <c r="U13" s="19"/>
      <c r="V13" s="19"/>
      <c r="W13" s="25">
        <v>3045000</v>
      </c>
      <c r="X13" s="26">
        <v>2</v>
      </c>
      <c r="Y13" s="25">
        <v>60900</v>
      </c>
      <c r="Z13" s="19"/>
      <c r="AA13" s="19" t="s">
        <v>45</v>
      </c>
      <c r="AB13" s="23">
        <v>1141070247</v>
      </c>
      <c r="AC13" s="27">
        <v>45525</v>
      </c>
      <c r="AD13" s="28" t="s">
        <v>46</v>
      </c>
      <c r="AE13" s="28">
        <v>0</v>
      </c>
      <c r="AF13" s="29" t="s">
        <v>132</v>
      </c>
      <c r="AG13" s="30">
        <v>60900</v>
      </c>
      <c r="AH13" s="31">
        <v>0</v>
      </c>
    </row>
    <row r="14" spans="1:34" x14ac:dyDescent="0.25">
      <c r="A14" s="19" t="s">
        <v>33</v>
      </c>
      <c r="B14" s="19" t="s">
        <v>137</v>
      </c>
      <c r="C14" s="20">
        <v>45474</v>
      </c>
      <c r="D14" s="19" t="s">
        <v>35</v>
      </c>
      <c r="E14" s="19" t="s">
        <v>138</v>
      </c>
      <c r="F14" s="21">
        <v>45492</v>
      </c>
      <c r="G14" s="21">
        <v>45856</v>
      </c>
      <c r="H14" s="22" t="s">
        <v>139</v>
      </c>
      <c r="I14" s="23">
        <v>3520178862001</v>
      </c>
      <c r="J14" s="22" t="s">
        <v>140</v>
      </c>
      <c r="K14" s="19" t="s">
        <v>141</v>
      </c>
      <c r="L14" s="19" t="s">
        <v>142</v>
      </c>
      <c r="M14" s="19" t="s">
        <v>143</v>
      </c>
      <c r="N14" s="19" t="s">
        <v>137</v>
      </c>
      <c r="O14" s="19" t="s">
        <v>54</v>
      </c>
      <c r="P14" s="19" t="s">
        <v>81</v>
      </c>
      <c r="Q14" s="19" t="s">
        <v>144</v>
      </c>
      <c r="R14" s="21">
        <v>45495</v>
      </c>
      <c r="S14" s="21">
        <v>46239</v>
      </c>
      <c r="T14" s="24">
        <v>7000000</v>
      </c>
      <c r="U14" s="19"/>
      <c r="V14" s="19"/>
      <c r="W14" s="25">
        <v>7000000</v>
      </c>
      <c r="X14" s="26">
        <v>1.5</v>
      </c>
      <c r="Y14" s="25">
        <v>105000</v>
      </c>
      <c r="Z14" s="19"/>
      <c r="AA14" s="19" t="s">
        <v>45</v>
      </c>
      <c r="AB14" s="23">
        <v>1141070247</v>
      </c>
      <c r="AC14" s="27">
        <v>45525</v>
      </c>
      <c r="AD14" s="28" t="s">
        <v>46</v>
      </c>
      <c r="AE14" s="28">
        <v>0</v>
      </c>
      <c r="AF14" s="29" t="s">
        <v>138</v>
      </c>
      <c r="AG14" s="30">
        <v>105000</v>
      </c>
      <c r="AH14" s="31">
        <v>0</v>
      </c>
    </row>
    <row r="15" spans="1:34" x14ac:dyDescent="0.25">
      <c r="A15" s="19" t="s">
        <v>33</v>
      </c>
      <c r="B15" s="19" t="s">
        <v>145</v>
      </c>
      <c r="C15" s="20">
        <v>45474</v>
      </c>
      <c r="D15" s="19" t="s">
        <v>35</v>
      </c>
      <c r="E15" s="19" t="s">
        <v>146</v>
      </c>
      <c r="F15" s="21">
        <v>45495</v>
      </c>
      <c r="G15" s="21">
        <v>45859</v>
      </c>
      <c r="H15" s="22" t="s">
        <v>147</v>
      </c>
      <c r="I15" s="23">
        <v>3230465321973</v>
      </c>
      <c r="J15" s="22" t="s">
        <v>148</v>
      </c>
      <c r="K15" s="19" t="s">
        <v>149</v>
      </c>
      <c r="L15" s="19" t="s">
        <v>150</v>
      </c>
      <c r="M15" s="19" t="s">
        <v>151</v>
      </c>
      <c r="N15" s="19" t="s">
        <v>145</v>
      </c>
      <c r="O15" s="19" t="s">
        <v>54</v>
      </c>
      <c r="P15" s="19" t="s">
        <v>152</v>
      </c>
      <c r="Q15" s="19" t="s">
        <v>153</v>
      </c>
      <c r="R15" s="21">
        <v>45497</v>
      </c>
      <c r="S15" s="21">
        <v>46970</v>
      </c>
      <c r="T15" s="24">
        <v>2350000</v>
      </c>
      <c r="U15" s="19"/>
      <c r="V15" s="19"/>
      <c r="W15" s="25">
        <v>2350000</v>
      </c>
      <c r="X15" s="26">
        <v>2</v>
      </c>
      <c r="Y15" s="25">
        <v>47000</v>
      </c>
      <c r="Z15" s="19"/>
      <c r="AA15" s="19" t="s">
        <v>45</v>
      </c>
      <c r="AB15" s="23">
        <v>1141070247</v>
      </c>
      <c r="AC15" s="27">
        <v>45525</v>
      </c>
      <c r="AD15" s="28" t="s">
        <v>46</v>
      </c>
      <c r="AE15" s="28">
        <v>0</v>
      </c>
      <c r="AF15" s="29" t="s">
        <v>146</v>
      </c>
      <c r="AG15" s="30">
        <v>47000</v>
      </c>
      <c r="AH15" s="31">
        <v>0</v>
      </c>
    </row>
    <row r="16" spans="1:34" x14ac:dyDescent="0.25">
      <c r="A16" s="19" t="s">
        <v>33</v>
      </c>
      <c r="B16" s="19" t="s">
        <v>154</v>
      </c>
      <c r="C16" s="20">
        <v>45474</v>
      </c>
      <c r="D16" s="19" t="s">
        <v>35</v>
      </c>
      <c r="E16" s="19" t="s">
        <v>155</v>
      </c>
      <c r="F16" s="21">
        <v>45496</v>
      </c>
      <c r="G16" s="21">
        <v>45860</v>
      </c>
      <c r="H16" s="22" t="s">
        <v>156</v>
      </c>
      <c r="I16" s="23">
        <v>3740557774219</v>
      </c>
      <c r="J16" s="22" t="s">
        <v>157</v>
      </c>
      <c r="K16" s="19" t="s">
        <v>158</v>
      </c>
      <c r="L16" s="19" t="s">
        <v>159</v>
      </c>
      <c r="M16" s="19" t="s">
        <v>160</v>
      </c>
      <c r="N16" s="19" t="s">
        <v>154</v>
      </c>
      <c r="O16" s="19" t="s">
        <v>161</v>
      </c>
      <c r="P16" s="19" t="s">
        <v>162</v>
      </c>
      <c r="Q16" s="19" t="s">
        <v>163</v>
      </c>
      <c r="R16" s="21">
        <v>45497</v>
      </c>
      <c r="S16" s="21">
        <v>46604</v>
      </c>
      <c r="T16" s="24">
        <v>3800000</v>
      </c>
      <c r="U16" s="19"/>
      <c r="V16" s="19"/>
      <c r="W16" s="25">
        <v>3800000</v>
      </c>
      <c r="X16" s="26">
        <v>1.5</v>
      </c>
      <c r="Y16" s="25">
        <v>57000</v>
      </c>
      <c r="Z16" s="19"/>
      <c r="AA16" s="19" t="s">
        <v>45</v>
      </c>
      <c r="AB16" s="23">
        <v>1141070247</v>
      </c>
      <c r="AC16" s="27">
        <v>45525</v>
      </c>
      <c r="AD16" s="28" t="s">
        <v>46</v>
      </c>
      <c r="AE16" s="28">
        <v>0</v>
      </c>
      <c r="AF16" s="29" t="s">
        <v>155</v>
      </c>
      <c r="AG16" s="30">
        <v>57000</v>
      </c>
      <c r="AH16" s="31">
        <v>0</v>
      </c>
    </row>
    <row r="17" spans="1:34" x14ac:dyDescent="0.25">
      <c r="A17" s="19" t="s">
        <v>33</v>
      </c>
      <c r="B17" s="19" t="s">
        <v>164</v>
      </c>
      <c r="C17" s="20">
        <v>45474</v>
      </c>
      <c r="D17" s="19" t="s">
        <v>35</v>
      </c>
      <c r="E17" s="19" t="s">
        <v>165</v>
      </c>
      <c r="F17" s="21">
        <v>45496</v>
      </c>
      <c r="G17" s="21">
        <v>45860</v>
      </c>
      <c r="H17" s="22" t="s">
        <v>166</v>
      </c>
      <c r="I17" s="23">
        <v>3520015033529</v>
      </c>
      <c r="J17" s="22" t="s">
        <v>167</v>
      </c>
      <c r="K17" s="19"/>
      <c r="L17" s="19" t="s">
        <v>168</v>
      </c>
      <c r="M17" s="19" t="s">
        <v>169</v>
      </c>
      <c r="N17" s="19" t="s">
        <v>164</v>
      </c>
      <c r="O17" s="19" t="s">
        <v>54</v>
      </c>
      <c r="P17" s="19" t="s">
        <v>81</v>
      </c>
      <c r="Q17" s="19" t="s">
        <v>170</v>
      </c>
      <c r="R17" s="21">
        <v>45499</v>
      </c>
      <c r="S17" s="21">
        <v>46604</v>
      </c>
      <c r="T17" s="24">
        <v>3591000</v>
      </c>
      <c r="U17" s="19"/>
      <c r="V17" s="19"/>
      <c r="W17" s="25">
        <v>3591000</v>
      </c>
      <c r="X17" s="26">
        <v>1.5</v>
      </c>
      <c r="Y17" s="25">
        <v>53865</v>
      </c>
      <c r="Z17" s="19"/>
      <c r="AA17" s="19" t="s">
        <v>45</v>
      </c>
      <c r="AB17" s="23">
        <v>1141070247</v>
      </c>
      <c r="AC17" s="27">
        <v>45525</v>
      </c>
      <c r="AD17" s="28" t="s">
        <v>46</v>
      </c>
      <c r="AE17" s="28">
        <v>0</v>
      </c>
      <c r="AF17" s="29" t="s">
        <v>165</v>
      </c>
      <c r="AG17" s="30">
        <v>53865</v>
      </c>
      <c r="AH17" s="31">
        <v>0</v>
      </c>
    </row>
    <row r="18" spans="1:34" x14ac:dyDescent="0.25">
      <c r="A18" s="19" t="s">
        <v>33</v>
      </c>
      <c r="B18" s="19" t="s">
        <v>171</v>
      </c>
      <c r="C18" s="20">
        <v>45474</v>
      </c>
      <c r="D18" s="19" t="s">
        <v>35</v>
      </c>
      <c r="E18" s="19" t="s">
        <v>172</v>
      </c>
      <c r="F18" s="21">
        <v>45496</v>
      </c>
      <c r="G18" s="21">
        <v>45860</v>
      </c>
      <c r="H18" s="22" t="s">
        <v>173</v>
      </c>
      <c r="I18" s="23">
        <v>3310261624471</v>
      </c>
      <c r="J18" s="22" t="s">
        <v>86</v>
      </c>
      <c r="K18" s="19"/>
      <c r="L18" s="19" t="s">
        <v>174</v>
      </c>
      <c r="M18" s="19" t="s">
        <v>175</v>
      </c>
      <c r="N18" s="19" t="s">
        <v>171</v>
      </c>
      <c r="O18" s="19" t="s">
        <v>54</v>
      </c>
      <c r="P18" s="19" t="s">
        <v>55</v>
      </c>
      <c r="Q18" s="19" t="s">
        <v>176</v>
      </c>
      <c r="R18" s="21">
        <v>45497</v>
      </c>
      <c r="S18" s="21">
        <v>46604</v>
      </c>
      <c r="T18" s="24">
        <v>3045000</v>
      </c>
      <c r="U18" s="19"/>
      <c r="V18" s="19"/>
      <c r="W18" s="25">
        <v>3045000</v>
      </c>
      <c r="X18" s="26">
        <v>2</v>
      </c>
      <c r="Y18" s="25">
        <v>60900</v>
      </c>
      <c r="Z18" s="19"/>
      <c r="AA18" s="19" t="s">
        <v>45</v>
      </c>
      <c r="AB18" s="23">
        <v>1141070247</v>
      </c>
      <c r="AC18" s="27">
        <v>45525</v>
      </c>
      <c r="AD18" s="28" t="s">
        <v>46</v>
      </c>
      <c r="AE18" s="28">
        <v>0</v>
      </c>
      <c r="AF18" s="29" t="s">
        <v>172</v>
      </c>
      <c r="AG18" s="30">
        <v>60900</v>
      </c>
      <c r="AH18" s="31">
        <v>0</v>
      </c>
    </row>
    <row r="19" spans="1:34" x14ac:dyDescent="0.25">
      <c r="A19" s="19" t="s">
        <v>33</v>
      </c>
      <c r="B19" s="19" t="s">
        <v>177</v>
      </c>
      <c r="C19" s="20">
        <v>45474</v>
      </c>
      <c r="D19" s="19" t="s">
        <v>35</v>
      </c>
      <c r="E19" s="19" t="s">
        <v>178</v>
      </c>
      <c r="F19" s="21">
        <v>45496</v>
      </c>
      <c r="G19" s="21">
        <v>45860</v>
      </c>
      <c r="H19" s="22" t="s">
        <v>179</v>
      </c>
      <c r="I19" s="23">
        <v>4130344791181</v>
      </c>
      <c r="J19" s="22" t="s">
        <v>180</v>
      </c>
      <c r="K19" s="19"/>
      <c r="L19" s="19" t="s">
        <v>181</v>
      </c>
      <c r="M19" s="19" t="s">
        <v>182</v>
      </c>
      <c r="N19" s="19" t="s">
        <v>177</v>
      </c>
      <c r="O19" s="19" t="s">
        <v>161</v>
      </c>
      <c r="P19" s="19" t="s">
        <v>162</v>
      </c>
      <c r="Q19" s="19" t="s">
        <v>183</v>
      </c>
      <c r="R19" s="21">
        <v>45503</v>
      </c>
      <c r="S19" s="21">
        <v>47336</v>
      </c>
      <c r="T19" s="24">
        <v>1940000</v>
      </c>
      <c r="U19" s="19"/>
      <c r="V19" s="19"/>
      <c r="W19" s="25">
        <v>1940000</v>
      </c>
      <c r="X19" s="26">
        <v>2</v>
      </c>
      <c r="Y19" s="25">
        <v>38800</v>
      </c>
      <c r="Z19" s="19"/>
      <c r="AA19" s="19" t="s">
        <v>45</v>
      </c>
      <c r="AB19" s="23">
        <v>1141070247</v>
      </c>
      <c r="AC19" s="27">
        <v>45525</v>
      </c>
      <c r="AD19" s="28" t="s">
        <v>46</v>
      </c>
      <c r="AE19" s="28">
        <v>0</v>
      </c>
      <c r="AF19" s="29" t="s">
        <v>178</v>
      </c>
      <c r="AG19" s="30">
        <v>38800</v>
      </c>
      <c r="AH19" s="31">
        <v>0</v>
      </c>
    </row>
    <row r="20" spans="1:34" x14ac:dyDescent="0.25">
      <c r="A20" s="19" t="s">
        <v>33</v>
      </c>
      <c r="B20" s="19" t="s">
        <v>184</v>
      </c>
      <c r="C20" s="20">
        <v>45474</v>
      </c>
      <c r="D20" s="19" t="s">
        <v>35</v>
      </c>
      <c r="E20" s="19" t="s">
        <v>185</v>
      </c>
      <c r="F20" s="21">
        <v>45497</v>
      </c>
      <c r="G20" s="21">
        <v>45861</v>
      </c>
      <c r="H20" s="22" t="s">
        <v>186</v>
      </c>
      <c r="I20" s="23">
        <v>3520241956055</v>
      </c>
      <c r="J20" s="22" t="s">
        <v>50</v>
      </c>
      <c r="K20" s="19" t="s">
        <v>187</v>
      </c>
      <c r="L20" s="19" t="s">
        <v>188</v>
      </c>
      <c r="M20" s="19" t="s">
        <v>189</v>
      </c>
      <c r="N20" s="19" t="s">
        <v>184</v>
      </c>
      <c r="O20" s="19" t="s">
        <v>54</v>
      </c>
      <c r="P20" s="19" t="s">
        <v>81</v>
      </c>
      <c r="Q20" s="19" t="s">
        <v>190</v>
      </c>
      <c r="R20" s="21">
        <v>45499</v>
      </c>
      <c r="S20" s="21">
        <v>46604</v>
      </c>
      <c r="T20" s="24">
        <v>4000000</v>
      </c>
      <c r="U20" s="19"/>
      <c r="V20" s="19"/>
      <c r="W20" s="25">
        <v>4000000</v>
      </c>
      <c r="X20" s="26">
        <v>1.5</v>
      </c>
      <c r="Y20" s="25">
        <v>60000</v>
      </c>
      <c r="Z20" s="19"/>
      <c r="AA20" s="19" t="s">
        <v>45</v>
      </c>
      <c r="AB20" s="23">
        <v>1141070247</v>
      </c>
      <c r="AC20" s="27">
        <v>45525</v>
      </c>
      <c r="AD20" s="28" t="s">
        <v>46</v>
      </c>
      <c r="AE20" s="28">
        <v>0</v>
      </c>
      <c r="AF20" s="29" t="s">
        <v>185</v>
      </c>
      <c r="AG20" s="30">
        <v>60000</v>
      </c>
      <c r="AH20" s="31">
        <v>0</v>
      </c>
    </row>
    <row r="21" spans="1:34" x14ac:dyDescent="0.25">
      <c r="A21" s="19" t="s">
        <v>33</v>
      </c>
      <c r="B21" s="19" t="s">
        <v>191</v>
      </c>
      <c r="C21" s="20">
        <v>45474</v>
      </c>
      <c r="D21" s="19" t="s">
        <v>35</v>
      </c>
      <c r="E21" s="19" t="s">
        <v>192</v>
      </c>
      <c r="F21" s="21">
        <v>45497</v>
      </c>
      <c r="G21" s="21">
        <v>45861</v>
      </c>
      <c r="H21" s="22" t="s">
        <v>193</v>
      </c>
      <c r="I21" s="23">
        <v>3310039799441</v>
      </c>
      <c r="J21" s="22" t="s">
        <v>194</v>
      </c>
      <c r="K21" s="19" t="s">
        <v>195</v>
      </c>
      <c r="L21" s="19" t="s">
        <v>196</v>
      </c>
      <c r="M21" s="19" t="s">
        <v>197</v>
      </c>
      <c r="N21" s="19" t="s">
        <v>191</v>
      </c>
      <c r="O21" s="19" t="s">
        <v>54</v>
      </c>
      <c r="P21" s="19" t="s">
        <v>55</v>
      </c>
      <c r="Q21" s="19" t="s">
        <v>198</v>
      </c>
      <c r="R21" s="21">
        <v>45499</v>
      </c>
      <c r="S21" s="21">
        <v>46604</v>
      </c>
      <c r="T21" s="24">
        <v>4300000</v>
      </c>
      <c r="U21" s="19"/>
      <c r="V21" s="19"/>
      <c r="W21" s="25">
        <v>4300000</v>
      </c>
      <c r="X21" s="26">
        <v>1.5</v>
      </c>
      <c r="Y21" s="25">
        <v>64500</v>
      </c>
      <c r="Z21" s="19"/>
      <c r="AA21" s="19" t="s">
        <v>45</v>
      </c>
      <c r="AB21" s="23">
        <v>1141070247</v>
      </c>
      <c r="AC21" s="27">
        <v>45525</v>
      </c>
      <c r="AD21" s="28" t="s">
        <v>46</v>
      </c>
      <c r="AE21" s="28">
        <v>0</v>
      </c>
      <c r="AF21" s="29" t="s">
        <v>192</v>
      </c>
      <c r="AG21" s="30">
        <v>64500</v>
      </c>
      <c r="AH21" s="31">
        <v>0</v>
      </c>
    </row>
    <row r="22" spans="1:34" x14ac:dyDescent="0.25">
      <c r="A22" s="19" t="s">
        <v>33</v>
      </c>
      <c r="B22" s="19" t="s">
        <v>199</v>
      </c>
      <c r="C22" s="20">
        <v>45474</v>
      </c>
      <c r="D22" s="19" t="s">
        <v>35</v>
      </c>
      <c r="E22" s="19" t="s">
        <v>200</v>
      </c>
      <c r="F22" s="21">
        <v>45498</v>
      </c>
      <c r="G22" s="21">
        <v>45862</v>
      </c>
      <c r="H22" s="22" t="s">
        <v>201</v>
      </c>
      <c r="I22" s="23">
        <v>3310294196189</v>
      </c>
      <c r="J22" s="22" t="s">
        <v>202</v>
      </c>
      <c r="K22" s="19" t="s">
        <v>203</v>
      </c>
      <c r="L22" s="19" t="s">
        <v>204</v>
      </c>
      <c r="M22" s="19" t="s">
        <v>205</v>
      </c>
      <c r="N22" s="19" t="s">
        <v>199</v>
      </c>
      <c r="O22" s="19" t="s">
        <v>54</v>
      </c>
      <c r="P22" s="19" t="s">
        <v>206</v>
      </c>
      <c r="Q22" s="19" t="s">
        <v>207</v>
      </c>
      <c r="R22" s="21">
        <v>45503</v>
      </c>
      <c r="S22" s="21">
        <v>46604</v>
      </c>
      <c r="T22" s="24">
        <v>4300000</v>
      </c>
      <c r="U22" s="19"/>
      <c r="V22" s="19"/>
      <c r="W22" s="25">
        <v>4300000</v>
      </c>
      <c r="X22" s="26">
        <v>1.5</v>
      </c>
      <c r="Y22" s="25">
        <v>64500</v>
      </c>
      <c r="Z22" s="19"/>
      <c r="AA22" s="19" t="s">
        <v>45</v>
      </c>
      <c r="AB22" s="23">
        <v>1141070247</v>
      </c>
      <c r="AC22" s="27">
        <v>45525</v>
      </c>
      <c r="AD22" s="28" t="s">
        <v>46</v>
      </c>
      <c r="AE22" s="28">
        <v>0</v>
      </c>
      <c r="AF22" s="29" t="s">
        <v>200</v>
      </c>
      <c r="AG22" s="30">
        <v>64500</v>
      </c>
      <c r="AH22" s="31">
        <v>0</v>
      </c>
    </row>
    <row r="23" spans="1:34" x14ac:dyDescent="0.25">
      <c r="A23" s="19" t="s">
        <v>33</v>
      </c>
      <c r="B23" s="19" t="s">
        <v>208</v>
      </c>
      <c r="C23" s="20">
        <v>45474</v>
      </c>
      <c r="D23" s="19" t="s">
        <v>35</v>
      </c>
      <c r="E23" s="19" t="s">
        <v>209</v>
      </c>
      <c r="F23" s="21">
        <v>45478</v>
      </c>
      <c r="G23" s="21">
        <v>45842</v>
      </c>
      <c r="H23" s="22" t="s">
        <v>210</v>
      </c>
      <c r="I23" s="23">
        <v>3310221255435</v>
      </c>
      <c r="J23" s="22" t="s">
        <v>211</v>
      </c>
      <c r="K23" s="19" t="s">
        <v>212</v>
      </c>
      <c r="L23" s="19" t="s">
        <v>213</v>
      </c>
      <c r="M23" s="19" t="s">
        <v>214</v>
      </c>
      <c r="N23" s="19" t="s">
        <v>208</v>
      </c>
      <c r="O23" s="19" t="s">
        <v>54</v>
      </c>
      <c r="P23" s="19" t="s">
        <v>55</v>
      </c>
      <c r="Q23" s="19" t="s">
        <v>215</v>
      </c>
      <c r="R23" s="21">
        <v>45482</v>
      </c>
      <c r="S23" s="21">
        <v>46573</v>
      </c>
      <c r="T23" s="24">
        <v>5800000</v>
      </c>
      <c r="U23" s="19"/>
      <c r="V23" s="19"/>
      <c r="W23" s="25">
        <v>5800000</v>
      </c>
      <c r="X23" s="26">
        <v>1.5</v>
      </c>
      <c r="Y23" s="25">
        <v>87000</v>
      </c>
      <c r="Z23" s="19"/>
      <c r="AA23" s="19" t="s">
        <v>45</v>
      </c>
      <c r="AB23" s="23">
        <v>1141070247</v>
      </c>
      <c r="AC23" s="27">
        <v>45525</v>
      </c>
      <c r="AD23" s="28" t="s">
        <v>46</v>
      </c>
      <c r="AE23" s="28">
        <v>9</v>
      </c>
      <c r="AF23" s="29" t="s">
        <v>209</v>
      </c>
      <c r="AG23" s="30">
        <v>87000</v>
      </c>
      <c r="AH23" s="31">
        <v>0</v>
      </c>
    </row>
    <row r="24" spans="1:34" x14ac:dyDescent="0.25">
      <c r="A24" s="19" t="s">
        <v>33</v>
      </c>
      <c r="B24" s="19" t="s">
        <v>216</v>
      </c>
      <c r="C24" s="20">
        <v>45474</v>
      </c>
      <c r="D24" s="19" t="s">
        <v>35</v>
      </c>
      <c r="E24" s="19" t="s">
        <v>217</v>
      </c>
      <c r="F24" s="21">
        <v>45498</v>
      </c>
      <c r="G24" s="21">
        <v>45862</v>
      </c>
      <c r="H24" s="22" t="s">
        <v>218</v>
      </c>
      <c r="I24" s="23">
        <v>3320211338043</v>
      </c>
      <c r="J24" s="22" t="s">
        <v>219</v>
      </c>
      <c r="K24" s="19" t="s">
        <v>220</v>
      </c>
      <c r="L24" s="19" t="s">
        <v>221</v>
      </c>
      <c r="M24" s="19" t="s">
        <v>222</v>
      </c>
      <c r="N24" s="19" t="s">
        <v>216</v>
      </c>
      <c r="O24" s="19" t="s">
        <v>54</v>
      </c>
      <c r="P24" s="19" t="s">
        <v>81</v>
      </c>
      <c r="Q24" s="19" t="s">
        <v>223</v>
      </c>
      <c r="R24" s="21">
        <v>45504</v>
      </c>
      <c r="S24" s="21">
        <v>47336</v>
      </c>
      <c r="T24" s="24">
        <v>2300000</v>
      </c>
      <c r="U24" s="19"/>
      <c r="V24" s="19"/>
      <c r="W24" s="25">
        <v>2300000</v>
      </c>
      <c r="X24" s="26">
        <v>2</v>
      </c>
      <c r="Y24" s="25">
        <v>46000</v>
      </c>
      <c r="Z24" s="19"/>
      <c r="AA24" s="19" t="s">
        <v>45</v>
      </c>
      <c r="AB24" s="23">
        <v>1141070247</v>
      </c>
      <c r="AC24" s="27">
        <v>45525</v>
      </c>
      <c r="AD24" s="28" t="s">
        <v>46</v>
      </c>
      <c r="AE24" s="28">
        <v>0</v>
      </c>
      <c r="AF24" s="29" t="s">
        <v>217</v>
      </c>
      <c r="AG24" s="30">
        <v>46000</v>
      </c>
      <c r="AH24" s="31">
        <v>0</v>
      </c>
    </row>
    <row r="25" spans="1:34" x14ac:dyDescent="0.25">
      <c r="A25" s="19" t="s">
        <v>33</v>
      </c>
      <c r="B25" s="19" t="s">
        <v>224</v>
      </c>
      <c r="C25" s="20">
        <v>45474</v>
      </c>
      <c r="D25" s="19" t="s">
        <v>35</v>
      </c>
      <c r="E25" s="19" t="s">
        <v>225</v>
      </c>
      <c r="F25" s="21">
        <v>45499</v>
      </c>
      <c r="G25" s="21">
        <v>45863</v>
      </c>
      <c r="H25" s="22" t="s">
        <v>226</v>
      </c>
      <c r="I25" s="23">
        <v>3130381542767</v>
      </c>
      <c r="J25" s="22" t="s">
        <v>227</v>
      </c>
      <c r="K25" s="19" t="s">
        <v>228</v>
      </c>
      <c r="L25" s="19" t="s">
        <v>229</v>
      </c>
      <c r="M25" s="19" t="s">
        <v>230</v>
      </c>
      <c r="N25" s="19" t="s">
        <v>224</v>
      </c>
      <c r="O25" s="19" t="s">
        <v>54</v>
      </c>
      <c r="P25" s="19" t="s">
        <v>72</v>
      </c>
      <c r="Q25" s="19" t="s">
        <v>231</v>
      </c>
      <c r="R25" s="21">
        <v>45502</v>
      </c>
      <c r="S25" s="21">
        <v>46604</v>
      </c>
      <c r="T25" s="24">
        <v>2350000</v>
      </c>
      <c r="U25" s="19"/>
      <c r="V25" s="19"/>
      <c r="W25" s="25">
        <v>2350000</v>
      </c>
      <c r="X25" s="26">
        <v>2</v>
      </c>
      <c r="Y25" s="25">
        <v>47000</v>
      </c>
      <c r="Z25" s="19"/>
      <c r="AA25" s="19" t="s">
        <v>45</v>
      </c>
      <c r="AB25" s="23">
        <v>1141070247</v>
      </c>
      <c r="AC25" s="27">
        <v>45525</v>
      </c>
      <c r="AD25" s="28" t="s">
        <v>46</v>
      </c>
      <c r="AE25" s="28">
        <v>0</v>
      </c>
      <c r="AF25" s="29" t="s">
        <v>225</v>
      </c>
      <c r="AG25" s="30">
        <v>47000</v>
      </c>
      <c r="AH25" s="31">
        <v>0</v>
      </c>
    </row>
    <row r="26" spans="1:34" x14ac:dyDescent="0.25">
      <c r="A26" s="19" t="s">
        <v>33</v>
      </c>
      <c r="B26" s="19" t="s">
        <v>232</v>
      </c>
      <c r="C26" s="20">
        <v>45474</v>
      </c>
      <c r="D26" s="19" t="s">
        <v>35</v>
      </c>
      <c r="E26" s="19" t="s">
        <v>233</v>
      </c>
      <c r="F26" s="21">
        <v>45499</v>
      </c>
      <c r="G26" s="21">
        <v>45863</v>
      </c>
      <c r="H26" s="22" t="s">
        <v>234</v>
      </c>
      <c r="I26" s="23">
        <v>3520143968793</v>
      </c>
      <c r="J26" s="22" t="s">
        <v>111</v>
      </c>
      <c r="K26" s="19" t="s">
        <v>235</v>
      </c>
      <c r="L26" s="19" t="s">
        <v>236</v>
      </c>
      <c r="M26" s="19" t="s">
        <v>237</v>
      </c>
      <c r="N26" s="19" t="s">
        <v>232</v>
      </c>
      <c r="O26" s="19" t="s">
        <v>54</v>
      </c>
      <c r="P26" s="19" t="s">
        <v>81</v>
      </c>
      <c r="Q26" s="19" t="s">
        <v>238</v>
      </c>
      <c r="R26" s="21">
        <v>45503</v>
      </c>
      <c r="S26" s="21">
        <v>47336</v>
      </c>
      <c r="T26" s="24">
        <v>2450000</v>
      </c>
      <c r="U26" s="19"/>
      <c r="V26" s="19"/>
      <c r="W26" s="25">
        <v>2450000</v>
      </c>
      <c r="X26" s="26">
        <v>2</v>
      </c>
      <c r="Y26" s="25">
        <v>49000</v>
      </c>
      <c r="Z26" s="19"/>
      <c r="AA26" s="19" t="s">
        <v>45</v>
      </c>
      <c r="AB26" s="23">
        <v>1141070247</v>
      </c>
      <c r="AC26" s="27">
        <v>45525</v>
      </c>
      <c r="AD26" s="28" t="s">
        <v>46</v>
      </c>
      <c r="AE26" s="28">
        <v>0</v>
      </c>
      <c r="AF26" s="29" t="s">
        <v>233</v>
      </c>
      <c r="AG26" s="30">
        <v>49000</v>
      </c>
      <c r="AH26" s="31">
        <v>0</v>
      </c>
    </row>
    <row r="27" spans="1:34" x14ac:dyDescent="0.25">
      <c r="A27" s="19" t="s">
        <v>33</v>
      </c>
      <c r="B27" s="19" t="s">
        <v>239</v>
      </c>
      <c r="C27" s="20">
        <v>45474</v>
      </c>
      <c r="D27" s="19" t="s">
        <v>35</v>
      </c>
      <c r="E27" s="19" t="s">
        <v>240</v>
      </c>
      <c r="F27" s="21">
        <v>45499</v>
      </c>
      <c r="G27" s="21">
        <v>45863</v>
      </c>
      <c r="H27" s="22" t="s">
        <v>241</v>
      </c>
      <c r="I27" s="23">
        <v>3520264429425</v>
      </c>
      <c r="J27" s="22" t="s">
        <v>68</v>
      </c>
      <c r="K27" s="19" t="s">
        <v>242</v>
      </c>
      <c r="L27" s="19" t="s">
        <v>243</v>
      </c>
      <c r="M27" s="19" t="s">
        <v>244</v>
      </c>
      <c r="N27" s="19" t="s">
        <v>239</v>
      </c>
      <c r="O27" s="19" t="s">
        <v>54</v>
      </c>
      <c r="P27" s="19" t="s">
        <v>81</v>
      </c>
      <c r="Q27" s="19" t="s">
        <v>245</v>
      </c>
      <c r="R27" s="21">
        <v>45503</v>
      </c>
      <c r="S27" s="21">
        <v>47336</v>
      </c>
      <c r="T27" s="24">
        <v>1350000</v>
      </c>
      <c r="U27" s="19"/>
      <c r="V27" s="19"/>
      <c r="W27" s="25">
        <v>1350000</v>
      </c>
      <c r="X27" s="26">
        <v>2</v>
      </c>
      <c r="Y27" s="25">
        <v>27000</v>
      </c>
      <c r="Z27" s="19"/>
      <c r="AA27" s="19" t="s">
        <v>45</v>
      </c>
      <c r="AB27" s="23">
        <v>1141070247</v>
      </c>
      <c r="AC27" s="27">
        <v>45525</v>
      </c>
      <c r="AD27" s="28" t="s">
        <v>46</v>
      </c>
      <c r="AE27" s="28">
        <v>0</v>
      </c>
      <c r="AF27" s="29" t="s">
        <v>240</v>
      </c>
      <c r="AG27" s="30">
        <v>27000</v>
      </c>
      <c r="AH27" s="31">
        <v>0</v>
      </c>
    </row>
    <row r="28" spans="1:34" x14ac:dyDescent="0.25">
      <c r="A28" s="19" t="s">
        <v>33</v>
      </c>
      <c r="B28" s="19" t="s">
        <v>246</v>
      </c>
      <c r="C28" s="20">
        <v>45474</v>
      </c>
      <c r="D28" s="19" t="s">
        <v>35</v>
      </c>
      <c r="E28" s="19" t="s">
        <v>247</v>
      </c>
      <c r="F28" s="21">
        <v>45499</v>
      </c>
      <c r="G28" s="21">
        <v>45863</v>
      </c>
      <c r="H28" s="22" t="s">
        <v>248</v>
      </c>
      <c r="I28" s="23">
        <v>2120352601401</v>
      </c>
      <c r="J28" s="22" t="s">
        <v>249</v>
      </c>
      <c r="K28" s="19" t="s">
        <v>250</v>
      </c>
      <c r="L28" s="19" t="s">
        <v>251</v>
      </c>
      <c r="M28" s="19" t="s">
        <v>252</v>
      </c>
      <c r="N28" s="19" t="s">
        <v>246</v>
      </c>
      <c r="O28" s="19" t="s">
        <v>161</v>
      </c>
      <c r="P28" s="19" t="s">
        <v>162</v>
      </c>
      <c r="Q28" s="19" t="s">
        <v>253</v>
      </c>
      <c r="R28" s="21">
        <v>45503</v>
      </c>
      <c r="S28" s="21">
        <v>47336</v>
      </c>
      <c r="T28" s="24">
        <v>2760000</v>
      </c>
      <c r="U28" s="19"/>
      <c r="V28" s="19"/>
      <c r="W28" s="25">
        <v>2760000</v>
      </c>
      <c r="X28" s="26">
        <v>2</v>
      </c>
      <c r="Y28" s="25">
        <v>55200</v>
      </c>
      <c r="Z28" s="19"/>
      <c r="AA28" s="19" t="s">
        <v>45</v>
      </c>
      <c r="AB28" s="23">
        <v>1141070247</v>
      </c>
      <c r="AC28" s="27">
        <v>45525</v>
      </c>
      <c r="AD28" s="28" t="s">
        <v>46</v>
      </c>
      <c r="AE28" s="28">
        <v>0</v>
      </c>
      <c r="AF28" s="29" t="s">
        <v>247</v>
      </c>
      <c r="AG28" s="30">
        <v>55200</v>
      </c>
      <c r="AH28" s="31">
        <v>0</v>
      </c>
    </row>
    <row r="29" spans="1:34" x14ac:dyDescent="0.25">
      <c r="A29" s="19" t="s">
        <v>33</v>
      </c>
      <c r="B29" s="19" t="s">
        <v>254</v>
      </c>
      <c r="C29" s="20">
        <v>45474</v>
      </c>
      <c r="D29" s="19" t="s">
        <v>35</v>
      </c>
      <c r="E29" s="19" t="s">
        <v>255</v>
      </c>
      <c r="F29" s="21">
        <v>45499</v>
      </c>
      <c r="G29" s="21">
        <v>45863</v>
      </c>
      <c r="H29" s="22" t="s">
        <v>256</v>
      </c>
      <c r="I29" s="23">
        <v>3520219299095</v>
      </c>
      <c r="J29" s="22" t="s">
        <v>211</v>
      </c>
      <c r="K29" s="19" t="s">
        <v>257</v>
      </c>
      <c r="L29" s="19" t="s">
        <v>258</v>
      </c>
      <c r="M29" s="19" t="s">
        <v>259</v>
      </c>
      <c r="N29" s="19" t="s">
        <v>254</v>
      </c>
      <c r="O29" s="19" t="s">
        <v>54</v>
      </c>
      <c r="P29" s="19" t="s">
        <v>81</v>
      </c>
      <c r="Q29" s="19" t="s">
        <v>260</v>
      </c>
      <c r="R29" s="21">
        <v>45503</v>
      </c>
      <c r="S29" s="21">
        <v>46239</v>
      </c>
      <c r="T29" s="24">
        <v>5200000</v>
      </c>
      <c r="U29" s="19"/>
      <c r="V29" s="19"/>
      <c r="W29" s="25">
        <v>5200000</v>
      </c>
      <c r="X29" s="26">
        <v>1.5</v>
      </c>
      <c r="Y29" s="25">
        <v>78000</v>
      </c>
      <c r="Z29" s="19"/>
      <c r="AA29" s="19" t="s">
        <v>45</v>
      </c>
      <c r="AB29" s="23">
        <v>1141070247</v>
      </c>
      <c r="AC29" s="27">
        <v>45525</v>
      </c>
      <c r="AD29" s="28" t="s">
        <v>46</v>
      </c>
      <c r="AE29" s="28">
        <v>0</v>
      </c>
      <c r="AF29" s="29" t="s">
        <v>255</v>
      </c>
      <c r="AG29" s="30">
        <v>78000</v>
      </c>
      <c r="AH29" s="31">
        <v>0</v>
      </c>
    </row>
    <row r="30" spans="1:34" x14ac:dyDescent="0.25">
      <c r="A30" s="19" t="s">
        <v>33</v>
      </c>
      <c r="B30" s="19" t="s">
        <v>261</v>
      </c>
      <c r="C30" s="20">
        <v>45474</v>
      </c>
      <c r="D30" s="19" t="s">
        <v>35</v>
      </c>
      <c r="E30" s="19" t="s">
        <v>262</v>
      </c>
      <c r="F30" s="21">
        <v>45499</v>
      </c>
      <c r="G30" s="21">
        <v>45863</v>
      </c>
      <c r="H30" s="22" t="s">
        <v>263</v>
      </c>
      <c r="I30" s="23">
        <v>3520157735621</v>
      </c>
      <c r="J30" s="22" t="s">
        <v>111</v>
      </c>
      <c r="K30" s="19" t="s">
        <v>264</v>
      </c>
      <c r="L30" s="19" t="s">
        <v>265</v>
      </c>
      <c r="M30" s="19" t="s">
        <v>266</v>
      </c>
      <c r="N30" s="19" t="s">
        <v>261</v>
      </c>
      <c r="O30" s="19" t="s">
        <v>54</v>
      </c>
      <c r="P30" s="19" t="s">
        <v>81</v>
      </c>
      <c r="Q30" s="19" t="s">
        <v>267</v>
      </c>
      <c r="R30" s="21">
        <v>45503</v>
      </c>
      <c r="S30" s="21">
        <v>46970</v>
      </c>
      <c r="T30" s="24">
        <v>2100000</v>
      </c>
      <c r="U30" s="19"/>
      <c r="V30" s="19"/>
      <c r="W30" s="25">
        <v>2100000</v>
      </c>
      <c r="X30" s="26">
        <v>2</v>
      </c>
      <c r="Y30" s="25">
        <v>42000</v>
      </c>
      <c r="Z30" s="19"/>
      <c r="AA30" s="19" t="s">
        <v>45</v>
      </c>
      <c r="AB30" s="23">
        <v>1141070247</v>
      </c>
      <c r="AC30" s="27">
        <v>45525</v>
      </c>
      <c r="AD30" s="28" t="s">
        <v>46</v>
      </c>
      <c r="AE30" s="28">
        <v>0</v>
      </c>
      <c r="AF30" s="29" t="s">
        <v>262</v>
      </c>
      <c r="AG30" s="30">
        <v>42000</v>
      </c>
      <c r="AH30" s="31">
        <v>0</v>
      </c>
    </row>
    <row r="31" spans="1:34" x14ac:dyDescent="0.25">
      <c r="A31" s="19" t="s">
        <v>33</v>
      </c>
      <c r="B31" s="19" t="s">
        <v>268</v>
      </c>
      <c r="C31" s="20">
        <v>45474</v>
      </c>
      <c r="D31" s="19" t="s">
        <v>35</v>
      </c>
      <c r="E31" s="19" t="s">
        <v>269</v>
      </c>
      <c r="F31" s="21">
        <v>45500</v>
      </c>
      <c r="G31" s="21">
        <v>45864</v>
      </c>
      <c r="H31" s="22" t="s">
        <v>270</v>
      </c>
      <c r="I31" s="23">
        <v>3630258682115</v>
      </c>
      <c r="J31" s="22" t="s">
        <v>271</v>
      </c>
      <c r="K31" s="19" t="s">
        <v>272</v>
      </c>
      <c r="L31" s="19" t="s">
        <v>273</v>
      </c>
      <c r="M31" s="19" t="s">
        <v>274</v>
      </c>
      <c r="N31" s="19" t="s">
        <v>268</v>
      </c>
      <c r="O31" s="19" t="s">
        <v>54</v>
      </c>
      <c r="P31" s="19" t="s">
        <v>152</v>
      </c>
      <c r="Q31" s="19" t="s">
        <v>275</v>
      </c>
      <c r="R31" s="21">
        <v>45504</v>
      </c>
      <c r="S31" s="21">
        <v>46604</v>
      </c>
      <c r="T31" s="24">
        <v>6000000</v>
      </c>
      <c r="U31" s="19"/>
      <c r="V31" s="19"/>
      <c r="W31" s="25">
        <v>6000000</v>
      </c>
      <c r="X31" s="26">
        <v>1.5</v>
      </c>
      <c r="Y31" s="25">
        <v>90000</v>
      </c>
      <c r="Z31" s="19"/>
      <c r="AA31" s="19" t="s">
        <v>45</v>
      </c>
      <c r="AB31" s="23">
        <v>1141070247</v>
      </c>
      <c r="AC31" s="27">
        <v>45525</v>
      </c>
      <c r="AD31" s="28" t="s">
        <v>46</v>
      </c>
      <c r="AE31" s="28">
        <v>0</v>
      </c>
      <c r="AF31" s="29" t="s">
        <v>269</v>
      </c>
      <c r="AG31" s="30">
        <v>90000</v>
      </c>
      <c r="AH31" s="31">
        <v>0</v>
      </c>
    </row>
    <row r="32" spans="1:34" x14ac:dyDescent="0.25">
      <c r="A32" s="19" t="s">
        <v>33</v>
      </c>
      <c r="B32" s="19" t="s">
        <v>276</v>
      </c>
      <c r="C32" s="20">
        <v>45474</v>
      </c>
      <c r="D32" s="19" t="s">
        <v>35</v>
      </c>
      <c r="E32" s="19" t="s">
        <v>277</v>
      </c>
      <c r="F32" s="21">
        <v>45502</v>
      </c>
      <c r="G32" s="21">
        <v>45866</v>
      </c>
      <c r="H32" s="22" t="s">
        <v>278</v>
      </c>
      <c r="I32" s="23">
        <v>2140636094577</v>
      </c>
      <c r="J32" s="22" t="s">
        <v>279</v>
      </c>
      <c r="K32" s="19"/>
      <c r="L32" s="19" t="s">
        <v>280</v>
      </c>
      <c r="M32" s="19" t="s">
        <v>281</v>
      </c>
      <c r="N32" s="19" t="s">
        <v>276</v>
      </c>
      <c r="O32" s="19" t="s">
        <v>54</v>
      </c>
      <c r="P32" s="19" t="s">
        <v>81</v>
      </c>
      <c r="Q32" s="19" t="s">
        <v>282</v>
      </c>
      <c r="R32" s="21">
        <v>45503</v>
      </c>
      <c r="S32" s="21">
        <v>46604</v>
      </c>
      <c r="T32" s="24">
        <v>4719000</v>
      </c>
      <c r="U32" s="19"/>
      <c r="V32" s="19"/>
      <c r="W32" s="25">
        <v>4719000</v>
      </c>
      <c r="X32" s="26">
        <v>1.5</v>
      </c>
      <c r="Y32" s="25">
        <v>70785</v>
      </c>
      <c r="Z32" s="19"/>
      <c r="AA32" s="19" t="s">
        <v>45</v>
      </c>
      <c r="AB32" s="23">
        <v>1141070247</v>
      </c>
      <c r="AC32" s="27">
        <v>45525</v>
      </c>
      <c r="AD32" s="28" t="s">
        <v>46</v>
      </c>
      <c r="AE32" s="28">
        <v>0</v>
      </c>
      <c r="AF32" s="29" t="s">
        <v>277</v>
      </c>
      <c r="AG32" s="30">
        <v>70785</v>
      </c>
      <c r="AH32" s="31">
        <v>0</v>
      </c>
    </row>
    <row r="33" spans="1:34" x14ac:dyDescent="0.25">
      <c r="A33" s="19" t="s">
        <v>33</v>
      </c>
      <c r="B33" s="19" t="s">
        <v>283</v>
      </c>
      <c r="C33" s="20">
        <v>45474</v>
      </c>
      <c r="D33" s="19" t="s">
        <v>35</v>
      </c>
      <c r="E33" s="19" t="s">
        <v>284</v>
      </c>
      <c r="F33" s="21">
        <v>45502</v>
      </c>
      <c r="G33" s="21">
        <v>45866</v>
      </c>
      <c r="H33" s="22" t="s">
        <v>285</v>
      </c>
      <c r="I33" s="23">
        <v>3520162349405</v>
      </c>
      <c r="J33" s="22" t="s">
        <v>286</v>
      </c>
      <c r="K33" s="19" t="s">
        <v>287</v>
      </c>
      <c r="L33" s="19" t="s">
        <v>288</v>
      </c>
      <c r="M33" s="19" t="s">
        <v>289</v>
      </c>
      <c r="N33" s="19" t="s">
        <v>283</v>
      </c>
      <c r="O33" s="19" t="s">
        <v>54</v>
      </c>
      <c r="P33" s="19" t="s">
        <v>81</v>
      </c>
      <c r="Q33" s="19" t="s">
        <v>290</v>
      </c>
      <c r="R33" s="21">
        <v>45504</v>
      </c>
      <c r="S33" s="21">
        <v>46239</v>
      </c>
      <c r="T33" s="24">
        <v>6700000</v>
      </c>
      <c r="U33" s="19"/>
      <c r="V33" s="19"/>
      <c r="W33" s="25">
        <v>6700000</v>
      </c>
      <c r="X33" s="26">
        <v>1.5</v>
      </c>
      <c r="Y33" s="25">
        <v>100500</v>
      </c>
      <c r="Z33" s="19"/>
      <c r="AA33" s="19" t="s">
        <v>45</v>
      </c>
      <c r="AB33" s="23">
        <v>1141070247</v>
      </c>
      <c r="AC33" s="27">
        <v>45525</v>
      </c>
      <c r="AD33" s="28" t="s">
        <v>46</v>
      </c>
      <c r="AE33" s="28">
        <v>0</v>
      </c>
      <c r="AF33" s="29" t="s">
        <v>284</v>
      </c>
      <c r="AG33" s="30">
        <v>100500</v>
      </c>
      <c r="AH33" s="31">
        <v>0</v>
      </c>
    </row>
    <row r="34" spans="1:34" x14ac:dyDescent="0.25">
      <c r="A34" s="19" t="s">
        <v>33</v>
      </c>
      <c r="B34" s="19" t="s">
        <v>291</v>
      </c>
      <c r="C34" s="20">
        <v>45474</v>
      </c>
      <c r="D34" s="19" t="s">
        <v>35</v>
      </c>
      <c r="E34" s="19" t="s">
        <v>292</v>
      </c>
      <c r="F34" s="21">
        <v>45478</v>
      </c>
      <c r="G34" s="21">
        <v>45842</v>
      </c>
      <c r="H34" s="22" t="s">
        <v>293</v>
      </c>
      <c r="I34" s="23">
        <v>3630269625755</v>
      </c>
      <c r="J34" s="22" t="s">
        <v>61</v>
      </c>
      <c r="K34" s="19"/>
      <c r="L34" s="19" t="s">
        <v>294</v>
      </c>
      <c r="M34" s="19" t="s">
        <v>295</v>
      </c>
      <c r="N34" s="19" t="s">
        <v>291</v>
      </c>
      <c r="O34" s="19" t="s">
        <v>54</v>
      </c>
      <c r="P34" s="19" t="s">
        <v>81</v>
      </c>
      <c r="Q34" s="19" t="s">
        <v>296</v>
      </c>
      <c r="R34" s="21">
        <v>45481</v>
      </c>
      <c r="S34" s="21">
        <v>46573</v>
      </c>
      <c r="T34" s="24">
        <v>4719000</v>
      </c>
      <c r="U34" s="19"/>
      <c r="V34" s="19"/>
      <c r="W34" s="25">
        <v>4719000</v>
      </c>
      <c r="X34" s="26">
        <v>1.5</v>
      </c>
      <c r="Y34" s="25">
        <v>70785</v>
      </c>
      <c r="Z34" s="19"/>
      <c r="AA34" s="19" t="s">
        <v>45</v>
      </c>
      <c r="AB34" s="23">
        <v>1141070247</v>
      </c>
      <c r="AC34" s="27">
        <v>45525</v>
      </c>
      <c r="AD34" s="28" t="s">
        <v>46</v>
      </c>
      <c r="AE34" s="28">
        <v>0</v>
      </c>
      <c r="AF34" s="29" t="s">
        <v>292</v>
      </c>
      <c r="AG34" s="30">
        <v>70785</v>
      </c>
      <c r="AH34" s="31">
        <v>0</v>
      </c>
    </row>
    <row r="35" spans="1:34" x14ac:dyDescent="0.25">
      <c r="A35" s="19" t="s">
        <v>33</v>
      </c>
      <c r="B35" s="19" t="s">
        <v>297</v>
      </c>
      <c r="C35" s="20">
        <v>45474</v>
      </c>
      <c r="D35" s="19" t="s">
        <v>35</v>
      </c>
      <c r="E35" s="19" t="s">
        <v>298</v>
      </c>
      <c r="F35" s="21">
        <v>45502</v>
      </c>
      <c r="G35" s="21">
        <v>45866</v>
      </c>
      <c r="H35" s="22" t="s">
        <v>299</v>
      </c>
      <c r="I35" s="23">
        <v>3410176428873</v>
      </c>
      <c r="J35" s="22" t="s">
        <v>279</v>
      </c>
      <c r="K35" s="19"/>
      <c r="L35" s="19" t="s">
        <v>300</v>
      </c>
      <c r="M35" s="19" t="s">
        <v>301</v>
      </c>
      <c r="N35" s="19" t="s">
        <v>297</v>
      </c>
      <c r="O35" s="19" t="s">
        <v>54</v>
      </c>
      <c r="P35" s="19" t="s">
        <v>81</v>
      </c>
      <c r="Q35" s="19" t="s">
        <v>302</v>
      </c>
      <c r="R35" s="21">
        <v>45504</v>
      </c>
      <c r="S35" s="21">
        <v>45874</v>
      </c>
      <c r="T35" s="24">
        <v>4749000</v>
      </c>
      <c r="U35" s="19"/>
      <c r="V35" s="19"/>
      <c r="W35" s="25">
        <v>4749000</v>
      </c>
      <c r="X35" s="26">
        <v>1.5</v>
      </c>
      <c r="Y35" s="25">
        <v>71235</v>
      </c>
      <c r="Z35" s="19"/>
      <c r="AA35" s="19" t="s">
        <v>45</v>
      </c>
      <c r="AB35" s="23">
        <v>1141070247</v>
      </c>
      <c r="AC35" s="27">
        <v>45525</v>
      </c>
      <c r="AD35" s="28" t="s">
        <v>46</v>
      </c>
      <c r="AE35" s="28">
        <v>0</v>
      </c>
      <c r="AF35" s="29" t="s">
        <v>298</v>
      </c>
      <c r="AG35" s="30">
        <v>71235</v>
      </c>
      <c r="AH35" s="31">
        <v>0</v>
      </c>
    </row>
    <row r="36" spans="1:34" x14ac:dyDescent="0.25">
      <c r="A36" s="19" t="s">
        <v>33</v>
      </c>
      <c r="B36" s="19" t="s">
        <v>303</v>
      </c>
      <c r="C36" s="20">
        <v>45474</v>
      </c>
      <c r="D36" s="19" t="s">
        <v>35</v>
      </c>
      <c r="E36" s="19" t="s">
        <v>304</v>
      </c>
      <c r="F36" s="21">
        <v>45502</v>
      </c>
      <c r="G36" s="21">
        <v>45866</v>
      </c>
      <c r="H36" s="22" t="s">
        <v>305</v>
      </c>
      <c r="I36" s="23">
        <v>3520232961781</v>
      </c>
      <c r="J36" s="22" t="s">
        <v>227</v>
      </c>
      <c r="K36" s="19" t="s">
        <v>306</v>
      </c>
      <c r="L36" s="19" t="s">
        <v>307</v>
      </c>
      <c r="M36" s="19" t="s">
        <v>308</v>
      </c>
      <c r="N36" s="19" t="s">
        <v>303</v>
      </c>
      <c r="O36" s="19" t="s">
        <v>54</v>
      </c>
      <c r="P36" s="19" t="s">
        <v>81</v>
      </c>
      <c r="Q36" s="19" t="s">
        <v>309</v>
      </c>
      <c r="R36" s="21">
        <v>45504</v>
      </c>
      <c r="S36" s="21">
        <v>47336</v>
      </c>
      <c r="T36" s="24">
        <v>2280000</v>
      </c>
      <c r="U36" s="19"/>
      <c r="V36" s="19"/>
      <c r="W36" s="25">
        <v>2280000</v>
      </c>
      <c r="X36" s="26">
        <v>2</v>
      </c>
      <c r="Y36" s="25">
        <v>45600</v>
      </c>
      <c r="Z36" s="19"/>
      <c r="AA36" s="19" t="s">
        <v>45</v>
      </c>
      <c r="AB36" s="23">
        <v>1141070247</v>
      </c>
      <c r="AC36" s="27">
        <v>45525</v>
      </c>
      <c r="AD36" s="28" t="s">
        <v>46</v>
      </c>
      <c r="AE36" s="28">
        <v>0</v>
      </c>
      <c r="AF36" s="29" t="s">
        <v>304</v>
      </c>
      <c r="AG36" s="30">
        <v>45600</v>
      </c>
      <c r="AH36" s="31">
        <v>0</v>
      </c>
    </row>
    <row r="37" spans="1:34" x14ac:dyDescent="0.25">
      <c r="A37" s="19" t="s">
        <v>33</v>
      </c>
      <c r="B37" s="19" t="s">
        <v>310</v>
      </c>
      <c r="C37" s="20">
        <v>45474</v>
      </c>
      <c r="D37" s="19" t="s">
        <v>35</v>
      </c>
      <c r="E37" s="19" t="s">
        <v>311</v>
      </c>
      <c r="F37" s="21">
        <v>45503</v>
      </c>
      <c r="G37" s="21">
        <v>45867</v>
      </c>
      <c r="H37" s="22" t="s">
        <v>312</v>
      </c>
      <c r="I37" s="23">
        <v>3520015262851</v>
      </c>
      <c r="J37" s="22" t="s">
        <v>119</v>
      </c>
      <c r="K37" s="19" t="s">
        <v>313</v>
      </c>
      <c r="L37" s="19" t="s">
        <v>314</v>
      </c>
      <c r="M37" s="19" t="s">
        <v>315</v>
      </c>
      <c r="N37" s="19" t="s">
        <v>310</v>
      </c>
      <c r="O37" s="19" t="s">
        <v>54</v>
      </c>
      <c r="P37" s="19" t="s">
        <v>81</v>
      </c>
      <c r="Q37" s="19" t="s">
        <v>316</v>
      </c>
      <c r="R37" s="21">
        <v>45504</v>
      </c>
      <c r="S37" s="21">
        <v>46604</v>
      </c>
      <c r="T37" s="24">
        <v>5450000</v>
      </c>
      <c r="U37" s="19"/>
      <c r="V37" s="19"/>
      <c r="W37" s="25">
        <v>5450000</v>
      </c>
      <c r="X37" s="26">
        <v>1.5</v>
      </c>
      <c r="Y37" s="25">
        <v>81750</v>
      </c>
      <c r="Z37" s="19"/>
      <c r="AA37" s="19" t="s">
        <v>45</v>
      </c>
      <c r="AB37" s="23">
        <v>1141070247</v>
      </c>
      <c r="AC37" s="27">
        <v>45525</v>
      </c>
      <c r="AD37" s="28" t="s">
        <v>46</v>
      </c>
      <c r="AE37" s="28">
        <v>0</v>
      </c>
      <c r="AF37" s="29" t="s">
        <v>311</v>
      </c>
      <c r="AG37" s="30">
        <v>81750</v>
      </c>
      <c r="AH37" s="31">
        <v>0</v>
      </c>
    </row>
    <row r="38" spans="1:34" x14ac:dyDescent="0.25">
      <c r="A38" s="19" t="s">
        <v>33</v>
      </c>
      <c r="B38" s="19" t="s">
        <v>317</v>
      </c>
      <c r="C38" s="20">
        <v>45474</v>
      </c>
      <c r="D38" s="19" t="s">
        <v>35</v>
      </c>
      <c r="E38" s="19" t="s">
        <v>318</v>
      </c>
      <c r="F38" s="21">
        <v>45503</v>
      </c>
      <c r="G38" s="21">
        <v>45867</v>
      </c>
      <c r="H38" s="22" t="s">
        <v>319</v>
      </c>
      <c r="I38" s="23">
        <v>3520289565055</v>
      </c>
      <c r="J38" s="22" t="s">
        <v>320</v>
      </c>
      <c r="K38" s="19" t="s">
        <v>321</v>
      </c>
      <c r="L38" s="19" t="s">
        <v>322</v>
      </c>
      <c r="M38" s="19" t="s">
        <v>323</v>
      </c>
      <c r="N38" s="19" t="s">
        <v>317</v>
      </c>
      <c r="O38" s="19" t="s">
        <v>54</v>
      </c>
      <c r="P38" s="19" t="s">
        <v>81</v>
      </c>
      <c r="Q38" s="19" t="s">
        <v>324</v>
      </c>
      <c r="R38" s="21">
        <v>45503</v>
      </c>
      <c r="S38" s="21">
        <v>46970</v>
      </c>
      <c r="T38" s="24">
        <v>5100000</v>
      </c>
      <c r="U38" s="19"/>
      <c r="V38" s="19"/>
      <c r="W38" s="25">
        <v>5100000</v>
      </c>
      <c r="X38" s="26">
        <v>1.5</v>
      </c>
      <c r="Y38" s="25">
        <v>76500</v>
      </c>
      <c r="Z38" s="19"/>
      <c r="AA38" s="19" t="s">
        <v>45</v>
      </c>
      <c r="AB38" s="23">
        <v>1141070247</v>
      </c>
      <c r="AC38" s="27">
        <v>45525</v>
      </c>
      <c r="AD38" s="28" t="s">
        <v>46</v>
      </c>
      <c r="AE38" s="28">
        <v>0</v>
      </c>
      <c r="AF38" s="29" t="s">
        <v>318</v>
      </c>
      <c r="AG38" s="30">
        <v>76500</v>
      </c>
      <c r="AH38" s="31">
        <v>0</v>
      </c>
    </row>
    <row r="39" spans="1:34" x14ac:dyDescent="0.25">
      <c r="A39" s="19" t="s">
        <v>33</v>
      </c>
      <c r="B39" s="19" t="s">
        <v>325</v>
      </c>
      <c r="C39" s="20">
        <v>45474</v>
      </c>
      <c r="D39" s="19" t="s">
        <v>35</v>
      </c>
      <c r="E39" s="19" t="s">
        <v>326</v>
      </c>
      <c r="F39" s="21">
        <v>45503</v>
      </c>
      <c r="G39" s="21">
        <v>45867</v>
      </c>
      <c r="H39" s="22" t="s">
        <v>319</v>
      </c>
      <c r="I39" s="23">
        <v>3520289565055</v>
      </c>
      <c r="J39" s="22" t="s">
        <v>211</v>
      </c>
      <c r="K39" s="19" t="s">
        <v>327</v>
      </c>
      <c r="L39" s="19" t="s">
        <v>328</v>
      </c>
      <c r="M39" s="19" t="s">
        <v>329</v>
      </c>
      <c r="N39" s="19" t="s">
        <v>325</v>
      </c>
      <c r="O39" s="19" t="s">
        <v>54</v>
      </c>
      <c r="P39" s="19" t="s">
        <v>81</v>
      </c>
      <c r="Q39" s="19" t="s">
        <v>324</v>
      </c>
      <c r="R39" s="21">
        <v>45503</v>
      </c>
      <c r="S39" s="21">
        <v>46604</v>
      </c>
      <c r="T39" s="24">
        <v>4900000</v>
      </c>
      <c r="U39" s="19"/>
      <c r="V39" s="19"/>
      <c r="W39" s="25">
        <v>4900000</v>
      </c>
      <c r="X39" s="26">
        <v>1.5</v>
      </c>
      <c r="Y39" s="25">
        <v>73500</v>
      </c>
      <c r="Z39" s="19"/>
      <c r="AA39" s="19" t="s">
        <v>45</v>
      </c>
      <c r="AB39" s="23">
        <v>1141070247</v>
      </c>
      <c r="AC39" s="27">
        <v>45525</v>
      </c>
      <c r="AD39" s="28" t="s">
        <v>46</v>
      </c>
      <c r="AE39" s="28">
        <v>0</v>
      </c>
      <c r="AF39" s="29" t="s">
        <v>326</v>
      </c>
      <c r="AG39" s="30">
        <v>73500</v>
      </c>
      <c r="AH39" s="31">
        <v>0</v>
      </c>
    </row>
    <row r="40" spans="1:34" x14ac:dyDescent="0.25">
      <c r="A40" s="19" t="s">
        <v>33</v>
      </c>
      <c r="B40" s="19" t="s">
        <v>330</v>
      </c>
      <c r="C40" s="20">
        <v>45474</v>
      </c>
      <c r="D40" s="19" t="s">
        <v>35</v>
      </c>
      <c r="E40" s="19" t="s">
        <v>331</v>
      </c>
      <c r="F40" s="21">
        <v>45503</v>
      </c>
      <c r="G40" s="21">
        <v>45867</v>
      </c>
      <c r="H40" s="22" t="s">
        <v>332</v>
      </c>
      <c r="I40" s="23">
        <v>3430173147413</v>
      </c>
      <c r="J40" s="22" t="s">
        <v>333</v>
      </c>
      <c r="K40" s="19" t="s">
        <v>334</v>
      </c>
      <c r="L40" s="19" t="s">
        <v>335</v>
      </c>
      <c r="M40" s="19" t="s">
        <v>336</v>
      </c>
      <c r="N40" s="19" t="s">
        <v>330</v>
      </c>
      <c r="O40" s="19" t="s">
        <v>54</v>
      </c>
      <c r="P40" s="19" t="s">
        <v>55</v>
      </c>
      <c r="Q40" s="19" t="s">
        <v>337</v>
      </c>
      <c r="R40" s="21">
        <v>45504</v>
      </c>
      <c r="S40" s="21">
        <v>46604</v>
      </c>
      <c r="T40" s="24">
        <v>2700000</v>
      </c>
      <c r="U40" s="19"/>
      <c r="V40" s="19"/>
      <c r="W40" s="25">
        <v>2700000</v>
      </c>
      <c r="X40" s="26">
        <v>2</v>
      </c>
      <c r="Y40" s="25">
        <v>54000</v>
      </c>
      <c r="Z40" s="19"/>
      <c r="AA40" s="19" t="s">
        <v>45</v>
      </c>
      <c r="AB40" s="23">
        <v>1141070247</v>
      </c>
      <c r="AC40" s="27">
        <v>45525</v>
      </c>
      <c r="AD40" s="28" t="s">
        <v>46</v>
      </c>
      <c r="AE40" s="28">
        <v>0</v>
      </c>
      <c r="AF40" s="29" t="s">
        <v>331</v>
      </c>
      <c r="AG40" s="30">
        <v>54000</v>
      </c>
      <c r="AH40" s="31">
        <v>0</v>
      </c>
    </row>
    <row r="41" spans="1:34" x14ac:dyDescent="0.25">
      <c r="A41" s="19" t="s">
        <v>33</v>
      </c>
      <c r="B41" s="19" t="s">
        <v>338</v>
      </c>
      <c r="C41" s="20">
        <v>45474</v>
      </c>
      <c r="D41" s="19" t="s">
        <v>35</v>
      </c>
      <c r="E41" s="19" t="s">
        <v>339</v>
      </c>
      <c r="F41" s="21">
        <v>45503</v>
      </c>
      <c r="G41" s="21">
        <v>45867</v>
      </c>
      <c r="H41" s="22" t="s">
        <v>340</v>
      </c>
      <c r="I41" s="23">
        <v>3840103910887</v>
      </c>
      <c r="J41" s="22" t="s">
        <v>180</v>
      </c>
      <c r="K41" s="19"/>
      <c r="L41" s="19" t="s">
        <v>341</v>
      </c>
      <c r="M41" s="19" t="s">
        <v>342</v>
      </c>
      <c r="N41" s="19" t="s">
        <v>338</v>
      </c>
      <c r="O41" s="19" t="s">
        <v>161</v>
      </c>
      <c r="P41" s="19" t="s">
        <v>162</v>
      </c>
      <c r="Q41" s="19" t="s">
        <v>343</v>
      </c>
      <c r="R41" s="21">
        <v>45504</v>
      </c>
      <c r="S41" s="21">
        <v>46604</v>
      </c>
      <c r="T41" s="24">
        <v>1940000</v>
      </c>
      <c r="U41" s="19"/>
      <c r="V41" s="19"/>
      <c r="W41" s="25">
        <v>1940000</v>
      </c>
      <c r="X41" s="26">
        <v>2</v>
      </c>
      <c r="Y41" s="25">
        <v>38800</v>
      </c>
      <c r="Z41" s="19"/>
      <c r="AA41" s="19" t="s">
        <v>45</v>
      </c>
      <c r="AB41" s="23">
        <v>1141070247</v>
      </c>
      <c r="AC41" s="27">
        <v>45525</v>
      </c>
      <c r="AD41" s="28" t="s">
        <v>46</v>
      </c>
      <c r="AE41" s="28">
        <v>0</v>
      </c>
      <c r="AF41" s="29" t="s">
        <v>339</v>
      </c>
      <c r="AG41" s="30">
        <v>38800</v>
      </c>
      <c r="AH41" s="31">
        <v>0</v>
      </c>
    </row>
    <row r="42" spans="1:34" x14ac:dyDescent="0.25">
      <c r="A42" s="19" t="s">
        <v>33</v>
      </c>
      <c r="B42" s="19" t="s">
        <v>344</v>
      </c>
      <c r="C42" s="20">
        <v>45474</v>
      </c>
      <c r="D42" s="19" t="s">
        <v>35</v>
      </c>
      <c r="E42" s="19" t="s">
        <v>345</v>
      </c>
      <c r="F42" s="21">
        <v>45503</v>
      </c>
      <c r="G42" s="21">
        <v>45867</v>
      </c>
      <c r="H42" s="22" t="s">
        <v>346</v>
      </c>
      <c r="I42" s="23">
        <v>3660264363069</v>
      </c>
      <c r="J42" s="22" t="s">
        <v>286</v>
      </c>
      <c r="K42" s="19" t="s">
        <v>347</v>
      </c>
      <c r="L42" s="19" t="s">
        <v>348</v>
      </c>
      <c r="M42" s="19" t="s">
        <v>349</v>
      </c>
      <c r="N42" s="19" t="s">
        <v>344</v>
      </c>
      <c r="O42" s="19" t="s">
        <v>54</v>
      </c>
      <c r="P42" s="19" t="s">
        <v>152</v>
      </c>
      <c r="Q42" s="19" t="s">
        <v>350</v>
      </c>
      <c r="R42" s="21">
        <v>45505</v>
      </c>
      <c r="S42" s="21">
        <v>46604</v>
      </c>
      <c r="T42" s="24">
        <v>5400000</v>
      </c>
      <c r="U42" s="19"/>
      <c r="V42" s="19"/>
      <c r="W42" s="25">
        <v>5400000</v>
      </c>
      <c r="X42" s="26">
        <v>1.5</v>
      </c>
      <c r="Y42" s="25">
        <v>81000</v>
      </c>
      <c r="Z42" s="19"/>
      <c r="AA42" s="19" t="s">
        <v>45</v>
      </c>
      <c r="AB42" s="23">
        <v>1141070247</v>
      </c>
      <c r="AC42" s="27">
        <v>45525</v>
      </c>
      <c r="AD42" s="28" t="s">
        <v>46</v>
      </c>
      <c r="AE42" s="28">
        <v>0</v>
      </c>
      <c r="AF42" s="29" t="s">
        <v>345</v>
      </c>
      <c r="AG42" s="30">
        <v>81000</v>
      </c>
      <c r="AH42" s="31">
        <v>0</v>
      </c>
    </row>
    <row r="43" spans="1:34" x14ac:dyDescent="0.25">
      <c r="A43" s="19" t="s">
        <v>33</v>
      </c>
      <c r="B43" s="19" t="s">
        <v>351</v>
      </c>
      <c r="C43" s="20">
        <v>45474</v>
      </c>
      <c r="D43" s="19" t="s">
        <v>35</v>
      </c>
      <c r="E43" s="19" t="s">
        <v>352</v>
      </c>
      <c r="F43" s="21">
        <v>45504</v>
      </c>
      <c r="G43" s="21">
        <v>45868</v>
      </c>
      <c r="H43" s="22" t="s">
        <v>353</v>
      </c>
      <c r="I43" s="23">
        <v>4210111378047</v>
      </c>
      <c r="J43" s="22" t="s">
        <v>111</v>
      </c>
      <c r="K43" s="19" t="s">
        <v>354</v>
      </c>
      <c r="L43" s="19" t="s">
        <v>355</v>
      </c>
      <c r="M43" s="19" t="s">
        <v>356</v>
      </c>
      <c r="N43" s="19" t="s">
        <v>351</v>
      </c>
      <c r="O43" s="19" t="s">
        <v>42</v>
      </c>
      <c r="P43" s="19" t="s">
        <v>43</v>
      </c>
      <c r="Q43" s="19" t="s">
        <v>357</v>
      </c>
      <c r="R43" s="21">
        <v>45505</v>
      </c>
      <c r="S43" s="21">
        <v>47336</v>
      </c>
      <c r="T43" s="24">
        <v>2500000</v>
      </c>
      <c r="U43" s="19"/>
      <c r="V43" s="19"/>
      <c r="W43" s="25">
        <v>2500000</v>
      </c>
      <c r="X43" s="26">
        <v>2</v>
      </c>
      <c r="Y43" s="25">
        <v>50000</v>
      </c>
      <c r="Z43" s="19"/>
      <c r="AA43" s="19" t="s">
        <v>45</v>
      </c>
      <c r="AB43" s="23">
        <v>1141070247</v>
      </c>
      <c r="AC43" s="27">
        <v>45525</v>
      </c>
      <c r="AD43" s="28" t="s">
        <v>46</v>
      </c>
      <c r="AE43" s="28">
        <v>0</v>
      </c>
      <c r="AF43" s="29" t="s">
        <v>352</v>
      </c>
      <c r="AG43" s="30">
        <v>50000</v>
      </c>
      <c r="AH43" s="31">
        <v>0</v>
      </c>
    </row>
    <row r="44" spans="1:34" x14ac:dyDescent="0.25">
      <c r="A44" s="19" t="s">
        <v>33</v>
      </c>
      <c r="B44" s="19" t="s">
        <v>358</v>
      </c>
      <c r="C44" s="20">
        <v>45474</v>
      </c>
      <c r="D44" s="19" t="s">
        <v>35</v>
      </c>
      <c r="E44" s="19" t="s">
        <v>359</v>
      </c>
      <c r="F44" s="21">
        <v>45504</v>
      </c>
      <c r="G44" s="21">
        <v>45868</v>
      </c>
      <c r="H44" s="22" t="s">
        <v>360</v>
      </c>
      <c r="I44" s="23">
        <v>4220133847137</v>
      </c>
      <c r="J44" s="22" t="s">
        <v>86</v>
      </c>
      <c r="K44" s="19" t="s">
        <v>361</v>
      </c>
      <c r="L44" s="19" t="s">
        <v>362</v>
      </c>
      <c r="M44" s="19" t="s">
        <v>363</v>
      </c>
      <c r="N44" s="19" t="s">
        <v>358</v>
      </c>
      <c r="O44" s="19" t="s">
        <v>42</v>
      </c>
      <c r="P44" s="19" t="s">
        <v>43</v>
      </c>
      <c r="Q44" s="19" t="s">
        <v>364</v>
      </c>
      <c r="R44" s="21">
        <v>45505</v>
      </c>
      <c r="S44" s="21">
        <v>47336</v>
      </c>
      <c r="T44" s="24">
        <v>2450000</v>
      </c>
      <c r="U44" s="19"/>
      <c r="V44" s="19"/>
      <c r="W44" s="25">
        <v>2450000</v>
      </c>
      <c r="X44" s="26">
        <v>2</v>
      </c>
      <c r="Y44" s="25">
        <v>49000</v>
      </c>
      <c r="Z44" s="19"/>
      <c r="AA44" s="19" t="s">
        <v>45</v>
      </c>
      <c r="AB44" s="23">
        <v>1141070247</v>
      </c>
      <c r="AC44" s="27">
        <v>45525</v>
      </c>
      <c r="AD44" s="28" t="s">
        <v>46</v>
      </c>
      <c r="AE44" s="28">
        <v>0</v>
      </c>
      <c r="AF44" s="29" t="s">
        <v>359</v>
      </c>
      <c r="AG44" s="30">
        <v>49000</v>
      </c>
      <c r="AH44" s="31">
        <v>0</v>
      </c>
    </row>
    <row r="45" spans="1:34" x14ac:dyDescent="0.25">
      <c r="A45" s="19" t="s">
        <v>33</v>
      </c>
      <c r="B45" s="19" t="s">
        <v>365</v>
      </c>
      <c r="C45" s="20">
        <v>45474</v>
      </c>
      <c r="D45" s="19" t="s">
        <v>35</v>
      </c>
      <c r="E45" s="19" t="s">
        <v>366</v>
      </c>
      <c r="F45" s="21">
        <v>45478</v>
      </c>
      <c r="G45" s="21">
        <v>45842</v>
      </c>
      <c r="H45" s="22" t="s">
        <v>367</v>
      </c>
      <c r="I45" s="23">
        <v>3330222699809</v>
      </c>
      <c r="J45" s="22" t="s">
        <v>368</v>
      </c>
      <c r="K45" s="19" t="s">
        <v>369</v>
      </c>
      <c r="L45" s="19" t="s">
        <v>370</v>
      </c>
      <c r="M45" s="19" t="s">
        <v>371</v>
      </c>
      <c r="N45" s="19" t="s">
        <v>365</v>
      </c>
      <c r="O45" s="19" t="s">
        <v>54</v>
      </c>
      <c r="P45" s="19" t="s">
        <v>152</v>
      </c>
      <c r="Q45" s="19" t="s">
        <v>372</v>
      </c>
      <c r="R45" s="21">
        <v>45484</v>
      </c>
      <c r="S45" s="21">
        <v>46573</v>
      </c>
      <c r="T45" s="24">
        <v>6000000</v>
      </c>
      <c r="U45" s="19"/>
      <c r="V45" s="19"/>
      <c r="W45" s="25">
        <v>6000000</v>
      </c>
      <c r="X45" s="26">
        <v>1.5</v>
      </c>
      <c r="Y45" s="25">
        <v>90000</v>
      </c>
      <c r="Z45" s="19"/>
      <c r="AA45" s="19" t="s">
        <v>45</v>
      </c>
      <c r="AB45" s="23">
        <v>1141070247</v>
      </c>
      <c r="AC45" s="27">
        <v>45525</v>
      </c>
      <c r="AD45" s="28" t="s">
        <v>46</v>
      </c>
      <c r="AE45" s="28">
        <v>0</v>
      </c>
      <c r="AF45" s="29" t="s">
        <v>366</v>
      </c>
      <c r="AG45" s="30">
        <v>90000</v>
      </c>
      <c r="AH45" s="31">
        <v>0</v>
      </c>
    </row>
    <row r="46" spans="1:34" x14ac:dyDescent="0.25">
      <c r="A46" s="19" t="s">
        <v>33</v>
      </c>
      <c r="B46" s="19" t="s">
        <v>373</v>
      </c>
      <c r="C46" s="20">
        <v>45474</v>
      </c>
      <c r="D46" s="19" t="s">
        <v>35</v>
      </c>
      <c r="E46" s="19" t="s">
        <v>374</v>
      </c>
      <c r="F46" s="21">
        <v>45504</v>
      </c>
      <c r="G46" s="21">
        <v>45868</v>
      </c>
      <c r="H46" s="22" t="s">
        <v>375</v>
      </c>
      <c r="I46" s="23">
        <v>4200058995867</v>
      </c>
      <c r="J46" s="22" t="s">
        <v>376</v>
      </c>
      <c r="K46" s="19" t="s">
        <v>377</v>
      </c>
      <c r="L46" s="19" t="s">
        <v>378</v>
      </c>
      <c r="M46" s="19" t="s">
        <v>379</v>
      </c>
      <c r="N46" s="19" t="s">
        <v>373</v>
      </c>
      <c r="O46" s="19" t="s">
        <v>42</v>
      </c>
      <c r="P46" s="19" t="s">
        <v>43</v>
      </c>
      <c r="Q46" s="19" t="s">
        <v>380</v>
      </c>
      <c r="R46" s="21">
        <v>45506</v>
      </c>
      <c r="S46" s="21">
        <v>46604</v>
      </c>
      <c r="T46" s="24">
        <v>5200000</v>
      </c>
      <c r="U46" s="19"/>
      <c r="V46" s="19"/>
      <c r="W46" s="25">
        <v>5200000</v>
      </c>
      <c r="X46" s="26">
        <v>1.5</v>
      </c>
      <c r="Y46" s="25">
        <v>78000</v>
      </c>
      <c r="Z46" s="19"/>
      <c r="AA46" s="19" t="s">
        <v>45</v>
      </c>
      <c r="AB46" s="23">
        <v>1141070247</v>
      </c>
      <c r="AC46" s="27">
        <v>45525</v>
      </c>
      <c r="AD46" s="28" t="s">
        <v>46</v>
      </c>
      <c r="AE46" s="28">
        <v>0</v>
      </c>
      <c r="AF46" s="29" t="s">
        <v>374</v>
      </c>
      <c r="AG46" s="30">
        <v>78000</v>
      </c>
      <c r="AH46" s="31">
        <v>0</v>
      </c>
    </row>
    <row r="47" spans="1:34" x14ac:dyDescent="0.25">
      <c r="A47" s="19" t="s">
        <v>33</v>
      </c>
      <c r="B47" s="19" t="s">
        <v>381</v>
      </c>
      <c r="C47" s="20">
        <v>45474</v>
      </c>
      <c r="D47" s="19" t="s">
        <v>35</v>
      </c>
      <c r="E47" s="19" t="s">
        <v>382</v>
      </c>
      <c r="F47" s="21">
        <v>45504</v>
      </c>
      <c r="G47" s="21">
        <v>45868</v>
      </c>
      <c r="H47" s="22" t="s">
        <v>383</v>
      </c>
      <c r="I47" s="23">
        <v>3520207872523</v>
      </c>
      <c r="J47" s="22" t="s">
        <v>227</v>
      </c>
      <c r="K47" s="19" t="s">
        <v>384</v>
      </c>
      <c r="L47" s="19" t="s">
        <v>385</v>
      </c>
      <c r="M47" s="19" t="s">
        <v>386</v>
      </c>
      <c r="N47" s="19" t="s">
        <v>381</v>
      </c>
      <c r="O47" s="19" t="s">
        <v>54</v>
      </c>
      <c r="P47" s="19" t="s">
        <v>81</v>
      </c>
      <c r="Q47" s="19" t="s">
        <v>387</v>
      </c>
      <c r="R47" s="21">
        <v>45505</v>
      </c>
      <c r="S47" s="21">
        <v>47336</v>
      </c>
      <c r="T47" s="24">
        <v>2300000</v>
      </c>
      <c r="U47" s="19"/>
      <c r="V47" s="19"/>
      <c r="W47" s="25">
        <v>2300000</v>
      </c>
      <c r="X47" s="26">
        <v>2</v>
      </c>
      <c r="Y47" s="25">
        <v>46000</v>
      </c>
      <c r="Z47" s="19"/>
      <c r="AA47" s="19" t="s">
        <v>45</v>
      </c>
      <c r="AB47" s="23">
        <v>1141070247</v>
      </c>
      <c r="AC47" s="27">
        <v>45525</v>
      </c>
      <c r="AD47" s="28" t="s">
        <v>46</v>
      </c>
      <c r="AE47" s="28">
        <v>0</v>
      </c>
      <c r="AF47" s="29" t="s">
        <v>382</v>
      </c>
      <c r="AG47" s="30">
        <v>46000</v>
      </c>
      <c r="AH47" s="31">
        <v>0</v>
      </c>
    </row>
    <row r="48" spans="1:34" x14ac:dyDescent="0.25">
      <c r="A48" s="19" t="s">
        <v>33</v>
      </c>
      <c r="B48" s="19" t="s">
        <v>388</v>
      </c>
      <c r="C48" s="20">
        <v>45474</v>
      </c>
      <c r="D48" s="19" t="s">
        <v>35</v>
      </c>
      <c r="E48" s="19" t="s">
        <v>389</v>
      </c>
      <c r="F48" s="21">
        <v>45504</v>
      </c>
      <c r="G48" s="21">
        <v>45868</v>
      </c>
      <c r="H48" s="22" t="s">
        <v>390</v>
      </c>
      <c r="I48" s="23">
        <v>3310051494929</v>
      </c>
      <c r="J48" s="22" t="s">
        <v>391</v>
      </c>
      <c r="K48" s="19"/>
      <c r="L48" s="19" t="s">
        <v>392</v>
      </c>
      <c r="M48" s="19" t="s">
        <v>393</v>
      </c>
      <c r="N48" s="19" t="s">
        <v>388</v>
      </c>
      <c r="O48" s="19" t="s">
        <v>54</v>
      </c>
      <c r="P48" s="19" t="s">
        <v>81</v>
      </c>
      <c r="Q48" s="19" t="s">
        <v>394</v>
      </c>
      <c r="R48" s="21">
        <v>45505</v>
      </c>
      <c r="S48" s="21">
        <v>47336</v>
      </c>
      <c r="T48" s="24">
        <v>2894000</v>
      </c>
      <c r="U48" s="19"/>
      <c r="V48" s="19"/>
      <c r="W48" s="25">
        <v>2894000</v>
      </c>
      <c r="X48" s="26">
        <v>2</v>
      </c>
      <c r="Y48" s="25">
        <v>57880</v>
      </c>
      <c r="Z48" s="19"/>
      <c r="AA48" s="19" t="s">
        <v>45</v>
      </c>
      <c r="AB48" s="23">
        <v>1141070247</v>
      </c>
      <c r="AC48" s="27">
        <v>45525</v>
      </c>
      <c r="AD48" s="28" t="s">
        <v>46</v>
      </c>
      <c r="AE48" s="28">
        <v>0</v>
      </c>
      <c r="AF48" s="29" t="s">
        <v>389</v>
      </c>
      <c r="AG48" s="30">
        <v>57880</v>
      </c>
      <c r="AH48" s="31">
        <v>0</v>
      </c>
    </row>
    <row r="49" spans="1:34" x14ac:dyDescent="0.25">
      <c r="A49" s="19" t="s">
        <v>33</v>
      </c>
      <c r="B49" s="19" t="s">
        <v>395</v>
      </c>
      <c r="C49" s="20">
        <v>45474</v>
      </c>
      <c r="D49" s="19" t="s">
        <v>35</v>
      </c>
      <c r="E49" s="19" t="s">
        <v>396</v>
      </c>
      <c r="F49" s="21">
        <v>45504</v>
      </c>
      <c r="G49" s="21">
        <v>45868</v>
      </c>
      <c r="H49" s="22" t="s">
        <v>397</v>
      </c>
      <c r="I49" s="23">
        <v>3720191797398</v>
      </c>
      <c r="J49" s="22" t="s">
        <v>111</v>
      </c>
      <c r="K49" s="19" t="s">
        <v>398</v>
      </c>
      <c r="L49" s="19" t="s">
        <v>399</v>
      </c>
      <c r="M49" s="19" t="s">
        <v>400</v>
      </c>
      <c r="N49" s="19" t="s">
        <v>395</v>
      </c>
      <c r="O49" s="19" t="s">
        <v>54</v>
      </c>
      <c r="P49" s="19" t="s">
        <v>81</v>
      </c>
      <c r="Q49" s="19" t="s">
        <v>401</v>
      </c>
      <c r="R49" s="21">
        <v>45505</v>
      </c>
      <c r="S49" s="21">
        <v>47336</v>
      </c>
      <c r="T49" s="24">
        <v>2800000</v>
      </c>
      <c r="U49" s="19"/>
      <c r="V49" s="19"/>
      <c r="W49" s="25">
        <v>2800000</v>
      </c>
      <c r="X49" s="26">
        <v>2</v>
      </c>
      <c r="Y49" s="25">
        <v>56000</v>
      </c>
      <c r="Z49" s="19"/>
      <c r="AA49" s="19" t="s">
        <v>45</v>
      </c>
      <c r="AB49" s="23">
        <v>1141070247</v>
      </c>
      <c r="AC49" s="27">
        <v>45525</v>
      </c>
      <c r="AD49" s="28" t="s">
        <v>46</v>
      </c>
      <c r="AE49" s="28">
        <v>0</v>
      </c>
      <c r="AF49" s="29" t="s">
        <v>396</v>
      </c>
      <c r="AG49" s="30">
        <v>56000</v>
      </c>
      <c r="AH49" s="31">
        <v>0</v>
      </c>
    </row>
    <row r="50" spans="1:34" x14ac:dyDescent="0.25">
      <c r="A50" s="19" t="s">
        <v>33</v>
      </c>
      <c r="B50" s="19" t="s">
        <v>402</v>
      </c>
      <c r="C50" s="20">
        <v>45474</v>
      </c>
      <c r="D50" s="19" t="s">
        <v>35</v>
      </c>
      <c r="E50" s="19" t="s">
        <v>403</v>
      </c>
      <c r="F50" s="21">
        <v>45504</v>
      </c>
      <c r="G50" s="21">
        <v>45868</v>
      </c>
      <c r="H50" s="22" t="s">
        <v>404</v>
      </c>
      <c r="I50" s="23">
        <v>3520290468415</v>
      </c>
      <c r="J50" s="22" t="s">
        <v>405</v>
      </c>
      <c r="K50" s="19" t="s">
        <v>406</v>
      </c>
      <c r="L50" s="19" t="s">
        <v>407</v>
      </c>
      <c r="M50" s="19" t="s">
        <v>408</v>
      </c>
      <c r="N50" s="19" t="s">
        <v>402</v>
      </c>
      <c r="O50" s="19" t="s">
        <v>54</v>
      </c>
      <c r="P50" s="19" t="s">
        <v>81</v>
      </c>
      <c r="Q50" s="19" t="s">
        <v>409</v>
      </c>
      <c r="R50" s="21">
        <v>45505</v>
      </c>
      <c r="S50" s="21">
        <v>47336</v>
      </c>
      <c r="T50" s="24">
        <v>2600000</v>
      </c>
      <c r="U50" s="19"/>
      <c r="V50" s="19"/>
      <c r="W50" s="25">
        <v>2600000</v>
      </c>
      <c r="X50" s="26">
        <v>2</v>
      </c>
      <c r="Y50" s="25">
        <v>52000</v>
      </c>
      <c r="Z50" s="19"/>
      <c r="AA50" s="19" t="s">
        <v>45</v>
      </c>
      <c r="AB50" s="23">
        <v>1141070247</v>
      </c>
      <c r="AC50" s="27">
        <v>45525</v>
      </c>
      <c r="AD50" s="28" t="s">
        <v>46</v>
      </c>
      <c r="AE50" s="28">
        <v>0</v>
      </c>
      <c r="AF50" s="29" t="s">
        <v>403</v>
      </c>
      <c r="AG50" s="30">
        <v>52000</v>
      </c>
      <c r="AH50" s="31">
        <v>0</v>
      </c>
    </row>
    <row r="51" spans="1:34" x14ac:dyDescent="0.25">
      <c r="A51" s="19" t="s">
        <v>33</v>
      </c>
      <c r="B51" s="19" t="s">
        <v>410</v>
      </c>
      <c r="C51" s="20">
        <v>45474</v>
      </c>
      <c r="D51" s="19" t="s">
        <v>35</v>
      </c>
      <c r="E51" s="19" t="s">
        <v>411</v>
      </c>
      <c r="F51" s="21">
        <v>45504</v>
      </c>
      <c r="G51" s="21">
        <v>45868</v>
      </c>
      <c r="H51" s="22" t="s">
        <v>412</v>
      </c>
      <c r="I51" s="23">
        <v>3210348237623</v>
      </c>
      <c r="J51" s="22" t="s">
        <v>249</v>
      </c>
      <c r="K51" s="19" t="s">
        <v>413</v>
      </c>
      <c r="L51" s="19" t="s">
        <v>414</v>
      </c>
      <c r="M51" s="19" t="s">
        <v>415</v>
      </c>
      <c r="N51" s="19" t="s">
        <v>410</v>
      </c>
      <c r="O51" s="19" t="s">
        <v>54</v>
      </c>
      <c r="P51" s="19" t="s">
        <v>416</v>
      </c>
      <c r="Q51" s="19" t="s">
        <v>417</v>
      </c>
      <c r="R51" s="21">
        <v>45505</v>
      </c>
      <c r="S51" s="21">
        <v>47336</v>
      </c>
      <c r="T51" s="24">
        <v>2300000</v>
      </c>
      <c r="U51" s="19"/>
      <c r="V51" s="19"/>
      <c r="W51" s="25">
        <v>2300000</v>
      </c>
      <c r="X51" s="26">
        <v>2</v>
      </c>
      <c r="Y51" s="25">
        <v>46000</v>
      </c>
      <c r="Z51" s="19"/>
      <c r="AA51" s="19" t="s">
        <v>45</v>
      </c>
      <c r="AB51" s="23">
        <v>1141070247</v>
      </c>
      <c r="AC51" s="27">
        <v>45525</v>
      </c>
      <c r="AD51" s="28" t="s">
        <v>46</v>
      </c>
      <c r="AE51" s="28">
        <v>0</v>
      </c>
      <c r="AF51" s="29" t="s">
        <v>411</v>
      </c>
      <c r="AG51" s="30">
        <v>46000</v>
      </c>
      <c r="AH51" s="31">
        <v>0</v>
      </c>
    </row>
    <row r="52" spans="1:34" x14ac:dyDescent="0.25">
      <c r="A52" s="19" t="s">
        <v>33</v>
      </c>
      <c r="B52" s="19" t="s">
        <v>418</v>
      </c>
      <c r="C52" s="20">
        <v>45474</v>
      </c>
      <c r="D52" s="19" t="s">
        <v>35</v>
      </c>
      <c r="E52" s="19" t="s">
        <v>419</v>
      </c>
      <c r="F52" s="21">
        <v>45504</v>
      </c>
      <c r="G52" s="21">
        <v>45868</v>
      </c>
      <c r="H52" s="22" t="s">
        <v>420</v>
      </c>
      <c r="I52" s="23">
        <v>3520222319227</v>
      </c>
      <c r="J52" s="22" t="s">
        <v>111</v>
      </c>
      <c r="K52" s="19" t="s">
        <v>421</v>
      </c>
      <c r="L52" s="19" t="s">
        <v>422</v>
      </c>
      <c r="M52" s="19" t="s">
        <v>423</v>
      </c>
      <c r="N52" s="19" t="s">
        <v>418</v>
      </c>
      <c r="O52" s="19" t="s">
        <v>54</v>
      </c>
      <c r="P52" s="19" t="s">
        <v>81</v>
      </c>
      <c r="Q52" s="19" t="s">
        <v>424</v>
      </c>
      <c r="R52" s="21">
        <v>45505</v>
      </c>
      <c r="S52" s="21">
        <v>46970</v>
      </c>
      <c r="T52" s="24">
        <v>2525000</v>
      </c>
      <c r="U52" s="19"/>
      <c r="V52" s="19"/>
      <c r="W52" s="25">
        <v>2525000</v>
      </c>
      <c r="X52" s="26">
        <v>2</v>
      </c>
      <c r="Y52" s="25">
        <v>50500</v>
      </c>
      <c r="Z52" s="19"/>
      <c r="AA52" s="19" t="s">
        <v>45</v>
      </c>
      <c r="AB52" s="23">
        <v>1141070247</v>
      </c>
      <c r="AC52" s="27">
        <v>45525</v>
      </c>
      <c r="AD52" s="28" t="s">
        <v>46</v>
      </c>
      <c r="AE52" s="28">
        <v>0</v>
      </c>
      <c r="AF52" s="29" t="s">
        <v>419</v>
      </c>
      <c r="AG52" s="30">
        <v>50500</v>
      </c>
      <c r="AH52" s="31">
        <v>0</v>
      </c>
    </row>
    <row r="53" spans="1:34" x14ac:dyDescent="0.25">
      <c r="A53" s="19" t="s">
        <v>33</v>
      </c>
      <c r="B53" s="19" t="s">
        <v>425</v>
      </c>
      <c r="C53" s="20">
        <v>45474</v>
      </c>
      <c r="D53" s="19" t="s">
        <v>35</v>
      </c>
      <c r="E53" s="19" t="s">
        <v>426</v>
      </c>
      <c r="F53" s="21">
        <v>45504</v>
      </c>
      <c r="G53" s="21">
        <v>45868</v>
      </c>
      <c r="H53" s="22" t="s">
        <v>241</v>
      </c>
      <c r="I53" s="23">
        <v>3520115917125</v>
      </c>
      <c r="J53" s="22" t="s">
        <v>211</v>
      </c>
      <c r="K53" s="19" t="s">
        <v>427</v>
      </c>
      <c r="L53" s="19" t="s">
        <v>428</v>
      </c>
      <c r="M53" s="19" t="s">
        <v>429</v>
      </c>
      <c r="N53" s="19" t="s">
        <v>425</v>
      </c>
      <c r="O53" s="19" t="s">
        <v>54</v>
      </c>
      <c r="P53" s="19" t="s">
        <v>81</v>
      </c>
      <c r="Q53" s="19" t="s">
        <v>430</v>
      </c>
      <c r="R53" s="21">
        <v>45505</v>
      </c>
      <c r="S53" s="21">
        <v>46604</v>
      </c>
      <c r="T53" s="24">
        <v>4050000</v>
      </c>
      <c r="U53" s="19"/>
      <c r="V53" s="19"/>
      <c r="W53" s="25">
        <v>4050000</v>
      </c>
      <c r="X53" s="26">
        <v>1.5</v>
      </c>
      <c r="Y53" s="25">
        <v>60750</v>
      </c>
      <c r="Z53" s="19"/>
      <c r="AA53" s="19" t="s">
        <v>45</v>
      </c>
      <c r="AB53" s="23">
        <v>1141070247</v>
      </c>
      <c r="AC53" s="27">
        <v>45525</v>
      </c>
      <c r="AD53" s="28" t="s">
        <v>46</v>
      </c>
      <c r="AE53" s="28">
        <v>0</v>
      </c>
      <c r="AF53" s="29" t="s">
        <v>426</v>
      </c>
      <c r="AG53" s="30">
        <v>60750</v>
      </c>
      <c r="AH53" s="31">
        <v>0</v>
      </c>
    </row>
    <row r="54" spans="1:34" x14ac:dyDescent="0.25">
      <c r="A54" s="19" t="s">
        <v>33</v>
      </c>
      <c r="B54" s="19" t="s">
        <v>431</v>
      </c>
      <c r="C54" s="20">
        <v>45474</v>
      </c>
      <c r="D54" s="19" t="s">
        <v>35</v>
      </c>
      <c r="E54" s="19" t="s">
        <v>432</v>
      </c>
      <c r="F54" s="21">
        <v>45504</v>
      </c>
      <c r="G54" s="21">
        <v>45868</v>
      </c>
      <c r="H54" s="22" t="s">
        <v>433</v>
      </c>
      <c r="I54" s="23">
        <v>1730181539135</v>
      </c>
      <c r="J54" s="22" t="s">
        <v>434</v>
      </c>
      <c r="K54" s="19" t="s">
        <v>435</v>
      </c>
      <c r="L54" s="19" t="s">
        <v>436</v>
      </c>
      <c r="M54" s="19" t="s">
        <v>437</v>
      </c>
      <c r="N54" s="19" t="s">
        <v>431</v>
      </c>
      <c r="O54" s="19" t="s">
        <v>161</v>
      </c>
      <c r="P54" s="19" t="s">
        <v>162</v>
      </c>
      <c r="Q54" s="19" t="s">
        <v>438</v>
      </c>
      <c r="R54" s="21">
        <v>45506</v>
      </c>
      <c r="S54" s="21">
        <v>46604</v>
      </c>
      <c r="T54" s="24">
        <v>2800000</v>
      </c>
      <c r="U54" s="19"/>
      <c r="V54" s="19"/>
      <c r="W54" s="25">
        <v>2800000</v>
      </c>
      <c r="X54" s="26">
        <v>2</v>
      </c>
      <c r="Y54" s="25">
        <v>56000</v>
      </c>
      <c r="Z54" s="19"/>
      <c r="AA54" s="19" t="s">
        <v>45</v>
      </c>
      <c r="AB54" s="23">
        <v>1141070247</v>
      </c>
      <c r="AC54" s="27">
        <v>45525</v>
      </c>
      <c r="AD54" s="28" t="s">
        <v>46</v>
      </c>
      <c r="AE54" s="28">
        <v>0</v>
      </c>
      <c r="AF54" s="29" t="s">
        <v>432</v>
      </c>
      <c r="AG54" s="30">
        <v>56000</v>
      </c>
      <c r="AH54" s="31">
        <v>0</v>
      </c>
    </row>
    <row r="55" spans="1:34" x14ac:dyDescent="0.25">
      <c r="A55" s="19" t="s">
        <v>33</v>
      </c>
      <c r="B55" s="19" t="s">
        <v>439</v>
      </c>
      <c r="C55" s="20">
        <v>45474</v>
      </c>
      <c r="D55" s="19" t="s">
        <v>35</v>
      </c>
      <c r="E55" s="19" t="s">
        <v>440</v>
      </c>
      <c r="F55" s="21">
        <v>45504</v>
      </c>
      <c r="G55" s="21">
        <v>45868</v>
      </c>
      <c r="H55" s="22" t="s">
        <v>441</v>
      </c>
      <c r="I55" s="23">
        <v>3520193671298</v>
      </c>
      <c r="J55" s="22" t="s">
        <v>211</v>
      </c>
      <c r="K55" s="19" t="s">
        <v>442</v>
      </c>
      <c r="L55" s="19" t="s">
        <v>443</v>
      </c>
      <c r="M55" s="19" t="s">
        <v>444</v>
      </c>
      <c r="N55" s="19" t="s">
        <v>439</v>
      </c>
      <c r="O55" s="19" t="s">
        <v>54</v>
      </c>
      <c r="P55" s="19" t="s">
        <v>81</v>
      </c>
      <c r="Q55" s="19" t="s">
        <v>445</v>
      </c>
      <c r="R55" s="21">
        <v>45505</v>
      </c>
      <c r="S55" s="21">
        <v>46604</v>
      </c>
      <c r="T55" s="24">
        <v>5500000</v>
      </c>
      <c r="U55" s="19"/>
      <c r="V55" s="19"/>
      <c r="W55" s="25">
        <v>5500000</v>
      </c>
      <c r="X55" s="26">
        <v>1.5</v>
      </c>
      <c r="Y55" s="25">
        <v>82500</v>
      </c>
      <c r="Z55" s="19"/>
      <c r="AA55" s="19" t="s">
        <v>45</v>
      </c>
      <c r="AB55" s="23">
        <v>1141070247</v>
      </c>
      <c r="AC55" s="27">
        <v>45525</v>
      </c>
      <c r="AD55" s="28" t="s">
        <v>46</v>
      </c>
      <c r="AE55" s="28">
        <v>0</v>
      </c>
      <c r="AF55" s="29" t="s">
        <v>440</v>
      </c>
      <c r="AG55" s="30">
        <v>82500</v>
      </c>
      <c r="AH55" s="31">
        <v>0</v>
      </c>
    </row>
    <row r="56" spans="1:34" x14ac:dyDescent="0.25">
      <c r="A56" s="19" t="s">
        <v>33</v>
      </c>
      <c r="B56" s="19" t="s">
        <v>446</v>
      </c>
      <c r="C56" s="20">
        <v>45474</v>
      </c>
      <c r="D56" s="19" t="s">
        <v>35</v>
      </c>
      <c r="E56" s="19" t="s">
        <v>447</v>
      </c>
      <c r="F56" s="21">
        <v>45481</v>
      </c>
      <c r="G56" s="21">
        <v>45845</v>
      </c>
      <c r="H56" s="22" t="s">
        <v>448</v>
      </c>
      <c r="I56" s="23">
        <v>3310058240085</v>
      </c>
      <c r="J56" s="22" t="s">
        <v>449</v>
      </c>
      <c r="K56" s="19" t="s">
        <v>450</v>
      </c>
      <c r="L56" s="19" t="s">
        <v>451</v>
      </c>
      <c r="M56" s="19" t="s">
        <v>452</v>
      </c>
      <c r="N56" s="19" t="s">
        <v>446</v>
      </c>
      <c r="O56" s="19" t="s">
        <v>54</v>
      </c>
      <c r="P56" s="19" t="s">
        <v>81</v>
      </c>
      <c r="Q56" s="19" t="s">
        <v>453</v>
      </c>
      <c r="R56" s="21">
        <v>45484</v>
      </c>
      <c r="S56" s="21">
        <v>46573</v>
      </c>
      <c r="T56" s="24">
        <v>6000000</v>
      </c>
      <c r="U56" s="19"/>
      <c r="V56" s="19"/>
      <c r="W56" s="25">
        <v>6000000</v>
      </c>
      <c r="X56" s="26">
        <v>1.5</v>
      </c>
      <c r="Y56" s="25">
        <v>90000</v>
      </c>
      <c r="Z56" s="19"/>
      <c r="AA56" s="19" t="s">
        <v>45</v>
      </c>
      <c r="AB56" s="23">
        <v>1141070247</v>
      </c>
      <c r="AC56" s="27">
        <v>45525</v>
      </c>
      <c r="AD56" s="28" t="s">
        <v>46</v>
      </c>
      <c r="AE56" s="28">
        <v>0</v>
      </c>
      <c r="AF56" s="29" t="s">
        <v>447</v>
      </c>
      <c r="AG56" s="30">
        <v>90000</v>
      </c>
      <c r="AH56" s="31">
        <v>0</v>
      </c>
    </row>
    <row r="57" spans="1:34" x14ac:dyDescent="0.25">
      <c r="A57" s="19" t="s">
        <v>33</v>
      </c>
      <c r="B57" s="19" t="s">
        <v>454</v>
      </c>
      <c r="C57" s="20">
        <v>45474</v>
      </c>
      <c r="D57" s="19" t="s">
        <v>35</v>
      </c>
      <c r="E57" s="19" t="s">
        <v>455</v>
      </c>
      <c r="F57" s="21">
        <v>45504</v>
      </c>
      <c r="G57" s="21">
        <v>45868</v>
      </c>
      <c r="H57" s="22" t="s">
        <v>456</v>
      </c>
      <c r="I57" s="23">
        <v>3740132138893</v>
      </c>
      <c r="J57" s="22" t="s">
        <v>457</v>
      </c>
      <c r="K57" s="19" t="s">
        <v>458</v>
      </c>
      <c r="L57" s="19" t="s">
        <v>459</v>
      </c>
      <c r="M57" s="19" t="s">
        <v>460</v>
      </c>
      <c r="N57" s="19" t="s">
        <v>454</v>
      </c>
      <c r="O57" s="19" t="s">
        <v>161</v>
      </c>
      <c r="P57" s="19" t="s">
        <v>162</v>
      </c>
      <c r="Q57" s="19">
        <v>653083</v>
      </c>
      <c r="R57" s="21">
        <v>45513</v>
      </c>
      <c r="S57" s="21">
        <v>46604</v>
      </c>
      <c r="T57" s="24">
        <v>4100000</v>
      </c>
      <c r="U57" s="19"/>
      <c r="V57" s="19"/>
      <c r="W57" s="25">
        <v>4100000</v>
      </c>
      <c r="X57" s="26">
        <v>1.5</v>
      </c>
      <c r="Y57" s="25">
        <v>61500</v>
      </c>
      <c r="Z57" s="19"/>
      <c r="AA57" s="19" t="s">
        <v>45</v>
      </c>
      <c r="AB57" s="23">
        <v>1141070247</v>
      </c>
      <c r="AC57" s="27">
        <v>45525</v>
      </c>
      <c r="AD57" s="28" t="s">
        <v>46</v>
      </c>
      <c r="AE57" s="28">
        <v>0</v>
      </c>
      <c r="AF57" s="29" t="s">
        <v>455</v>
      </c>
      <c r="AG57" s="30">
        <v>61500</v>
      </c>
      <c r="AH57" s="31">
        <v>0</v>
      </c>
    </row>
    <row r="58" spans="1:34" x14ac:dyDescent="0.25">
      <c r="A58" s="19" t="s">
        <v>33</v>
      </c>
      <c r="B58" s="19" t="s">
        <v>461</v>
      </c>
      <c r="C58" s="20">
        <v>45474</v>
      </c>
      <c r="D58" s="19" t="s">
        <v>35</v>
      </c>
      <c r="E58" s="19" t="s">
        <v>462</v>
      </c>
      <c r="F58" s="21">
        <v>45504</v>
      </c>
      <c r="G58" s="21">
        <v>45868</v>
      </c>
      <c r="H58" s="22" t="s">
        <v>118</v>
      </c>
      <c r="I58" s="23">
        <v>4210117925699</v>
      </c>
      <c r="J58" s="22" t="s">
        <v>463</v>
      </c>
      <c r="K58" s="19" t="s">
        <v>464</v>
      </c>
      <c r="L58" s="19" t="s">
        <v>465</v>
      </c>
      <c r="M58" s="19" t="s">
        <v>466</v>
      </c>
      <c r="N58" s="19" t="s">
        <v>461</v>
      </c>
      <c r="O58" s="19" t="s">
        <v>54</v>
      </c>
      <c r="P58" s="19" t="s">
        <v>81</v>
      </c>
      <c r="Q58" s="19" t="s">
        <v>123</v>
      </c>
      <c r="R58" s="21">
        <v>45509</v>
      </c>
      <c r="S58" s="21">
        <v>46604</v>
      </c>
      <c r="T58" s="24">
        <v>5000000</v>
      </c>
      <c r="U58" s="19"/>
      <c r="V58" s="19"/>
      <c r="W58" s="25">
        <v>5000000</v>
      </c>
      <c r="X58" s="26">
        <v>1.5</v>
      </c>
      <c r="Y58" s="25">
        <v>75000</v>
      </c>
      <c r="Z58" s="19"/>
      <c r="AA58" s="19" t="s">
        <v>45</v>
      </c>
      <c r="AB58" s="23">
        <v>1141070247</v>
      </c>
      <c r="AC58" s="27">
        <v>45525</v>
      </c>
      <c r="AD58" s="28" t="s">
        <v>46</v>
      </c>
      <c r="AE58" s="28">
        <v>0</v>
      </c>
      <c r="AF58" s="29" t="s">
        <v>462</v>
      </c>
      <c r="AG58" s="30">
        <v>75000</v>
      </c>
      <c r="AH58" s="31">
        <v>0</v>
      </c>
    </row>
    <row r="59" spans="1:34" x14ac:dyDescent="0.25">
      <c r="A59" s="19" t="s">
        <v>33</v>
      </c>
      <c r="B59" s="19" t="s">
        <v>467</v>
      </c>
      <c r="C59" s="20">
        <v>45474</v>
      </c>
      <c r="D59" s="19" t="s">
        <v>35</v>
      </c>
      <c r="E59" s="19" t="s">
        <v>468</v>
      </c>
      <c r="F59" s="21">
        <v>45481</v>
      </c>
      <c r="G59" s="21">
        <v>45845</v>
      </c>
      <c r="H59" s="22" t="s">
        <v>469</v>
      </c>
      <c r="I59" s="23">
        <v>3520282732315</v>
      </c>
      <c r="J59" s="22" t="s">
        <v>227</v>
      </c>
      <c r="K59" s="19" t="s">
        <v>470</v>
      </c>
      <c r="L59" s="19" t="s">
        <v>471</v>
      </c>
      <c r="M59" s="19" t="s">
        <v>472</v>
      </c>
      <c r="N59" s="19" t="s">
        <v>467</v>
      </c>
      <c r="O59" s="19" t="s">
        <v>54</v>
      </c>
      <c r="P59" s="19" t="s">
        <v>81</v>
      </c>
      <c r="Q59" s="19" t="s">
        <v>473</v>
      </c>
      <c r="R59" s="21">
        <v>45484</v>
      </c>
      <c r="S59" s="21">
        <v>47304</v>
      </c>
      <c r="T59" s="24">
        <v>2200000</v>
      </c>
      <c r="U59" s="19"/>
      <c r="V59" s="19"/>
      <c r="W59" s="25">
        <v>2200000</v>
      </c>
      <c r="X59" s="26">
        <v>2</v>
      </c>
      <c r="Y59" s="25">
        <v>44000</v>
      </c>
      <c r="Z59" s="19"/>
      <c r="AA59" s="19" t="s">
        <v>45</v>
      </c>
      <c r="AB59" s="23">
        <v>1141070247</v>
      </c>
      <c r="AC59" s="27">
        <v>45525</v>
      </c>
      <c r="AD59" s="28" t="s">
        <v>46</v>
      </c>
      <c r="AE59" s="28">
        <v>0</v>
      </c>
      <c r="AF59" s="29" t="s">
        <v>468</v>
      </c>
      <c r="AG59" s="30">
        <v>44000</v>
      </c>
      <c r="AH59" s="31">
        <v>0</v>
      </c>
    </row>
    <row r="60" spans="1:34" x14ac:dyDescent="0.25">
      <c r="A60" s="19" t="s">
        <v>33</v>
      </c>
      <c r="B60" s="19" t="s">
        <v>47</v>
      </c>
      <c r="C60" s="20">
        <v>45474</v>
      </c>
      <c r="D60" s="19" t="s">
        <v>35</v>
      </c>
      <c r="E60" s="19" t="s">
        <v>57</v>
      </c>
      <c r="F60" s="21">
        <v>45482</v>
      </c>
      <c r="G60" s="21">
        <v>45846</v>
      </c>
      <c r="H60" s="22" t="s">
        <v>474</v>
      </c>
      <c r="I60" s="23">
        <v>3310212525553</v>
      </c>
      <c r="J60" s="22" t="s">
        <v>50</v>
      </c>
      <c r="K60" s="19" t="s">
        <v>51</v>
      </c>
      <c r="L60" s="19" t="s">
        <v>52</v>
      </c>
      <c r="M60" s="19" t="s">
        <v>53</v>
      </c>
      <c r="N60" s="19" t="s">
        <v>47</v>
      </c>
      <c r="O60" s="19" t="s">
        <v>54</v>
      </c>
      <c r="P60" s="19" t="s">
        <v>55</v>
      </c>
      <c r="Q60" s="19" t="s">
        <v>56</v>
      </c>
      <c r="R60" s="21">
        <v>45484</v>
      </c>
      <c r="S60" s="21">
        <v>46573</v>
      </c>
      <c r="T60" s="24">
        <v>3500000</v>
      </c>
      <c r="U60" s="19"/>
      <c r="V60" s="19"/>
      <c r="W60" s="25">
        <v>3500000</v>
      </c>
      <c r="X60" s="26">
        <v>1.5</v>
      </c>
      <c r="Y60" s="25">
        <v>52500</v>
      </c>
      <c r="Z60" s="19"/>
      <c r="AA60" s="19" t="s">
        <v>45</v>
      </c>
      <c r="AB60" s="23">
        <v>1141070247</v>
      </c>
      <c r="AC60" s="27">
        <v>45525</v>
      </c>
      <c r="AD60" s="28" t="s">
        <v>46</v>
      </c>
      <c r="AE60" s="28">
        <v>9</v>
      </c>
      <c r="AF60" s="29" t="s">
        <v>57</v>
      </c>
      <c r="AG60" s="30">
        <v>52500</v>
      </c>
      <c r="AH60" s="31">
        <v>0</v>
      </c>
    </row>
    <row r="61" spans="1:34" x14ac:dyDescent="0.25">
      <c r="A61" s="19" t="s">
        <v>33</v>
      </c>
      <c r="B61" s="19" t="s">
        <v>475</v>
      </c>
      <c r="C61" s="20">
        <v>45474</v>
      </c>
      <c r="D61" s="19" t="s">
        <v>35</v>
      </c>
      <c r="E61" s="19" t="s">
        <v>476</v>
      </c>
      <c r="F61" s="21">
        <v>45481</v>
      </c>
      <c r="G61" s="21">
        <v>45845</v>
      </c>
      <c r="H61" s="22" t="s">
        <v>477</v>
      </c>
      <c r="I61" s="23">
        <v>3520294253271</v>
      </c>
      <c r="J61" s="22" t="s">
        <v>478</v>
      </c>
      <c r="K61" s="19"/>
      <c r="L61" s="19" t="s">
        <v>479</v>
      </c>
      <c r="M61" s="19" t="s">
        <v>480</v>
      </c>
      <c r="N61" s="19" t="s">
        <v>475</v>
      </c>
      <c r="O61" s="19" t="s">
        <v>54</v>
      </c>
      <c r="P61" s="19" t="s">
        <v>81</v>
      </c>
      <c r="Q61" s="19" t="s">
        <v>481</v>
      </c>
      <c r="R61" s="21">
        <v>45481</v>
      </c>
      <c r="S61" s="21">
        <v>46573</v>
      </c>
      <c r="T61" s="24">
        <v>1856000</v>
      </c>
      <c r="U61" s="19"/>
      <c r="V61" s="19"/>
      <c r="W61" s="25">
        <v>1856000</v>
      </c>
      <c r="X61" s="26">
        <v>2</v>
      </c>
      <c r="Y61" s="25">
        <v>37120</v>
      </c>
      <c r="Z61" s="19"/>
      <c r="AA61" s="19" t="s">
        <v>45</v>
      </c>
      <c r="AB61" s="23">
        <v>1141070247</v>
      </c>
      <c r="AC61" s="27">
        <v>45525</v>
      </c>
      <c r="AD61" s="28" t="s">
        <v>46</v>
      </c>
      <c r="AE61" s="28">
        <v>0</v>
      </c>
      <c r="AF61" s="29" t="s">
        <v>476</v>
      </c>
      <c r="AG61" s="30">
        <v>37120</v>
      </c>
      <c r="AH61" s="31">
        <v>0</v>
      </c>
    </row>
    <row r="62" spans="1:34" x14ac:dyDescent="0.25">
      <c r="A62" s="19" t="s">
        <v>33</v>
      </c>
      <c r="B62" s="19" t="s">
        <v>482</v>
      </c>
      <c r="C62" s="20">
        <v>45323</v>
      </c>
      <c r="D62" s="19" t="s">
        <v>35</v>
      </c>
      <c r="E62" s="19" t="s">
        <v>483</v>
      </c>
      <c r="F62" s="21">
        <v>45350</v>
      </c>
      <c r="G62" s="21">
        <v>45715</v>
      </c>
      <c r="H62" s="22" t="s">
        <v>484</v>
      </c>
      <c r="I62" s="23" t="s">
        <v>485</v>
      </c>
      <c r="J62" s="22" t="s">
        <v>405</v>
      </c>
      <c r="K62" s="19" t="s">
        <v>486</v>
      </c>
      <c r="L62" s="19" t="s">
        <v>487</v>
      </c>
      <c r="M62" s="19" t="s">
        <v>488</v>
      </c>
      <c r="N62" s="19" t="s">
        <v>482</v>
      </c>
      <c r="O62" s="19" t="s">
        <v>161</v>
      </c>
      <c r="P62" s="19" t="s">
        <v>162</v>
      </c>
      <c r="Q62" s="19" t="s">
        <v>489</v>
      </c>
      <c r="R62" s="21">
        <v>45351</v>
      </c>
      <c r="S62" s="21">
        <v>46818</v>
      </c>
      <c r="T62" s="24">
        <v>2600000</v>
      </c>
      <c r="U62" s="19"/>
      <c r="V62" s="19"/>
      <c r="W62" s="25">
        <v>2600000</v>
      </c>
      <c r="X62" s="26">
        <v>2</v>
      </c>
      <c r="Y62" s="25">
        <v>52000</v>
      </c>
      <c r="Z62" s="19"/>
      <c r="AA62" s="19" t="s">
        <v>45</v>
      </c>
      <c r="AB62" s="23">
        <v>1141070247</v>
      </c>
      <c r="AC62" s="27">
        <v>45525</v>
      </c>
      <c r="AD62" s="28" t="s">
        <v>46</v>
      </c>
      <c r="AE62" s="28">
        <v>0</v>
      </c>
      <c r="AF62" s="29" t="s">
        <v>483</v>
      </c>
      <c r="AG62" s="30">
        <v>52000</v>
      </c>
      <c r="AH62" s="31">
        <v>0</v>
      </c>
    </row>
    <row r="63" spans="1:34" x14ac:dyDescent="0.25">
      <c r="Y63" s="32">
        <v>3697170</v>
      </c>
      <c r="AG63" s="33">
        <v>3697170</v>
      </c>
    </row>
  </sheetData>
  <conditionalFormatting sqref="B2:B62">
    <cfRule type="duplicateValues" dxfId="28" priority="2"/>
  </conditionalFormatting>
  <conditionalFormatting sqref="E39:E62">
    <cfRule type="duplicateValues" dxfId="27" priority="4"/>
    <cfRule type="duplicateValues" dxfId="26" priority="5"/>
    <cfRule type="duplicateValues" dxfId="25" priority="6"/>
    <cfRule type="duplicateValues" dxfId="24" priority="7"/>
  </conditionalFormatting>
  <conditionalFormatting sqref="I2:I4">
    <cfRule type="duplicateValues" dxfId="23" priority="9"/>
  </conditionalFormatting>
  <conditionalFormatting sqref="I2:I62">
    <cfRule type="duplicateValues" dxfId="22" priority="1"/>
  </conditionalFormatting>
  <conditionalFormatting sqref="N2:N4">
    <cfRule type="duplicateValues" dxfId="21" priority="8"/>
  </conditionalFormatting>
  <conditionalFormatting sqref="N2:N62">
    <cfRule type="duplicateValues" dxfId="2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71BA-83AB-40C2-9E52-818AFA29249A}">
  <dimension ref="A1:H60"/>
  <sheetViews>
    <sheetView topLeftCell="F56" workbookViewId="0">
      <selection activeCell="H1" sqref="H1:H60"/>
    </sheetView>
  </sheetViews>
  <sheetFormatPr defaultRowHeight="15" x14ac:dyDescent="0.25"/>
  <cols>
    <col min="1" max="1" width="38.7109375" bestFit="1" customWidth="1"/>
    <col min="2" max="2" width="13.140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88" customWidth="1"/>
    <col min="7" max="7" width="83.140625" customWidth="1"/>
    <col min="8" max="8" width="79.140625" customWidth="1"/>
  </cols>
  <sheetData>
    <row r="1" spans="1:8" ht="117.75" customHeight="1" x14ac:dyDescent="0.25">
      <c r="A1" s="29" t="s">
        <v>57</v>
      </c>
      <c r="B1" s="48" t="str">
        <f>VLOOKUP(A1,[1]Sheet1!$B$2:$C$60,2,0)</f>
        <v>070000162226</v>
      </c>
      <c r="C1" s="30">
        <v>52500</v>
      </c>
      <c r="D1" s="49">
        <f>ROUND(C1,0)</f>
        <v>52500</v>
      </c>
      <c r="E1" s="50" t="s">
        <v>1785</v>
      </c>
      <c r="F1" s="51" t="str">
        <f t="shared" ref="F1:F60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52" t="str">
        <f>"('"&amp;E1&amp;"','"&amp;B1&amp;"','"&amp;D1&amp;"',(select max(to_number(i.premium_rcv_detail_code))+1
from ins_premium_det i),'"&amp;D1&amp;"','"&amp;D1&amp;"','02', '11000003','00','Request by Mr. Reheel Malik 22-Aug-2024 Fresh');"</f>
        <v>('22Aug240008','070000162226','52500',(select max(to_number(i.premium_rcv_detail_code))+1
from ins_premium_det i),'52500','52500','02', '11000003','00','Request by Mr. Reheel Malik 22-Aug-2024 Fresh');</v>
      </c>
      <c r="H1" s="53" t="str">
        <f>F1&amp;G1</f>
        <v>insert into ins_premium_det (premium_rcv_code,assorted_code, rec_amount,premium_rcv_detail_code,remaining_amt, payrec, mode_code,coinsurance_code,class_cd,it_remarks) values('22Aug240008','070000162226','52500',(select max(to_number(i.premium_rcv_detail_code))+1
from ins_premium_det i),'52500','52500','02', '11000003','00','Request by Mr. Reheel Malik 22-Aug-2024 Fresh');</v>
      </c>
    </row>
    <row r="2" spans="1:8" ht="60" x14ac:dyDescent="0.25">
      <c r="A2" s="29" t="s">
        <v>59</v>
      </c>
      <c r="B2" s="48" t="str">
        <f>VLOOKUP(A2,[1]Sheet1!$B$2:$C$60,2,0)</f>
        <v>070000162232</v>
      </c>
      <c r="C2" s="30">
        <v>70785</v>
      </c>
      <c r="D2" s="49">
        <f t="shared" ref="D2:D60" si="1">ROUND(C2,0)</f>
        <v>70785</v>
      </c>
      <c r="E2" s="50" t="s">
        <v>1785</v>
      </c>
      <c r="F2" s="51" t="str">
        <f t="shared" si="0"/>
        <v>insert into ins_premium_det (premium_rcv_code,assorted_code, rec_amount,premium_rcv_detail_code,remaining_amt, payrec, mode_code,coinsurance_code,class_cd,it_remarks) values</v>
      </c>
      <c r="G2" s="52" t="str">
        <f t="shared" ref="G2:G60" si="2">"('"&amp;E2&amp;"','"&amp;B2&amp;"','"&amp;D2&amp;"',(select max(to_number(i.premium_rcv_detail_code))+1
from ins_premium_det i),'"&amp;D2&amp;"','"&amp;D2&amp;"','02', '11000003','00','Request by Mr. Reheel Malik 22-Aug-2024 Fresh');"</f>
        <v>('22Aug240008','070000162232','70785',(select max(to_number(i.premium_rcv_detail_code))+1
from ins_premium_det i),'70785','70785','02', '11000003','00','Request by Mr. Reheel Malik 22-Aug-2024 Fresh');</v>
      </c>
      <c r="H2" s="53" t="str">
        <f t="shared" ref="H2:H60" si="3">F2&amp;G2</f>
        <v>insert into ins_premium_det (premium_rcv_code,assorted_code, rec_amount,premium_rcv_detail_code,remaining_amt, payrec, mode_code,coinsurance_code,class_cd,it_remarks) values('22Aug240008','070000162232','70785',(select max(to_number(i.premium_rcv_detail_code))+1
from ins_premium_det i),'70785','70785','02', '11000003','00','Request by Mr. Reheel Malik 22-Aug-2024 Fresh');</v>
      </c>
    </row>
    <row r="3" spans="1:8" ht="60" x14ac:dyDescent="0.25">
      <c r="A3" s="29" t="s">
        <v>66</v>
      </c>
      <c r="B3" s="48" t="str">
        <f>VLOOKUP(A3,[1]Sheet1!$B$2:$C$60,2,0)</f>
        <v>070000162291</v>
      </c>
      <c r="C3" s="30">
        <v>24000</v>
      </c>
      <c r="D3" s="49">
        <f t="shared" si="1"/>
        <v>24000</v>
      </c>
      <c r="E3" s="50" t="s">
        <v>1785</v>
      </c>
      <c r="F3" s="51" t="str">
        <f t="shared" si="0"/>
        <v>insert into ins_premium_det (premium_rcv_code,assorted_code, rec_amount,premium_rcv_detail_code,remaining_amt, payrec, mode_code,coinsurance_code,class_cd,it_remarks) values</v>
      </c>
      <c r="G3" s="52" t="str">
        <f t="shared" si="2"/>
        <v>('22Aug240008','070000162291','24000',(select max(to_number(i.premium_rcv_detail_code))+1
from ins_premium_det i),'24000','24000','02', '11000003','00','Request by Mr. Reheel Malik 22-Aug-2024 Fresh');</v>
      </c>
      <c r="H3" s="53" t="str">
        <f t="shared" si="3"/>
        <v>insert into ins_premium_det (premium_rcv_code,assorted_code, rec_amount,premium_rcv_detail_code,remaining_amt, payrec, mode_code,coinsurance_code,class_cd,it_remarks) values('22Aug240008','070000162291','24000',(select max(to_number(i.premium_rcv_detail_code))+1
from ins_premium_det i),'24000','24000','02', '11000003','00','Request by Mr. Reheel Malik 22-Aug-2024 Fresh');</v>
      </c>
    </row>
    <row r="4" spans="1:8" ht="60" x14ac:dyDescent="0.25">
      <c r="A4" s="29" t="s">
        <v>75</v>
      </c>
      <c r="B4" s="48" t="str">
        <f>VLOOKUP(A4,[1]Sheet1!$B$2:$C$60,2,0)</f>
        <v>070000162298</v>
      </c>
      <c r="C4" s="30">
        <v>55600</v>
      </c>
      <c r="D4" s="49">
        <f t="shared" si="1"/>
        <v>55600</v>
      </c>
      <c r="E4" s="50" t="s">
        <v>1785</v>
      </c>
      <c r="F4" s="51" t="str">
        <f t="shared" si="0"/>
        <v>insert into ins_premium_det (premium_rcv_code,assorted_code, rec_amount,premium_rcv_detail_code,remaining_amt, payrec, mode_code,coinsurance_code,class_cd,it_remarks) values</v>
      </c>
      <c r="G4" s="52" t="str">
        <f t="shared" si="2"/>
        <v>('22Aug240008','070000162298','55600',(select max(to_number(i.premium_rcv_detail_code))+1
from ins_premium_det i),'55600','55600','02', '11000003','00','Request by Mr. Reheel Malik 22-Aug-2024 Fresh');</v>
      </c>
      <c r="H4" s="53" t="str">
        <f t="shared" si="3"/>
        <v>insert into ins_premium_det (premium_rcv_code,assorted_code, rec_amount,premium_rcv_detail_code,remaining_amt, payrec, mode_code,coinsurance_code,class_cd,it_remarks) values('22Aug240008','070000162298','55600',(select max(to_number(i.premium_rcv_detail_code))+1
from ins_premium_det i),'55600','55600','02', '11000003','00','Request by Mr. Reheel Malik 22-Aug-2024 Fresh');</v>
      </c>
    </row>
    <row r="5" spans="1:8" ht="60" x14ac:dyDescent="0.25">
      <c r="A5" s="29" t="s">
        <v>84</v>
      </c>
      <c r="B5" s="48" t="str">
        <f>VLOOKUP(A5,[1]Sheet1!$B$2:$C$60,2,0)</f>
        <v>070000162314</v>
      </c>
      <c r="C5" s="30">
        <v>45675</v>
      </c>
      <c r="D5" s="49">
        <f t="shared" si="1"/>
        <v>45675</v>
      </c>
      <c r="E5" s="50" t="s">
        <v>1785</v>
      </c>
      <c r="F5" s="51" t="str">
        <f t="shared" si="0"/>
        <v>insert into ins_premium_det (premium_rcv_code,assorted_code, rec_amount,premium_rcv_detail_code,remaining_amt, payrec, mode_code,coinsurance_code,class_cd,it_remarks) values</v>
      </c>
      <c r="G5" s="52" t="str">
        <f t="shared" si="2"/>
        <v>('22Aug240008','070000162314','45675',(select max(to_number(i.premium_rcv_detail_code))+1
from ins_premium_det i),'45675','45675','02', '11000003','00','Request by Mr. Reheel Malik 22-Aug-2024 Fresh');</v>
      </c>
      <c r="H5" s="53" t="str">
        <f t="shared" si="3"/>
        <v>insert into ins_premium_det (premium_rcv_code,assorted_code, rec_amount,premium_rcv_detail_code,remaining_amt, payrec, mode_code,coinsurance_code,class_cd,it_remarks) values('22Aug240008','070000162314','45675',(select max(to_number(i.premium_rcv_detail_code))+1
from ins_premium_det i),'45675','45675','02', '11000003','00','Request by Mr. Reheel Malik 22-Aug-2024 Fresh');</v>
      </c>
    </row>
    <row r="6" spans="1:8" ht="60" x14ac:dyDescent="0.25">
      <c r="A6" s="29" t="s">
        <v>92</v>
      </c>
      <c r="B6" s="48" t="str">
        <f>VLOOKUP(A6,[1]Sheet1!$B$2:$C$60,2,0)</f>
        <v>070000162319</v>
      </c>
      <c r="C6" s="30">
        <v>60000</v>
      </c>
      <c r="D6" s="49">
        <f t="shared" si="1"/>
        <v>60000</v>
      </c>
      <c r="E6" s="50" t="s">
        <v>1785</v>
      </c>
      <c r="F6" s="51" t="str">
        <f t="shared" si="0"/>
        <v>insert into ins_premium_det (premium_rcv_code,assorted_code, rec_amount,premium_rcv_detail_code,remaining_amt, payrec, mode_code,coinsurance_code,class_cd,it_remarks) values</v>
      </c>
      <c r="G6" s="52" t="str">
        <f t="shared" si="2"/>
        <v>('22Aug240008','070000162319','60000',(select max(to_number(i.premium_rcv_detail_code))+1
from ins_premium_det i),'60000','60000','02', '11000003','00','Request by Mr. Reheel Malik 22-Aug-2024 Fresh');</v>
      </c>
      <c r="H6" s="53" t="str">
        <f t="shared" si="3"/>
        <v>insert into ins_premium_det (premium_rcv_code,assorted_code, rec_amount,premium_rcv_detail_code,remaining_amt, payrec, mode_code,coinsurance_code,class_cd,it_remarks) values('22Aug240008','070000162319','60000',(select max(to_number(i.premium_rcv_detail_code))+1
from ins_premium_det i),'60000','60000','02', '11000003','00','Request by Mr. Reheel Malik 22-Aug-2024 Fresh');</v>
      </c>
    </row>
    <row r="7" spans="1:8" ht="60" x14ac:dyDescent="0.25">
      <c r="A7" s="29" t="s">
        <v>101</v>
      </c>
      <c r="B7" s="48" t="str">
        <f>VLOOKUP(A7,[1]Sheet1!$B$2:$C$60,2,0)</f>
        <v>070000162320</v>
      </c>
      <c r="C7" s="30">
        <v>68240</v>
      </c>
      <c r="D7" s="49">
        <f t="shared" si="1"/>
        <v>68240</v>
      </c>
      <c r="E7" s="50" t="s">
        <v>1785</v>
      </c>
      <c r="F7" s="51" t="str">
        <f t="shared" si="0"/>
        <v>insert into ins_premium_det (premium_rcv_code,assorted_code, rec_amount,premium_rcv_detail_code,remaining_amt, payrec, mode_code,coinsurance_code,class_cd,it_remarks) values</v>
      </c>
      <c r="G7" s="52" t="str">
        <f t="shared" si="2"/>
        <v>('22Aug240008','070000162320','68240',(select max(to_number(i.premium_rcv_detail_code))+1
from ins_premium_det i),'68240','68240','02', '11000003','00','Request by Mr. Reheel Malik 22-Aug-2024 Fresh');</v>
      </c>
      <c r="H7" s="53" t="str">
        <f t="shared" si="3"/>
        <v>insert into ins_premium_det (premium_rcv_code,assorted_code, rec_amount,premium_rcv_detail_code,remaining_amt, payrec, mode_code,coinsurance_code,class_cd,it_remarks) values('22Aug240008','070000162320','68240',(select max(to_number(i.premium_rcv_detail_code))+1
from ins_premium_det i),'68240','68240','02', '11000003','00','Request by Mr. Reheel Malik 22-Aug-2024 Fresh');</v>
      </c>
    </row>
    <row r="8" spans="1:8" ht="60" x14ac:dyDescent="0.25">
      <c r="A8" s="29" t="s">
        <v>109</v>
      </c>
      <c r="B8" s="48" t="str">
        <f>VLOOKUP(A8,[1]Sheet1!$B$2:$C$60,2,0)</f>
        <v>070000162327</v>
      </c>
      <c r="C8" s="30">
        <v>46000</v>
      </c>
      <c r="D8" s="49">
        <f t="shared" si="1"/>
        <v>46000</v>
      </c>
      <c r="E8" s="50" t="s">
        <v>1785</v>
      </c>
      <c r="F8" s="51" t="str">
        <f t="shared" si="0"/>
        <v>insert into ins_premium_det (premium_rcv_code,assorted_code, rec_amount,premium_rcv_detail_code,remaining_amt, payrec, mode_code,coinsurance_code,class_cd,it_remarks) values</v>
      </c>
      <c r="G8" s="52" t="str">
        <f t="shared" si="2"/>
        <v>('22Aug240008','070000162327','46000',(select max(to_number(i.premium_rcv_detail_code))+1
from ins_premium_det i),'46000','46000','02', '11000003','00','Request by Mr. Reheel Malik 22-Aug-2024 Fresh');</v>
      </c>
      <c r="H8" s="53" t="str">
        <f t="shared" si="3"/>
        <v>insert into ins_premium_det (premium_rcv_code,assorted_code, rec_amount,premium_rcv_detail_code,remaining_amt, payrec, mode_code,coinsurance_code,class_cd,it_remarks) values('22Aug240008','070000162327','46000',(select max(to_number(i.premium_rcv_detail_code))+1
from ins_premium_det i),'46000','46000','02', '11000003','00','Request by Mr. Reheel Malik 22-Aug-2024 Fresh');</v>
      </c>
    </row>
    <row r="9" spans="1:8" ht="60" x14ac:dyDescent="0.25">
      <c r="A9" s="29" t="s">
        <v>117</v>
      </c>
      <c r="B9" s="48" t="str">
        <f>VLOOKUP(A9,[1]Sheet1!$B$2:$C$60,2,0)</f>
        <v>070000162328</v>
      </c>
      <c r="C9" s="30">
        <v>90000</v>
      </c>
      <c r="D9" s="49">
        <f t="shared" si="1"/>
        <v>90000</v>
      </c>
      <c r="E9" s="50" t="s">
        <v>1785</v>
      </c>
      <c r="F9" s="51" t="str">
        <f t="shared" si="0"/>
        <v>insert into ins_premium_det (premium_rcv_code,assorted_code, rec_amount,premium_rcv_detail_code,remaining_amt, payrec, mode_code,coinsurance_code,class_cd,it_remarks) values</v>
      </c>
      <c r="G9" s="52" t="str">
        <f t="shared" si="2"/>
        <v>('22Aug240008','070000162328','90000',(select max(to_number(i.premium_rcv_detail_code))+1
from ins_premium_det i),'90000','90000','02', '11000003','00','Request by Mr. Reheel Malik 22-Aug-2024 Fresh');</v>
      </c>
      <c r="H9" s="53" t="str">
        <f t="shared" si="3"/>
        <v>insert into ins_premium_det (premium_rcv_code,assorted_code, rec_amount,premium_rcv_detail_code,remaining_amt, payrec, mode_code,coinsurance_code,class_cd,it_remarks) values('22Aug240008','070000162328','90000',(select max(to_number(i.premium_rcv_detail_code))+1
from ins_premium_det i),'90000','90000','02', '11000003','00','Request by Mr. Reheel Malik 22-Aug-2024 Fresh');</v>
      </c>
    </row>
    <row r="10" spans="1:8" ht="60" x14ac:dyDescent="0.25">
      <c r="A10" s="29" t="s">
        <v>125</v>
      </c>
      <c r="B10" s="48" t="str">
        <f>VLOOKUP(A10,[1]Sheet1!$B$2:$C$60,2,0)</f>
        <v>070000162193</v>
      </c>
      <c r="C10" s="30">
        <v>41000</v>
      </c>
      <c r="D10" s="49">
        <f t="shared" si="1"/>
        <v>41000</v>
      </c>
      <c r="E10" s="50" t="s">
        <v>1785</v>
      </c>
      <c r="F10" s="51" t="str">
        <f t="shared" si="0"/>
        <v>insert into ins_premium_det (premium_rcv_code,assorted_code, rec_amount,premium_rcv_detail_code,remaining_amt, payrec, mode_code,coinsurance_code,class_cd,it_remarks) values</v>
      </c>
      <c r="G10" s="52" t="str">
        <f t="shared" si="2"/>
        <v>('22Aug240008','070000162193','41000',(select max(to_number(i.premium_rcv_detail_code))+1
from ins_premium_det i),'41000','41000','02', '11000003','00','Request by Mr. Reheel Malik 22-Aug-2024 Fresh');</v>
      </c>
      <c r="H10" s="53" t="str">
        <f t="shared" si="3"/>
        <v>insert into ins_premium_det (premium_rcv_code,assorted_code, rec_amount,premium_rcv_detail_code,remaining_amt, payrec, mode_code,coinsurance_code,class_cd,it_remarks) values('22Aug240008','070000162193','41000',(select max(to_number(i.premium_rcv_detail_code))+1
from ins_premium_det i),'41000','41000','02', '11000003','00','Request by Mr. Reheel Malik 22-Aug-2024 Fresh');</v>
      </c>
    </row>
    <row r="11" spans="1:8" ht="60" x14ac:dyDescent="0.25">
      <c r="A11" s="29" t="s">
        <v>132</v>
      </c>
      <c r="B11" s="48" t="str">
        <f>VLOOKUP(A11,[1]Sheet1!$B$2:$C$60,2,0)</f>
        <v>070000162362</v>
      </c>
      <c r="C11" s="30">
        <v>60900</v>
      </c>
      <c r="D11" s="49">
        <f t="shared" si="1"/>
        <v>60900</v>
      </c>
      <c r="E11" s="50" t="s">
        <v>1785</v>
      </c>
      <c r="F11" s="51" t="str">
        <f t="shared" si="0"/>
        <v>insert into ins_premium_det (premium_rcv_code,assorted_code, rec_amount,premium_rcv_detail_code,remaining_amt, payrec, mode_code,coinsurance_code,class_cd,it_remarks) values</v>
      </c>
      <c r="G11" s="52" t="str">
        <f t="shared" si="2"/>
        <v>('22Aug240008','070000162362','60900',(select max(to_number(i.premium_rcv_detail_code))+1
from ins_premium_det i),'60900','60900','02', '11000003','00','Request by Mr. Reheel Malik 22-Aug-2024 Fresh');</v>
      </c>
      <c r="H11" s="53" t="str">
        <f t="shared" si="3"/>
        <v>insert into ins_premium_det (premium_rcv_code,assorted_code, rec_amount,premium_rcv_detail_code,remaining_amt, payrec, mode_code,coinsurance_code,class_cd,it_remarks) values('22Aug240008','070000162362','60900',(select max(to_number(i.premium_rcv_detail_code))+1
from ins_premium_det i),'60900','60900','02', '11000003','00','Request by Mr. Reheel Malik 22-Aug-2024 Fresh');</v>
      </c>
    </row>
    <row r="12" spans="1:8" ht="60" x14ac:dyDescent="0.25">
      <c r="A12" s="29" t="s">
        <v>138</v>
      </c>
      <c r="B12" s="48" t="str">
        <f>VLOOKUP(A12,[1]Sheet1!$B$2:$C$60,2,0)</f>
        <v>070000162365</v>
      </c>
      <c r="C12" s="30">
        <v>105000</v>
      </c>
      <c r="D12" s="49">
        <f t="shared" si="1"/>
        <v>105000</v>
      </c>
      <c r="E12" s="50" t="s">
        <v>1785</v>
      </c>
      <c r="F12" s="51" t="str">
        <f t="shared" si="0"/>
        <v>insert into ins_premium_det (premium_rcv_code,assorted_code, rec_amount,premium_rcv_detail_code,remaining_amt, payrec, mode_code,coinsurance_code,class_cd,it_remarks) values</v>
      </c>
      <c r="G12" s="52" t="str">
        <f t="shared" si="2"/>
        <v>('22Aug240008','070000162365','105000',(select max(to_number(i.premium_rcv_detail_code))+1
from ins_premium_det i),'105000','105000','02', '11000003','00','Request by Mr. Reheel Malik 22-Aug-2024 Fresh');</v>
      </c>
      <c r="H12" s="53" t="str">
        <f t="shared" si="3"/>
        <v>insert into ins_premium_det (premium_rcv_code,assorted_code, rec_amount,premium_rcv_detail_code,remaining_amt, payrec, mode_code,coinsurance_code,class_cd,it_remarks) values('22Aug240008','070000162365','105000',(select max(to_number(i.premium_rcv_detail_code))+1
from ins_premium_det i),'105000','105000','02', '11000003','00','Request by Mr. Reheel Malik 22-Aug-2024 Fresh');</v>
      </c>
    </row>
    <row r="13" spans="1:8" ht="60" x14ac:dyDescent="0.25">
      <c r="A13" s="29" t="s">
        <v>146</v>
      </c>
      <c r="B13" s="48" t="str">
        <f>VLOOKUP(A13,[1]Sheet1!$B$2:$C$60,2,0)</f>
        <v>070000162418</v>
      </c>
      <c r="C13" s="30">
        <v>47000</v>
      </c>
      <c r="D13" s="49">
        <f t="shared" si="1"/>
        <v>47000</v>
      </c>
      <c r="E13" s="50" t="s">
        <v>1785</v>
      </c>
      <c r="F13" s="51" t="str">
        <f t="shared" si="0"/>
        <v>insert into ins_premium_det (premium_rcv_code,assorted_code, rec_amount,premium_rcv_detail_code,remaining_amt, payrec, mode_code,coinsurance_code,class_cd,it_remarks) values</v>
      </c>
      <c r="G13" s="52" t="str">
        <f t="shared" si="2"/>
        <v>('22Aug240008','070000162418','47000',(select max(to_number(i.premium_rcv_detail_code))+1
from ins_premium_det i),'47000','47000','02', '11000003','00','Request by Mr. Reheel Malik 22-Aug-2024 Fresh');</v>
      </c>
      <c r="H13" s="53" t="str">
        <f t="shared" si="3"/>
        <v>insert into ins_premium_det (premium_rcv_code,assorted_code, rec_amount,premium_rcv_detail_code,remaining_amt, payrec, mode_code,coinsurance_code,class_cd,it_remarks) values('22Aug240008','070000162418','47000',(select max(to_number(i.premium_rcv_detail_code))+1
from ins_premium_det i),'47000','47000','02', '11000003','00','Request by Mr. Reheel Malik 22-Aug-2024 Fresh');</v>
      </c>
    </row>
    <row r="14" spans="1:8" ht="60" x14ac:dyDescent="0.25">
      <c r="A14" s="29" t="s">
        <v>155</v>
      </c>
      <c r="B14" s="48" t="str">
        <f>VLOOKUP(A14,[1]Sheet1!$B$2:$C$60,2,0)</f>
        <v>070000162639</v>
      </c>
      <c r="C14" s="30">
        <v>57000</v>
      </c>
      <c r="D14" s="49">
        <f t="shared" si="1"/>
        <v>57000</v>
      </c>
      <c r="E14" s="50" t="s">
        <v>1785</v>
      </c>
      <c r="F14" s="51" t="str">
        <f t="shared" si="0"/>
        <v>insert into ins_premium_det (premium_rcv_code,assorted_code, rec_amount,premium_rcv_detail_code,remaining_amt, payrec, mode_code,coinsurance_code,class_cd,it_remarks) values</v>
      </c>
      <c r="G14" s="52" t="str">
        <f t="shared" si="2"/>
        <v>('22Aug240008','070000162639','57000',(select max(to_number(i.premium_rcv_detail_code))+1
from ins_premium_det i),'57000','57000','02', '11000003','00','Request by Mr. Reheel Malik 22-Aug-2024 Fresh');</v>
      </c>
      <c r="H14" s="53" t="str">
        <f t="shared" si="3"/>
        <v>insert into ins_premium_det (premium_rcv_code,assorted_code, rec_amount,premium_rcv_detail_code,remaining_amt, payrec, mode_code,coinsurance_code,class_cd,it_remarks) values('22Aug240008','070000162639','57000',(select max(to_number(i.premium_rcv_detail_code))+1
from ins_premium_det i),'57000','57000','02', '11000003','00','Request by Mr. Reheel Malik 22-Aug-2024 Fresh');</v>
      </c>
    </row>
    <row r="15" spans="1:8" ht="60" x14ac:dyDescent="0.25">
      <c r="A15" s="29" t="s">
        <v>165</v>
      </c>
      <c r="B15" s="48" t="str">
        <f>VLOOKUP(A15,[1]Sheet1!$B$2:$C$60,2,0)</f>
        <v>070000162774</v>
      </c>
      <c r="C15" s="30">
        <v>53865</v>
      </c>
      <c r="D15" s="49">
        <f t="shared" si="1"/>
        <v>53865</v>
      </c>
      <c r="E15" s="50" t="s">
        <v>1785</v>
      </c>
      <c r="F15" s="51" t="str">
        <f t="shared" si="0"/>
        <v>insert into ins_premium_det (premium_rcv_code,assorted_code, rec_amount,premium_rcv_detail_code,remaining_amt, payrec, mode_code,coinsurance_code,class_cd,it_remarks) values</v>
      </c>
      <c r="G15" s="52" t="str">
        <f t="shared" si="2"/>
        <v>('22Aug240008','070000162774','53865',(select max(to_number(i.premium_rcv_detail_code))+1
from ins_premium_det i),'53865','53865','02', '11000003','00','Request by Mr. Reheel Malik 22-Aug-2024 Fresh');</v>
      </c>
      <c r="H15" s="53" t="str">
        <f t="shared" si="3"/>
        <v>insert into ins_premium_det (premium_rcv_code,assorted_code, rec_amount,premium_rcv_detail_code,remaining_amt, payrec, mode_code,coinsurance_code,class_cd,it_remarks) values('22Aug240008','070000162774','53865',(select max(to_number(i.premium_rcv_detail_code))+1
from ins_premium_det i),'53865','53865','02', '11000003','00','Request by Mr. Reheel Malik 22-Aug-2024 Fresh');</v>
      </c>
    </row>
    <row r="16" spans="1:8" ht="60" x14ac:dyDescent="0.25">
      <c r="A16" s="29" t="s">
        <v>172</v>
      </c>
      <c r="B16" s="48" t="str">
        <f>VLOOKUP(A16,[1]Sheet1!$B$2:$C$60,2,0)</f>
        <v>070000162908</v>
      </c>
      <c r="C16" s="30">
        <v>60900</v>
      </c>
      <c r="D16" s="49">
        <f t="shared" si="1"/>
        <v>60900</v>
      </c>
      <c r="E16" s="50" t="s">
        <v>1785</v>
      </c>
      <c r="F16" s="51" t="str">
        <f t="shared" si="0"/>
        <v>insert into ins_premium_det (premium_rcv_code,assorted_code, rec_amount,premium_rcv_detail_code,remaining_amt, payrec, mode_code,coinsurance_code,class_cd,it_remarks) values</v>
      </c>
      <c r="G16" s="52" t="str">
        <f t="shared" si="2"/>
        <v>('22Aug240008','070000162908','60900',(select max(to_number(i.premium_rcv_detail_code))+1
from ins_premium_det i),'60900','60900','02', '11000003','00','Request by Mr. Reheel Malik 22-Aug-2024 Fresh');</v>
      </c>
      <c r="H16" s="53" t="str">
        <f t="shared" si="3"/>
        <v>insert into ins_premium_det (premium_rcv_code,assorted_code, rec_amount,premium_rcv_detail_code,remaining_amt, payrec, mode_code,coinsurance_code,class_cd,it_remarks) values('22Aug240008','070000162908','60900',(select max(to_number(i.premium_rcv_detail_code))+1
from ins_premium_det i),'60900','60900','02', '11000003','00','Request by Mr. Reheel Malik 22-Aug-2024 Fresh');</v>
      </c>
    </row>
    <row r="17" spans="1:8" ht="60" x14ac:dyDescent="0.25">
      <c r="A17" s="29" t="s">
        <v>178</v>
      </c>
      <c r="B17" s="48" t="str">
        <f>VLOOKUP(A17,[1]Sheet1!$B$2:$C$60,2,0)</f>
        <v>070000162931</v>
      </c>
      <c r="C17" s="30">
        <v>38800</v>
      </c>
      <c r="D17" s="49">
        <f t="shared" si="1"/>
        <v>38800</v>
      </c>
      <c r="E17" s="50" t="s">
        <v>1785</v>
      </c>
      <c r="F17" s="51" t="str">
        <f t="shared" si="0"/>
        <v>insert into ins_premium_det (premium_rcv_code,assorted_code, rec_amount,premium_rcv_detail_code,remaining_amt, payrec, mode_code,coinsurance_code,class_cd,it_remarks) values</v>
      </c>
      <c r="G17" s="52" t="str">
        <f t="shared" si="2"/>
        <v>('22Aug240008','070000162931','38800',(select max(to_number(i.premium_rcv_detail_code))+1
from ins_premium_det i),'38800','38800','02', '11000003','00','Request by Mr. Reheel Malik 22-Aug-2024 Fresh');</v>
      </c>
      <c r="H17" s="53" t="str">
        <f t="shared" si="3"/>
        <v>insert into ins_premium_det (premium_rcv_code,assorted_code, rec_amount,premium_rcv_detail_code,remaining_amt, payrec, mode_code,coinsurance_code,class_cd,it_remarks) values('22Aug240008','070000162931','38800',(select max(to_number(i.premium_rcv_detail_code))+1
from ins_premium_det i),'38800','38800','02', '11000003','00','Request by Mr. Reheel Malik 22-Aug-2024 Fresh');</v>
      </c>
    </row>
    <row r="18" spans="1:8" ht="60" x14ac:dyDescent="0.25">
      <c r="A18" s="29" t="s">
        <v>185</v>
      </c>
      <c r="B18" s="48" t="str">
        <f>VLOOKUP(A18,[1]Sheet1!$B$2:$C$60,2,0)</f>
        <v>070000162960</v>
      </c>
      <c r="C18" s="30">
        <v>60000</v>
      </c>
      <c r="D18" s="49">
        <f t="shared" si="1"/>
        <v>60000</v>
      </c>
      <c r="E18" s="50" t="s">
        <v>1785</v>
      </c>
      <c r="F18" s="51" t="str">
        <f t="shared" si="0"/>
        <v>insert into ins_premium_det (premium_rcv_code,assorted_code, rec_amount,premium_rcv_detail_code,remaining_amt, payrec, mode_code,coinsurance_code,class_cd,it_remarks) values</v>
      </c>
      <c r="G18" s="52" t="str">
        <f t="shared" si="2"/>
        <v>('22Aug240008','070000162960','60000',(select max(to_number(i.premium_rcv_detail_code))+1
from ins_premium_det i),'60000','60000','02', '11000003','00','Request by Mr. Reheel Malik 22-Aug-2024 Fresh');</v>
      </c>
      <c r="H18" s="53" t="str">
        <f t="shared" si="3"/>
        <v>insert into ins_premium_det (premium_rcv_code,assorted_code, rec_amount,premium_rcv_detail_code,remaining_amt, payrec, mode_code,coinsurance_code,class_cd,it_remarks) values('22Aug240008','070000162960','60000',(select max(to_number(i.premium_rcv_detail_code))+1
from ins_premium_det i),'60000','60000','02', '11000003','00','Request by Mr. Reheel Malik 22-Aug-2024 Fresh');</v>
      </c>
    </row>
    <row r="19" spans="1:8" ht="60" x14ac:dyDescent="0.25">
      <c r="A19" s="29" t="s">
        <v>192</v>
      </c>
      <c r="B19" s="48" t="str">
        <f>VLOOKUP(A19,[1]Sheet1!$B$2:$C$60,2,0)</f>
        <v>070000162962</v>
      </c>
      <c r="C19" s="30">
        <v>64500</v>
      </c>
      <c r="D19" s="49">
        <f t="shared" si="1"/>
        <v>64500</v>
      </c>
      <c r="E19" s="50" t="s">
        <v>1785</v>
      </c>
      <c r="F19" s="51" t="str">
        <f t="shared" si="0"/>
        <v>insert into ins_premium_det (premium_rcv_code,assorted_code, rec_amount,premium_rcv_detail_code,remaining_amt, payrec, mode_code,coinsurance_code,class_cd,it_remarks) values</v>
      </c>
      <c r="G19" s="52" t="str">
        <f t="shared" si="2"/>
        <v>('22Aug240008','070000162962','64500',(select max(to_number(i.premium_rcv_detail_code))+1
from ins_premium_det i),'64500','64500','02', '11000003','00','Request by Mr. Reheel Malik 22-Aug-2024 Fresh');</v>
      </c>
      <c r="H19" s="53" t="str">
        <f t="shared" si="3"/>
        <v>insert into ins_premium_det (premium_rcv_code,assorted_code, rec_amount,premium_rcv_detail_code,remaining_amt, payrec, mode_code,coinsurance_code,class_cd,it_remarks) values('22Aug240008','070000162962','64500',(select max(to_number(i.premium_rcv_detail_code))+1
from ins_premium_det i),'64500','64500','02', '11000003','00','Request by Mr. Reheel Malik 22-Aug-2024 Fresh');</v>
      </c>
    </row>
    <row r="20" spans="1:8" ht="60" x14ac:dyDescent="0.25">
      <c r="A20" s="29" t="s">
        <v>200</v>
      </c>
      <c r="B20" s="48" t="str">
        <f>VLOOKUP(A20,[1]Sheet1!$B$2:$C$60,2,0)</f>
        <v>070000162990</v>
      </c>
      <c r="C20" s="30">
        <v>64500</v>
      </c>
      <c r="D20" s="49">
        <f t="shared" si="1"/>
        <v>64500</v>
      </c>
      <c r="E20" s="50" t="s">
        <v>1785</v>
      </c>
      <c r="F20" s="51" t="str">
        <f t="shared" si="0"/>
        <v>insert into ins_premium_det (premium_rcv_code,assorted_code, rec_amount,premium_rcv_detail_code,remaining_amt, payrec, mode_code,coinsurance_code,class_cd,it_remarks) values</v>
      </c>
      <c r="G20" s="52" t="str">
        <f t="shared" si="2"/>
        <v>('22Aug240008','070000162990','64500',(select max(to_number(i.premium_rcv_detail_code))+1
from ins_premium_det i),'64500','64500','02', '11000003','00','Request by Mr. Reheel Malik 22-Aug-2024 Fresh');</v>
      </c>
      <c r="H20" s="53" t="str">
        <f t="shared" si="3"/>
        <v>insert into ins_premium_det (premium_rcv_code,assorted_code, rec_amount,premium_rcv_detail_code,remaining_amt, payrec, mode_code,coinsurance_code,class_cd,it_remarks) values('22Aug240008','070000162990','64500',(select max(to_number(i.premium_rcv_detail_code))+1
from ins_premium_det i),'64500','64500','02', '11000003','00','Request by Mr. Reheel Malik 22-Aug-2024 Fresh');</v>
      </c>
    </row>
    <row r="21" spans="1:8" ht="60" x14ac:dyDescent="0.25">
      <c r="A21" s="29" t="s">
        <v>209</v>
      </c>
      <c r="B21" s="48" t="str">
        <f>VLOOKUP(A21,[1]Sheet1!$B$2:$C$60,2,0)</f>
        <v>070000162198</v>
      </c>
      <c r="C21" s="30">
        <v>87000</v>
      </c>
      <c r="D21" s="49">
        <f t="shared" si="1"/>
        <v>87000</v>
      </c>
      <c r="E21" s="50" t="s">
        <v>1785</v>
      </c>
      <c r="F21" s="51" t="str">
        <f t="shared" si="0"/>
        <v>insert into ins_premium_det (premium_rcv_code,assorted_code, rec_amount,premium_rcv_detail_code,remaining_amt, payrec, mode_code,coinsurance_code,class_cd,it_remarks) values</v>
      </c>
      <c r="G21" s="52" t="str">
        <f t="shared" si="2"/>
        <v>('22Aug240008','070000162198','87000',(select max(to_number(i.premium_rcv_detail_code))+1
from ins_premium_det i),'87000','87000','02', '11000003','00','Request by Mr. Reheel Malik 22-Aug-2024 Fresh');</v>
      </c>
      <c r="H21" s="53" t="str">
        <f t="shared" si="3"/>
        <v>insert into ins_premium_det (premium_rcv_code,assorted_code, rec_amount,premium_rcv_detail_code,remaining_amt, payrec, mode_code,coinsurance_code,class_cd,it_remarks) values('22Aug240008','070000162198','87000',(select max(to_number(i.premium_rcv_detail_code))+1
from ins_premium_det i),'87000','87000','02', '11000003','00','Request by Mr. Reheel Malik 22-Aug-2024 Fresh');</v>
      </c>
    </row>
    <row r="22" spans="1:8" ht="60" x14ac:dyDescent="0.25">
      <c r="A22" s="29" t="s">
        <v>217</v>
      </c>
      <c r="B22" s="48" t="str">
        <f>VLOOKUP(A22,[1]Sheet1!$B$2:$C$60,2,0)</f>
        <v>070000162997</v>
      </c>
      <c r="C22" s="30">
        <v>46000</v>
      </c>
      <c r="D22" s="49">
        <f t="shared" si="1"/>
        <v>46000</v>
      </c>
      <c r="E22" s="50" t="s">
        <v>1785</v>
      </c>
      <c r="F22" s="51" t="str">
        <f t="shared" si="0"/>
        <v>insert into ins_premium_det (premium_rcv_code,assorted_code, rec_amount,premium_rcv_detail_code,remaining_amt, payrec, mode_code,coinsurance_code,class_cd,it_remarks) values</v>
      </c>
      <c r="G22" s="52" t="str">
        <f t="shared" si="2"/>
        <v>('22Aug240008','070000162997','46000',(select max(to_number(i.premium_rcv_detail_code))+1
from ins_premium_det i),'46000','46000','02', '11000003','00','Request by Mr. Reheel Malik 22-Aug-2024 Fresh');</v>
      </c>
      <c r="H22" s="53" t="str">
        <f t="shared" si="3"/>
        <v>insert into ins_premium_det (premium_rcv_code,assorted_code, rec_amount,premium_rcv_detail_code,remaining_amt, payrec, mode_code,coinsurance_code,class_cd,it_remarks) values('22Aug240008','070000162997','46000',(select max(to_number(i.premium_rcv_detail_code))+1
from ins_premium_det i),'46000','46000','02', '11000003','00','Request by Mr. Reheel Malik 22-Aug-2024 Fresh');</v>
      </c>
    </row>
    <row r="23" spans="1:8" ht="60" x14ac:dyDescent="0.25">
      <c r="A23" s="29" t="s">
        <v>225</v>
      </c>
      <c r="B23" s="48" t="str">
        <f>VLOOKUP(A23,[1]Sheet1!$B$2:$C$60,2,0)</f>
        <v>070000163231</v>
      </c>
      <c r="C23" s="30">
        <v>47000</v>
      </c>
      <c r="D23" s="49">
        <f t="shared" si="1"/>
        <v>47000</v>
      </c>
      <c r="E23" s="50" t="s">
        <v>1785</v>
      </c>
      <c r="F23" s="51" t="str">
        <f t="shared" si="0"/>
        <v>insert into ins_premium_det (premium_rcv_code,assorted_code, rec_amount,premium_rcv_detail_code,remaining_amt, payrec, mode_code,coinsurance_code,class_cd,it_remarks) values</v>
      </c>
      <c r="G23" s="52" t="str">
        <f t="shared" si="2"/>
        <v>('22Aug240008','070000163231','47000',(select max(to_number(i.premium_rcv_detail_code))+1
from ins_premium_det i),'47000','47000','02', '11000003','00','Request by Mr. Reheel Malik 22-Aug-2024 Fresh');</v>
      </c>
      <c r="H23" s="53" t="str">
        <f t="shared" si="3"/>
        <v>insert into ins_premium_det (premium_rcv_code,assorted_code, rec_amount,premium_rcv_detail_code,remaining_amt, payrec, mode_code,coinsurance_code,class_cd,it_remarks) values('22Aug240008','070000163231','47000',(select max(to_number(i.premium_rcv_detail_code))+1
from ins_premium_det i),'47000','47000','02', '11000003','00','Request by Mr. Reheel Malik 22-Aug-2024 Fresh');</v>
      </c>
    </row>
    <row r="24" spans="1:8" ht="60" x14ac:dyDescent="0.25">
      <c r="A24" s="29" t="s">
        <v>233</v>
      </c>
      <c r="B24" s="48" t="str">
        <f>VLOOKUP(A24,[1]Sheet1!$B$2:$C$60,2,0)</f>
        <v>070000163233</v>
      </c>
      <c r="C24" s="30">
        <v>49000</v>
      </c>
      <c r="D24" s="49">
        <f t="shared" si="1"/>
        <v>49000</v>
      </c>
      <c r="E24" s="50" t="s">
        <v>1785</v>
      </c>
      <c r="F24" s="51" t="str">
        <f t="shared" si="0"/>
        <v>insert into ins_premium_det (premium_rcv_code,assorted_code, rec_amount,premium_rcv_detail_code,remaining_amt, payrec, mode_code,coinsurance_code,class_cd,it_remarks) values</v>
      </c>
      <c r="G24" s="52" t="str">
        <f t="shared" si="2"/>
        <v>('22Aug240008','070000163233','49000',(select max(to_number(i.premium_rcv_detail_code))+1
from ins_premium_det i),'49000','49000','02', '11000003','00','Request by Mr. Reheel Malik 22-Aug-2024 Fresh');</v>
      </c>
      <c r="H24" s="53" t="str">
        <f t="shared" si="3"/>
        <v>insert into ins_premium_det (premium_rcv_code,assorted_code, rec_amount,premium_rcv_detail_code,remaining_amt, payrec, mode_code,coinsurance_code,class_cd,it_remarks) values('22Aug240008','070000163233','49000',(select max(to_number(i.premium_rcv_detail_code))+1
from ins_premium_det i),'49000','49000','02', '11000003','00','Request by Mr. Reheel Malik 22-Aug-2024 Fresh');</v>
      </c>
    </row>
    <row r="25" spans="1:8" ht="60" x14ac:dyDescent="0.25">
      <c r="A25" s="29" t="s">
        <v>240</v>
      </c>
      <c r="B25" s="48" t="str">
        <f>VLOOKUP(A25,[1]Sheet1!$B$2:$C$60,2,0)</f>
        <v>070000163235</v>
      </c>
      <c r="C25" s="30">
        <v>27000</v>
      </c>
      <c r="D25" s="49">
        <f t="shared" si="1"/>
        <v>27000</v>
      </c>
      <c r="E25" s="50" t="s">
        <v>1785</v>
      </c>
      <c r="F25" s="51" t="str">
        <f t="shared" si="0"/>
        <v>insert into ins_premium_det (premium_rcv_code,assorted_code, rec_amount,premium_rcv_detail_code,remaining_amt, payrec, mode_code,coinsurance_code,class_cd,it_remarks) values</v>
      </c>
      <c r="G25" s="52" t="str">
        <f t="shared" si="2"/>
        <v>('22Aug240008','070000163235','27000',(select max(to_number(i.premium_rcv_detail_code))+1
from ins_premium_det i),'27000','27000','02', '11000003','00','Request by Mr. Reheel Malik 22-Aug-2024 Fresh');</v>
      </c>
      <c r="H25" s="53" t="str">
        <f t="shared" si="3"/>
        <v>insert into ins_premium_det (premium_rcv_code,assorted_code, rec_amount,premium_rcv_detail_code,remaining_amt, payrec, mode_code,coinsurance_code,class_cd,it_remarks) values('22Aug240008','070000163235','27000',(select max(to_number(i.premium_rcv_detail_code))+1
from ins_premium_det i),'27000','27000','02', '11000003','00','Request by Mr. Reheel Malik 22-Aug-2024 Fresh');</v>
      </c>
    </row>
    <row r="26" spans="1:8" ht="60" x14ac:dyDescent="0.25">
      <c r="A26" s="29" t="s">
        <v>247</v>
      </c>
      <c r="B26" s="48" t="str">
        <f>VLOOKUP(A26,[1]Sheet1!$B$2:$C$60,2,0)</f>
        <v>070000163236</v>
      </c>
      <c r="C26" s="30">
        <v>55200</v>
      </c>
      <c r="D26" s="49">
        <f t="shared" si="1"/>
        <v>55200</v>
      </c>
      <c r="E26" s="50" t="s">
        <v>1785</v>
      </c>
      <c r="F26" s="51" t="str">
        <f t="shared" si="0"/>
        <v>insert into ins_premium_det (premium_rcv_code,assorted_code, rec_amount,premium_rcv_detail_code,remaining_amt, payrec, mode_code,coinsurance_code,class_cd,it_remarks) values</v>
      </c>
      <c r="G26" s="52" t="str">
        <f t="shared" si="2"/>
        <v>('22Aug240008','070000163236','55200',(select max(to_number(i.premium_rcv_detail_code))+1
from ins_premium_det i),'55200','55200','02', '11000003','00','Request by Mr. Reheel Malik 22-Aug-2024 Fresh');</v>
      </c>
      <c r="H26" s="53" t="str">
        <f t="shared" si="3"/>
        <v>insert into ins_premium_det (premium_rcv_code,assorted_code, rec_amount,premium_rcv_detail_code,remaining_amt, payrec, mode_code,coinsurance_code,class_cd,it_remarks) values('22Aug240008','070000163236','55200',(select max(to_number(i.premium_rcv_detail_code))+1
from ins_premium_det i),'55200','55200','02', '11000003','00','Request by Mr. Reheel Malik 22-Aug-2024 Fresh');</v>
      </c>
    </row>
    <row r="27" spans="1:8" ht="60" x14ac:dyDescent="0.25">
      <c r="A27" s="29" t="s">
        <v>255</v>
      </c>
      <c r="B27" s="48" t="str">
        <f>VLOOKUP(A27,[1]Sheet1!$B$2:$C$60,2,0)</f>
        <v>070000163237</v>
      </c>
      <c r="C27" s="30">
        <v>78000</v>
      </c>
      <c r="D27" s="49">
        <f t="shared" si="1"/>
        <v>78000</v>
      </c>
      <c r="E27" s="50" t="s">
        <v>1785</v>
      </c>
      <c r="F27" s="51" t="str">
        <f t="shared" si="0"/>
        <v>insert into ins_premium_det (premium_rcv_code,assorted_code, rec_amount,premium_rcv_detail_code,remaining_amt, payrec, mode_code,coinsurance_code,class_cd,it_remarks) values</v>
      </c>
      <c r="G27" s="52" t="str">
        <f t="shared" si="2"/>
        <v>('22Aug240008','070000163237','78000',(select max(to_number(i.premium_rcv_detail_code))+1
from ins_premium_det i),'78000','78000','02', '11000003','00','Request by Mr. Reheel Malik 22-Aug-2024 Fresh');</v>
      </c>
      <c r="H27" s="53" t="str">
        <f t="shared" si="3"/>
        <v>insert into ins_premium_det (premium_rcv_code,assorted_code, rec_amount,premium_rcv_detail_code,remaining_amt, payrec, mode_code,coinsurance_code,class_cd,it_remarks) values('22Aug240008','070000163237','78000',(select max(to_number(i.premium_rcv_detail_code))+1
from ins_premium_det i),'78000','78000','02', '11000003','00','Request by Mr. Reheel Malik 22-Aug-2024 Fresh');</v>
      </c>
    </row>
    <row r="28" spans="1:8" ht="60" x14ac:dyDescent="0.25">
      <c r="A28" s="29" t="s">
        <v>262</v>
      </c>
      <c r="B28" s="48" t="str">
        <f>VLOOKUP(A28,[1]Sheet1!$B$2:$C$60,2,0)</f>
        <v>070000163238</v>
      </c>
      <c r="C28" s="30">
        <v>42000</v>
      </c>
      <c r="D28" s="49">
        <f t="shared" si="1"/>
        <v>42000</v>
      </c>
      <c r="E28" s="50" t="s">
        <v>1785</v>
      </c>
      <c r="F28" s="51" t="str">
        <f t="shared" si="0"/>
        <v>insert into ins_premium_det (premium_rcv_code,assorted_code, rec_amount,premium_rcv_detail_code,remaining_amt, payrec, mode_code,coinsurance_code,class_cd,it_remarks) values</v>
      </c>
      <c r="G28" s="52" t="str">
        <f t="shared" si="2"/>
        <v>('22Aug240008','070000163238','42000',(select max(to_number(i.premium_rcv_detail_code))+1
from ins_premium_det i),'42000','42000','02', '11000003','00','Request by Mr. Reheel Malik 22-Aug-2024 Fresh');</v>
      </c>
      <c r="H28" s="53" t="str">
        <f t="shared" si="3"/>
        <v>insert into ins_premium_det (premium_rcv_code,assorted_code, rec_amount,premium_rcv_detail_code,remaining_amt, payrec, mode_code,coinsurance_code,class_cd,it_remarks) values('22Aug240008','070000163238','42000',(select max(to_number(i.premium_rcv_detail_code))+1
from ins_premium_det i),'42000','42000','02', '11000003','00','Request by Mr. Reheel Malik 22-Aug-2024 Fresh');</v>
      </c>
    </row>
    <row r="29" spans="1:8" ht="60" x14ac:dyDescent="0.25">
      <c r="A29" s="29" t="s">
        <v>269</v>
      </c>
      <c r="B29" s="48" t="str">
        <f>VLOOKUP(A29,[1]Sheet1!$B$2:$C$60,2,0)</f>
        <v>070000163244</v>
      </c>
      <c r="C29" s="30">
        <v>90000</v>
      </c>
      <c r="D29" s="49">
        <f t="shared" si="1"/>
        <v>90000</v>
      </c>
      <c r="E29" s="50" t="s">
        <v>1785</v>
      </c>
      <c r="F29" s="51" t="str">
        <f t="shared" si="0"/>
        <v>insert into ins_premium_det (premium_rcv_code,assorted_code, rec_amount,premium_rcv_detail_code,remaining_amt, payrec, mode_code,coinsurance_code,class_cd,it_remarks) values</v>
      </c>
      <c r="G29" s="52" t="str">
        <f t="shared" si="2"/>
        <v>('22Aug240008','070000163244','90000',(select max(to_number(i.premium_rcv_detail_code))+1
from ins_premium_det i),'90000','90000','02', '11000003','00','Request by Mr. Reheel Malik 22-Aug-2024 Fresh');</v>
      </c>
      <c r="H29" s="53" t="str">
        <f t="shared" si="3"/>
        <v>insert into ins_premium_det (premium_rcv_code,assorted_code, rec_amount,premium_rcv_detail_code,remaining_amt, payrec, mode_code,coinsurance_code,class_cd,it_remarks) values('22Aug240008','070000163244','90000',(select max(to_number(i.premium_rcv_detail_code))+1
from ins_premium_det i),'90000','90000','02', '11000003','00','Request by Mr. Reheel Malik 22-Aug-2024 Fresh');</v>
      </c>
    </row>
    <row r="30" spans="1:8" ht="60" x14ac:dyDescent="0.25">
      <c r="A30" s="29" t="s">
        <v>277</v>
      </c>
      <c r="B30" s="48" t="str">
        <f>VLOOKUP(A30,[1]Sheet1!$B$2:$C$60,2,0)</f>
        <v>070000163264</v>
      </c>
      <c r="C30" s="30">
        <v>70785</v>
      </c>
      <c r="D30" s="49">
        <f t="shared" si="1"/>
        <v>70785</v>
      </c>
      <c r="E30" s="50" t="s">
        <v>1785</v>
      </c>
      <c r="F30" s="51" t="str">
        <f t="shared" si="0"/>
        <v>insert into ins_premium_det (premium_rcv_code,assorted_code, rec_amount,premium_rcv_detail_code,remaining_amt, payrec, mode_code,coinsurance_code,class_cd,it_remarks) values</v>
      </c>
      <c r="G30" s="52" t="str">
        <f t="shared" si="2"/>
        <v>('22Aug240008','070000163264','70785',(select max(to_number(i.premium_rcv_detail_code))+1
from ins_premium_det i),'70785','70785','02', '11000003','00','Request by Mr. Reheel Malik 22-Aug-2024 Fresh');</v>
      </c>
      <c r="H30" s="53" t="str">
        <f t="shared" si="3"/>
        <v>insert into ins_premium_det (premium_rcv_code,assorted_code, rec_amount,premium_rcv_detail_code,remaining_amt, payrec, mode_code,coinsurance_code,class_cd,it_remarks) values('22Aug240008','070000163264','70785',(select max(to_number(i.premium_rcv_detail_code))+1
from ins_premium_det i),'70785','70785','02', '11000003','00','Request by Mr. Reheel Malik 22-Aug-2024 Fresh');</v>
      </c>
    </row>
    <row r="31" spans="1:8" ht="60" x14ac:dyDescent="0.25">
      <c r="A31" s="29" t="s">
        <v>284</v>
      </c>
      <c r="B31" s="48" t="str">
        <f>VLOOKUP(A31,[1]Sheet1!$B$2:$C$60,2,0)</f>
        <v>070000163265</v>
      </c>
      <c r="C31" s="30">
        <v>100500</v>
      </c>
      <c r="D31" s="49">
        <f t="shared" si="1"/>
        <v>100500</v>
      </c>
      <c r="E31" s="50" t="s">
        <v>1785</v>
      </c>
      <c r="F31" s="51" t="str">
        <f t="shared" si="0"/>
        <v>insert into ins_premium_det (premium_rcv_code,assorted_code, rec_amount,premium_rcv_detail_code,remaining_amt, payrec, mode_code,coinsurance_code,class_cd,it_remarks) values</v>
      </c>
      <c r="G31" s="52" t="str">
        <f t="shared" si="2"/>
        <v>('22Aug240008','070000163265','100500',(select max(to_number(i.premium_rcv_detail_code))+1
from ins_premium_det i),'100500','100500','02', '11000003','00','Request by Mr. Reheel Malik 22-Aug-2024 Fresh');</v>
      </c>
      <c r="H31" s="53" t="str">
        <f t="shared" si="3"/>
        <v>insert into ins_premium_det (premium_rcv_code,assorted_code, rec_amount,premium_rcv_detail_code,remaining_amt, payrec, mode_code,coinsurance_code,class_cd,it_remarks) values('22Aug240008','070000163265','100500',(select max(to_number(i.premium_rcv_detail_code))+1
from ins_premium_det i),'100500','100500','02', '11000003','00','Request by Mr. Reheel Malik 22-Aug-2024 Fresh');</v>
      </c>
    </row>
    <row r="32" spans="1:8" ht="60" x14ac:dyDescent="0.25">
      <c r="A32" s="29" t="s">
        <v>292</v>
      </c>
      <c r="B32" s="48" t="str">
        <f>VLOOKUP(A32,[1]Sheet1!$B$2:$C$60,2,0)</f>
        <v>070000162200</v>
      </c>
      <c r="C32" s="30">
        <v>70785</v>
      </c>
      <c r="D32" s="49">
        <f t="shared" si="1"/>
        <v>70785</v>
      </c>
      <c r="E32" s="50" t="s">
        <v>1785</v>
      </c>
      <c r="F32" s="51" t="str">
        <f t="shared" si="0"/>
        <v>insert into ins_premium_det (premium_rcv_code,assorted_code, rec_amount,premium_rcv_detail_code,remaining_amt, payrec, mode_code,coinsurance_code,class_cd,it_remarks) values</v>
      </c>
      <c r="G32" s="52" t="str">
        <f t="shared" si="2"/>
        <v>('22Aug240008','070000162200','70785',(select max(to_number(i.premium_rcv_detail_code))+1
from ins_premium_det i),'70785','70785','02', '11000003','00','Request by Mr. Reheel Malik 22-Aug-2024 Fresh');</v>
      </c>
      <c r="H32" s="53" t="str">
        <f t="shared" si="3"/>
        <v>insert into ins_premium_det (premium_rcv_code,assorted_code, rec_amount,premium_rcv_detail_code,remaining_amt, payrec, mode_code,coinsurance_code,class_cd,it_remarks) values('22Aug240008','070000162200','70785',(select max(to_number(i.premium_rcv_detail_code))+1
from ins_premium_det i),'70785','70785','02', '11000003','00','Request by Mr. Reheel Malik 22-Aug-2024 Fresh');</v>
      </c>
    </row>
    <row r="33" spans="1:8" ht="60" x14ac:dyDescent="0.25">
      <c r="A33" s="29" t="s">
        <v>298</v>
      </c>
      <c r="B33" s="48" t="str">
        <f>VLOOKUP(A33,[1]Sheet1!$B$2:$C$60,2,0)</f>
        <v>070000163268</v>
      </c>
      <c r="C33" s="30">
        <v>71235</v>
      </c>
      <c r="D33" s="49">
        <f t="shared" si="1"/>
        <v>71235</v>
      </c>
      <c r="E33" s="50" t="s">
        <v>1785</v>
      </c>
      <c r="F33" s="51" t="str">
        <f t="shared" si="0"/>
        <v>insert into ins_premium_det (premium_rcv_code,assorted_code, rec_amount,premium_rcv_detail_code,remaining_amt, payrec, mode_code,coinsurance_code,class_cd,it_remarks) values</v>
      </c>
      <c r="G33" s="52" t="str">
        <f t="shared" si="2"/>
        <v>('22Aug240008','070000163268','71235',(select max(to_number(i.premium_rcv_detail_code))+1
from ins_premium_det i),'71235','71235','02', '11000003','00','Request by Mr. Reheel Malik 22-Aug-2024 Fresh');</v>
      </c>
      <c r="H33" s="53" t="str">
        <f t="shared" si="3"/>
        <v>insert into ins_premium_det (premium_rcv_code,assorted_code, rec_amount,premium_rcv_detail_code,remaining_amt, payrec, mode_code,coinsurance_code,class_cd,it_remarks) values('22Aug240008','070000163268','71235',(select max(to_number(i.premium_rcv_detail_code))+1
from ins_premium_det i),'71235','71235','02', '11000003','00','Request by Mr. Reheel Malik 22-Aug-2024 Fresh');</v>
      </c>
    </row>
    <row r="34" spans="1:8" ht="60" x14ac:dyDescent="0.25">
      <c r="A34" s="29" t="s">
        <v>304</v>
      </c>
      <c r="B34" s="48" t="str">
        <f>VLOOKUP(A34,[1]Sheet1!$B$2:$C$60,2,0)</f>
        <v>070000163274</v>
      </c>
      <c r="C34" s="30">
        <v>45600</v>
      </c>
      <c r="D34" s="49">
        <f t="shared" si="1"/>
        <v>45600</v>
      </c>
      <c r="E34" s="50" t="s">
        <v>1785</v>
      </c>
      <c r="F34" s="51" t="str">
        <f t="shared" si="0"/>
        <v>insert into ins_premium_det (premium_rcv_code,assorted_code, rec_amount,premium_rcv_detail_code,remaining_amt, payrec, mode_code,coinsurance_code,class_cd,it_remarks) values</v>
      </c>
      <c r="G34" s="52" t="str">
        <f t="shared" si="2"/>
        <v>('22Aug240008','070000163274','45600',(select max(to_number(i.premium_rcv_detail_code))+1
from ins_premium_det i),'45600','45600','02', '11000003','00','Request by Mr. Reheel Malik 22-Aug-2024 Fresh');</v>
      </c>
      <c r="H34" s="53" t="str">
        <f t="shared" si="3"/>
        <v>insert into ins_premium_det (premium_rcv_code,assorted_code, rec_amount,premium_rcv_detail_code,remaining_amt, payrec, mode_code,coinsurance_code,class_cd,it_remarks) values('22Aug240008','070000163274','45600',(select max(to_number(i.premium_rcv_detail_code))+1
from ins_premium_det i),'45600','45600','02', '11000003','00','Request by Mr. Reheel Malik 22-Aug-2024 Fresh');</v>
      </c>
    </row>
    <row r="35" spans="1:8" ht="60" x14ac:dyDescent="0.25">
      <c r="A35" s="29" t="s">
        <v>311</v>
      </c>
      <c r="B35" s="48" t="str">
        <f>VLOOKUP(A35,[1]Sheet1!$B$2:$C$60,2,0)</f>
        <v>070000163275</v>
      </c>
      <c r="C35" s="30">
        <v>81750</v>
      </c>
      <c r="D35" s="49">
        <f t="shared" si="1"/>
        <v>81750</v>
      </c>
      <c r="E35" s="50" t="s">
        <v>1785</v>
      </c>
      <c r="F35" s="51" t="str">
        <f t="shared" si="0"/>
        <v>insert into ins_premium_det (premium_rcv_code,assorted_code, rec_amount,premium_rcv_detail_code,remaining_amt, payrec, mode_code,coinsurance_code,class_cd,it_remarks) values</v>
      </c>
      <c r="G35" s="52" t="str">
        <f t="shared" si="2"/>
        <v>('22Aug240008','070000163275','81750',(select max(to_number(i.premium_rcv_detail_code))+1
from ins_premium_det i),'81750','81750','02', '11000003','00','Request by Mr. Reheel Malik 22-Aug-2024 Fresh');</v>
      </c>
      <c r="H35" s="53" t="str">
        <f t="shared" si="3"/>
        <v>insert into ins_premium_det (premium_rcv_code,assorted_code, rec_amount,premium_rcv_detail_code,remaining_amt, payrec, mode_code,coinsurance_code,class_cd,it_remarks) values('22Aug240008','070000163275','81750',(select max(to_number(i.premium_rcv_detail_code))+1
from ins_premium_det i),'81750','81750','02', '11000003','00','Request by Mr. Reheel Malik 22-Aug-2024 Fresh');</v>
      </c>
    </row>
    <row r="36" spans="1:8" ht="60" x14ac:dyDescent="0.25">
      <c r="A36" s="29" t="s">
        <v>318</v>
      </c>
      <c r="B36" s="48" t="str">
        <f>VLOOKUP(A36,[1]Sheet1!$B$2:$C$60,2,0)</f>
        <v>070000163276</v>
      </c>
      <c r="C36" s="30">
        <v>76500</v>
      </c>
      <c r="D36" s="49">
        <f t="shared" si="1"/>
        <v>76500</v>
      </c>
      <c r="E36" s="50" t="s">
        <v>1785</v>
      </c>
      <c r="F36" s="51" t="str">
        <f t="shared" si="0"/>
        <v>insert into ins_premium_det (premium_rcv_code,assorted_code, rec_amount,premium_rcv_detail_code,remaining_amt, payrec, mode_code,coinsurance_code,class_cd,it_remarks) values</v>
      </c>
      <c r="G36" s="52" t="str">
        <f t="shared" si="2"/>
        <v>('22Aug240008','070000163276','76500',(select max(to_number(i.premium_rcv_detail_code))+1
from ins_premium_det i),'76500','76500','02', '11000003','00','Request by Mr. Reheel Malik 22-Aug-2024 Fresh');</v>
      </c>
      <c r="H36" s="53" t="str">
        <f t="shared" si="3"/>
        <v>insert into ins_premium_det (premium_rcv_code,assorted_code, rec_amount,premium_rcv_detail_code,remaining_amt, payrec, mode_code,coinsurance_code,class_cd,it_remarks) values('22Aug240008','070000163276','76500',(select max(to_number(i.premium_rcv_detail_code))+1
from ins_premium_det i),'76500','76500','02', '11000003','00','Request by Mr. Reheel Malik 22-Aug-2024 Fresh');</v>
      </c>
    </row>
    <row r="37" spans="1:8" ht="60" x14ac:dyDescent="0.25">
      <c r="A37" s="29" t="s">
        <v>326</v>
      </c>
      <c r="B37" s="48" t="str">
        <f>VLOOKUP(A37,[1]Sheet1!$B$2:$C$60,2,0)</f>
        <v>070000163281</v>
      </c>
      <c r="C37" s="30">
        <v>73500</v>
      </c>
      <c r="D37" s="49">
        <f t="shared" si="1"/>
        <v>73500</v>
      </c>
      <c r="E37" s="50" t="s">
        <v>1785</v>
      </c>
      <c r="F37" s="51" t="str">
        <f t="shared" si="0"/>
        <v>insert into ins_premium_det (premium_rcv_code,assorted_code, rec_amount,premium_rcv_detail_code,remaining_amt, payrec, mode_code,coinsurance_code,class_cd,it_remarks) values</v>
      </c>
      <c r="G37" s="52" t="str">
        <f t="shared" si="2"/>
        <v>('22Aug240008','070000163281','73500',(select max(to_number(i.premium_rcv_detail_code))+1
from ins_premium_det i),'73500','73500','02', '11000003','00','Request by Mr. Reheel Malik 22-Aug-2024 Fresh');</v>
      </c>
      <c r="H37" s="53" t="str">
        <f t="shared" si="3"/>
        <v>insert into ins_premium_det (premium_rcv_code,assorted_code, rec_amount,premium_rcv_detail_code,remaining_amt, payrec, mode_code,coinsurance_code,class_cd,it_remarks) values('22Aug240008','070000163281','73500',(select max(to_number(i.premium_rcv_detail_code))+1
from ins_premium_det i),'73500','73500','02', '11000003','00','Request by Mr. Reheel Malik 22-Aug-2024 Fresh');</v>
      </c>
    </row>
    <row r="38" spans="1:8" ht="60" x14ac:dyDescent="0.25">
      <c r="A38" s="29" t="s">
        <v>331</v>
      </c>
      <c r="B38" s="48" t="str">
        <f>VLOOKUP(A38,[1]Sheet1!$B$2:$C$60,2,0)</f>
        <v>070000163283</v>
      </c>
      <c r="C38" s="30">
        <v>54000</v>
      </c>
      <c r="D38" s="49">
        <f t="shared" si="1"/>
        <v>54000</v>
      </c>
      <c r="E38" s="50" t="s">
        <v>1785</v>
      </c>
      <c r="F38" s="51" t="str">
        <f t="shared" si="0"/>
        <v>insert into ins_premium_det (premium_rcv_code,assorted_code, rec_amount,premium_rcv_detail_code,remaining_amt, payrec, mode_code,coinsurance_code,class_cd,it_remarks) values</v>
      </c>
      <c r="G38" s="52" t="str">
        <f t="shared" si="2"/>
        <v>('22Aug240008','070000163283','54000',(select max(to_number(i.premium_rcv_detail_code))+1
from ins_premium_det i),'54000','54000','02', '11000003','00','Request by Mr. Reheel Malik 22-Aug-2024 Fresh');</v>
      </c>
      <c r="H38" s="53" t="str">
        <f t="shared" si="3"/>
        <v>insert into ins_premium_det (premium_rcv_code,assorted_code, rec_amount,premium_rcv_detail_code,remaining_amt, payrec, mode_code,coinsurance_code,class_cd,it_remarks) values('22Aug240008','070000163283','54000',(select max(to_number(i.premium_rcv_detail_code))+1
from ins_premium_det i),'54000','54000','02', '11000003','00','Request by Mr. Reheel Malik 22-Aug-2024 Fresh');</v>
      </c>
    </row>
    <row r="39" spans="1:8" ht="60" x14ac:dyDescent="0.25">
      <c r="A39" s="29" t="s">
        <v>339</v>
      </c>
      <c r="B39" s="48" t="str">
        <f>VLOOKUP(A39,[1]Sheet1!$B$2:$C$60,2,0)</f>
        <v>070000163284</v>
      </c>
      <c r="C39" s="30">
        <v>38800</v>
      </c>
      <c r="D39" s="49">
        <f t="shared" si="1"/>
        <v>38800</v>
      </c>
      <c r="E39" s="50" t="s">
        <v>1785</v>
      </c>
      <c r="F39" s="51" t="str">
        <f t="shared" si="0"/>
        <v>insert into ins_premium_det (premium_rcv_code,assorted_code, rec_amount,premium_rcv_detail_code,remaining_amt, payrec, mode_code,coinsurance_code,class_cd,it_remarks) values</v>
      </c>
      <c r="G39" s="52" t="str">
        <f t="shared" si="2"/>
        <v>('22Aug240008','070000163284','38800',(select max(to_number(i.premium_rcv_detail_code))+1
from ins_premium_det i),'38800','38800','02', '11000003','00','Request by Mr. Reheel Malik 22-Aug-2024 Fresh');</v>
      </c>
      <c r="H39" s="53" t="str">
        <f t="shared" si="3"/>
        <v>insert into ins_premium_det (premium_rcv_code,assorted_code, rec_amount,premium_rcv_detail_code,remaining_amt, payrec, mode_code,coinsurance_code,class_cd,it_remarks) values('22Aug240008','070000163284','38800',(select max(to_number(i.premium_rcv_detail_code))+1
from ins_premium_det i),'38800','38800','02', '11000003','00','Request by Mr. Reheel Malik 22-Aug-2024 Fresh');</v>
      </c>
    </row>
    <row r="40" spans="1:8" ht="60" x14ac:dyDescent="0.25">
      <c r="A40" s="29" t="s">
        <v>345</v>
      </c>
      <c r="B40" s="48" t="str">
        <f>VLOOKUP(A40,[1]Sheet1!$B$2:$C$60,2,0)</f>
        <v>070000163428</v>
      </c>
      <c r="C40" s="30">
        <v>81000</v>
      </c>
      <c r="D40" s="49">
        <f t="shared" si="1"/>
        <v>81000</v>
      </c>
      <c r="E40" s="50" t="s">
        <v>1785</v>
      </c>
      <c r="F40" s="51" t="str">
        <f t="shared" si="0"/>
        <v>insert into ins_premium_det (premium_rcv_code,assorted_code, rec_amount,premium_rcv_detail_code,remaining_amt, payrec, mode_code,coinsurance_code,class_cd,it_remarks) values</v>
      </c>
      <c r="G40" s="52" t="str">
        <f t="shared" si="2"/>
        <v>('22Aug240008','070000163428','81000',(select max(to_number(i.premium_rcv_detail_code))+1
from ins_premium_det i),'81000','81000','02', '11000003','00','Request by Mr. Reheel Malik 22-Aug-2024 Fresh');</v>
      </c>
      <c r="H40" s="53" t="str">
        <f t="shared" si="3"/>
        <v>insert into ins_premium_det (premium_rcv_code,assorted_code, rec_amount,premium_rcv_detail_code,remaining_amt, payrec, mode_code,coinsurance_code,class_cd,it_remarks) values('22Aug240008','070000163428','81000',(select max(to_number(i.premium_rcv_detail_code))+1
from ins_premium_det i),'81000','81000','02', '11000003','00','Request by Mr. Reheel Malik 22-Aug-2024 Fresh');</v>
      </c>
    </row>
    <row r="41" spans="1:8" ht="60" x14ac:dyDescent="0.25">
      <c r="A41" s="29" t="s">
        <v>352</v>
      </c>
      <c r="B41" s="48" t="str">
        <f>VLOOKUP(A41,[1]Sheet1!$B$2:$C$60,2,0)</f>
        <v>070000163435</v>
      </c>
      <c r="C41" s="30">
        <v>50000</v>
      </c>
      <c r="D41" s="49">
        <f t="shared" si="1"/>
        <v>50000</v>
      </c>
      <c r="E41" s="50" t="s">
        <v>1785</v>
      </c>
      <c r="F41" s="51" t="str">
        <f t="shared" si="0"/>
        <v>insert into ins_premium_det (premium_rcv_code,assorted_code, rec_amount,premium_rcv_detail_code,remaining_amt, payrec, mode_code,coinsurance_code,class_cd,it_remarks) values</v>
      </c>
      <c r="G41" s="52" t="str">
        <f t="shared" si="2"/>
        <v>('22Aug240008','070000163435','50000',(select max(to_number(i.premium_rcv_detail_code))+1
from ins_premium_det i),'50000','50000','02', '11000003','00','Request by Mr. Reheel Malik 22-Aug-2024 Fresh');</v>
      </c>
      <c r="H41" s="53" t="str">
        <f t="shared" si="3"/>
        <v>insert into ins_premium_det (premium_rcv_code,assorted_code, rec_amount,premium_rcv_detail_code,remaining_amt, payrec, mode_code,coinsurance_code,class_cd,it_remarks) values('22Aug240008','070000163435','50000',(select max(to_number(i.premium_rcv_detail_code))+1
from ins_premium_det i),'50000','50000','02', '11000003','00','Request by Mr. Reheel Malik 22-Aug-2024 Fresh');</v>
      </c>
    </row>
    <row r="42" spans="1:8" ht="60" x14ac:dyDescent="0.25">
      <c r="A42" s="29" t="s">
        <v>359</v>
      </c>
      <c r="B42" s="48" t="str">
        <f>VLOOKUP(A42,[1]Sheet1!$B$2:$C$60,2,0)</f>
        <v>070000163477</v>
      </c>
      <c r="C42" s="30">
        <v>49000</v>
      </c>
      <c r="D42" s="49">
        <f t="shared" si="1"/>
        <v>49000</v>
      </c>
      <c r="E42" s="50" t="s">
        <v>1785</v>
      </c>
      <c r="F42" s="51" t="str">
        <f t="shared" si="0"/>
        <v>insert into ins_premium_det (premium_rcv_code,assorted_code, rec_amount,premium_rcv_detail_code,remaining_amt, payrec, mode_code,coinsurance_code,class_cd,it_remarks) values</v>
      </c>
      <c r="G42" s="52" t="str">
        <f t="shared" si="2"/>
        <v>('22Aug240008','070000163477','49000',(select max(to_number(i.premium_rcv_detail_code))+1
from ins_premium_det i),'49000','49000','02', '11000003','00','Request by Mr. Reheel Malik 22-Aug-2024 Fresh');</v>
      </c>
      <c r="H42" s="53" t="str">
        <f t="shared" si="3"/>
        <v>insert into ins_premium_det (premium_rcv_code,assorted_code, rec_amount,premium_rcv_detail_code,remaining_amt, payrec, mode_code,coinsurance_code,class_cd,it_remarks) values('22Aug240008','070000163477','49000',(select max(to_number(i.premium_rcv_detail_code))+1
from ins_premium_det i),'49000','49000','02', '11000003','00','Request by Mr. Reheel Malik 22-Aug-2024 Fresh');</v>
      </c>
    </row>
    <row r="43" spans="1:8" ht="60" x14ac:dyDescent="0.25">
      <c r="A43" s="29" t="s">
        <v>366</v>
      </c>
      <c r="B43" s="48" t="str">
        <f>VLOOKUP(A43,[1]Sheet1!$B$2:$C$60,2,0)</f>
        <v>070000162211</v>
      </c>
      <c r="C43" s="30">
        <v>90000</v>
      </c>
      <c r="D43" s="49">
        <f t="shared" si="1"/>
        <v>90000</v>
      </c>
      <c r="E43" s="50" t="s">
        <v>1785</v>
      </c>
      <c r="F43" s="51" t="str">
        <f t="shared" si="0"/>
        <v>insert into ins_premium_det (premium_rcv_code,assorted_code, rec_amount,premium_rcv_detail_code,remaining_amt, payrec, mode_code,coinsurance_code,class_cd,it_remarks) values</v>
      </c>
      <c r="G43" s="52" t="str">
        <f t="shared" si="2"/>
        <v>('22Aug240008','070000162211','90000',(select max(to_number(i.premium_rcv_detail_code))+1
from ins_premium_det i),'90000','90000','02', '11000003','00','Request by Mr. Reheel Malik 22-Aug-2024 Fresh');</v>
      </c>
      <c r="H43" s="53" t="str">
        <f t="shared" si="3"/>
        <v>insert into ins_premium_det (premium_rcv_code,assorted_code, rec_amount,premium_rcv_detail_code,remaining_amt, payrec, mode_code,coinsurance_code,class_cd,it_remarks) values('22Aug240008','070000162211','90000',(select max(to_number(i.premium_rcv_detail_code))+1
from ins_premium_det i),'90000','90000','02', '11000003','00','Request by Mr. Reheel Malik 22-Aug-2024 Fresh');</v>
      </c>
    </row>
    <row r="44" spans="1:8" ht="60" x14ac:dyDescent="0.25">
      <c r="A44" s="29" t="s">
        <v>374</v>
      </c>
      <c r="B44" s="48" t="str">
        <f>VLOOKUP(A44,[1]Sheet1!$B$2:$C$60,2,0)</f>
        <v>070000163480</v>
      </c>
      <c r="C44" s="30">
        <v>78000</v>
      </c>
      <c r="D44" s="49">
        <f t="shared" si="1"/>
        <v>78000</v>
      </c>
      <c r="E44" s="50" t="s">
        <v>1785</v>
      </c>
      <c r="F44" s="51" t="str">
        <f t="shared" si="0"/>
        <v>insert into ins_premium_det (premium_rcv_code,assorted_code, rec_amount,premium_rcv_detail_code,remaining_amt, payrec, mode_code,coinsurance_code,class_cd,it_remarks) values</v>
      </c>
      <c r="G44" s="52" t="str">
        <f t="shared" si="2"/>
        <v>('22Aug240008','070000163480','78000',(select max(to_number(i.premium_rcv_detail_code))+1
from ins_premium_det i),'78000','78000','02', '11000003','00','Request by Mr. Reheel Malik 22-Aug-2024 Fresh');</v>
      </c>
      <c r="H44" s="53" t="str">
        <f t="shared" si="3"/>
        <v>insert into ins_premium_det (premium_rcv_code,assorted_code, rec_amount,premium_rcv_detail_code,remaining_amt, payrec, mode_code,coinsurance_code,class_cd,it_remarks) values('22Aug240008','070000163480','78000',(select max(to_number(i.premium_rcv_detail_code))+1
from ins_premium_det i),'78000','78000','02', '11000003','00','Request by Mr. Reheel Malik 22-Aug-2024 Fresh');</v>
      </c>
    </row>
    <row r="45" spans="1:8" ht="60" x14ac:dyDescent="0.25">
      <c r="A45" s="29" t="s">
        <v>382</v>
      </c>
      <c r="B45" s="48" t="str">
        <f>VLOOKUP(A45,[1]Sheet1!$B$2:$C$60,2,0)</f>
        <v>070000163495</v>
      </c>
      <c r="C45" s="30">
        <v>46000</v>
      </c>
      <c r="D45" s="49">
        <f t="shared" si="1"/>
        <v>46000</v>
      </c>
      <c r="E45" s="50" t="s">
        <v>1785</v>
      </c>
      <c r="F45" s="51" t="str">
        <f t="shared" si="0"/>
        <v>insert into ins_premium_det (premium_rcv_code,assorted_code, rec_amount,premium_rcv_detail_code,remaining_amt, payrec, mode_code,coinsurance_code,class_cd,it_remarks) values</v>
      </c>
      <c r="G45" s="52" t="str">
        <f t="shared" si="2"/>
        <v>('22Aug240008','070000163495','46000',(select max(to_number(i.premium_rcv_detail_code))+1
from ins_premium_det i),'46000','46000','02', '11000003','00','Request by Mr. Reheel Malik 22-Aug-2024 Fresh');</v>
      </c>
      <c r="H45" s="53" t="str">
        <f t="shared" si="3"/>
        <v>insert into ins_premium_det (premium_rcv_code,assorted_code, rec_amount,premium_rcv_detail_code,remaining_amt, payrec, mode_code,coinsurance_code,class_cd,it_remarks) values('22Aug240008','070000163495','46000',(select max(to_number(i.premium_rcv_detail_code))+1
from ins_premium_det i),'46000','46000','02', '11000003','00','Request by Mr. Reheel Malik 22-Aug-2024 Fresh');</v>
      </c>
    </row>
    <row r="46" spans="1:8" ht="60" x14ac:dyDescent="0.25">
      <c r="A46" s="29" t="s">
        <v>389</v>
      </c>
      <c r="B46" s="48" t="str">
        <f>VLOOKUP(A46,[1]Sheet1!$B$2:$C$60,2,0)</f>
        <v>070000163496</v>
      </c>
      <c r="C46" s="30">
        <v>57880</v>
      </c>
      <c r="D46" s="49">
        <f t="shared" si="1"/>
        <v>57880</v>
      </c>
      <c r="E46" s="50" t="s">
        <v>1785</v>
      </c>
      <c r="F46" s="51" t="str">
        <f t="shared" si="0"/>
        <v>insert into ins_premium_det (premium_rcv_code,assorted_code, rec_amount,premium_rcv_detail_code,remaining_amt, payrec, mode_code,coinsurance_code,class_cd,it_remarks) values</v>
      </c>
      <c r="G46" s="52" t="str">
        <f t="shared" si="2"/>
        <v>('22Aug240008','070000163496','57880',(select max(to_number(i.premium_rcv_detail_code))+1
from ins_premium_det i),'57880','57880','02', '11000003','00','Request by Mr. Reheel Malik 22-Aug-2024 Fresh');</v>
      </c>
      <c r="H46" s="53" t="str">
        <f t="shared" si="3"/>
        <v>insert into ins_premium_det (premium_rcv_code,assorted_code, rec_amount,premium_rcv_detail_code,remaining_amt, payrec, mode_code,coinsurance_code,class_cd,it_remarks) values('22Aug240008','070000163496','57880',(select max(to_number(i.premium_rcv_detail_code))+1
from ins_premium_det i),'57880','57880','02', '11000003','00','Request by Mr. Reheel Malik 22-Aug-2024 Fresh');</v>
      </c>
    </row>
    <row r="47" spans="1:8" ht="60" x14ac:dyDescent="0.25">
      <c r="A47" s="29" t="s">
        <v>396</v>
      </c>
      <c r="B47" s="48" t="str">
        <f>VLOOKUP(A47,[1]Sheet1!$B$2:$C$60,2,0)</f>
        <v>070000163510</v>
      </c>
      <c r="C47" s="30">
        <v>56000</v>
      </c>
      <c r="D47" s="49">
        <f t="shared" si="1"/>
        <v>56000</v>
      </c>
      <c r="E47" s="50" t="s">
        <v>1785</v>
      </c>
      <c r="F47" s="51" t="str">
        <f t="shared" si="0"/>
        <v>insert into ins_premium_det (premium_rcv_code,assorted_code, rec_amount,premium_rcv_detail_code,remaining_amt, payrec, mode_code,coinsurance_code,class_cd,it_remarks) values</v>
      </c>
      <c r="G47" s="52" t="str">
        <f t="shared" si="2"/>
        <v>('22Aug240008','070000163510','56000',(select max(to_number(i.premium_rcv_detail_code))+1
from ins_premium_det i),'56000','56000','02', '11000003','00','Request by Mr. Reheel Malik 22-Aug-2024 Fresh');</v>
      </c>
      <c r="H47" s="53" t="str">
        <f t="shared" si="3"/>
        <v>insert into ins_premium_det (premium_rcv_code,assorted_code, rec_amount,premium_rcv_detail_code,remaining_amt, payrec, mode_code,coinsurance_code,class_cd,it_remarks) values('22Aug240008','070000163510','56000',(select max(to_number(i.premium_rcv_detail_code))+1
from ins_premium_det i),'56000','56000','02', '11000003','00','Request by Mr. Reheel Malik 22-Aug-2024 Fresh');</v>
      </c>
    </row>
    <row r="48" spans="1:8" ht="60" x14ac:dyDescent="0.25">
      <c r="A48" s="29" t="s">
        <v>403</v>
      </c>
      <c r="B48" s="48" t="str">
        <f>VLOOKUP(A48,[1]Sheet1!$B$2:$C$60,2,0)</f>
        <v>070000163517</v>
      </c>
      <c r="C48" s="30">
        <v>52000</v>
      </c>
      <c r="D48" s="49">
        <f t="shared" si="1"/>
        <v>52000</v>
      </c>
      <c r="E48" s="50" t="s">
        <v>1785</v>
      </c>
      <c r="F48" s="51" t="str">
        <f t="shared" si="0"/>
        <v>insert into ins_premium_det (premium_rcv_code,assorted_code, rec_amount,premium_rcv_detail_code,remaining_amt, payrec, mode_code,coinsurance_code,class_cd,it_remarks) values</v>
      </c>
      <c r="G48" s="52" t="str">
        <f t="shared" si="2"/>
        <v>('22Aug240008','070000163517','52000',(select max(to_number(i.premium_rcv_detail_code))+1
from ins_premium_det i),'52000','52000','02', '11000003','00','Request by Mr. Reheel Malik 22-Aug-2024 Fresh');</v>
      </c>
      <c r="H48" s="53" t="str">
        <f t="shared" si="3"/>
        <v>insert into ins_premium_det (premium_rcv_code,assorted_code, rec_amount,premium_rcv_detail_code,remaining_amt, payrec, mode_code,coinsurance_code,class_cd,it_remarks) values('22Aug240008','070000163517','52000',(select max(to_number(i.premium_rcv_detail_code))+1
from ins_premium_det i),'52000','52000','02', '11000003','00','Request by Mr. Reheel Malik 22-Aug-2024 Fresh');</v>
      </c>
    </row>
    <row r="49" spans="1:8" ht="60" x14ac:dyDescent="0.25">
      <c r="A49" s="29" t="s">
        <v>411</v>
      </c>
      <c r="B49" s="48" t="str">
        <f>VLOOKUP(A49,[1]Sheet1!$B$2:$C$60,2,0)</f>
        <v>070000163518</v>
      </c>
      <c r="C49" s="30">
        <v>46000</v>
      </c>
      <c r="D49" s="49">
        <f t="shared" si="1"/>
        <v>46000</v>
      </c>
      <c r="E49" s="50" t="s">
        <v>1785</v>
      </c>
      <c r="F49" s="51" t="str">
        <f t="shared" si="0"/>
        <v>insert into ins_premium_det (premium_rcv_code,assorted_code, rec_amount,premium_rcv_detail_code,remaining_amt, payrec, mode_code,coinsurance_code,class_cd,it_remarks) values</v>
      </c>
      <c r="G49" s="52" t="str">
        <f t="shared" si="2"/>
        <v>('22Aug240008','070000163518','46000',(select max(to_number(i.premium_rcv_detail_code))+1
from ins_premium_det i),'46000','46000','02', '11000003','00','Request by Mr. Reheel Malik 22-Aug-2024 Fresh');</v>
      </c>
      <c r="H49" s="53" t="str">
        <f t="shared" si="3"/>
        <v>insert into ins_premium_det (premium_rcv_code,assorted_code, rec_amount,premium_rcv_detail_code,remaining_amt, payrec, mode_code,coinsurance_code,class_cd,it_remarks) values('22Aug240008','070000163518','46000',(select max(to_number(i.premium_rcv_detail_code))+1
from ins_premium_det i),'46000','46000','02', '11000003','00','Request by Mr. Reheel Malik 22-Aug-2024 Fresh');</v>
      </c>
    </row>
    <row r="50" spans="1:8" ht="60" x14ac:dyDescent="0.25">
      <c r="A50" s="29" t="s">
        <v>419</v>
      </c>
      <c r="B50" s="48" t="str">
        <f>VLOOKUP(A50,[1]Sheet1!$B$2:$C$60,2,0)</f>
        <v>070000163519</v>
      </c>
      <c r="C50" s="30">
        <v>50500</v>
      </c>
      <c r="D50" s="49">
        <f t="shared" si="1"/>
        <v>50500</v>
      </c>
      <c r="E50" s="50" t="s">
        <v>1785</v>
      </c>
      <c r="F50" s="51" t="str">
        <f t="shared" si="0"/>
        <v>insert into ins_premium_det (premium_rcv_code,assorted_code, rec_amount,premium_rcv_detail_code,remaining_amt, payrec, mode_code,coinsurance_code,class_cd,it_remarks) values</v>
      </c>
      <c r="G50" s="52" t="str">
        <f t="shared" si="2"/>
        <v>('22Aug240008','070000163519','50500',(select max(to_number(i.premium_rcv_detail_code))+1
from ins_premium_det i),'50500','50500','02', '11000003','00','Request by Mr. Reheel Malik 22-Aug-2024 Fresh');</v>
      </c>
      <c r="H50" s="53" t="str">
        <f t="shared" si="3"/>
        <v>insert into ins_premium_det (premium_rcv_code,assorted_code, rec_amount,premium_rcv_detail_code,remaining_amt, payrec, mode_code,coinsurance_code,class_cd,it_remarks) values('22Aug240008','070000163519','50500',(select max(to_number(i.premium_rcv_detail_code))+1
from ins_premium_det i),'50500','50500','02', '11000003','00','Request by Mr. Reheel Malik 22-Aug-2024 Fresh');</v>
      </c>
    </row>
    <row r="51" spans="1:8" ht="60" x14ac:dyDescent="0.25">
      <c r="A51" s="29" t="s">
        <v>426</v>
      </c>
      <c r="B51" s="48" t="str">
        <f>VLOOKUP(A51,[1]Sheet1!$B$2:$C$60,2,0)</f>
        <v>070000163524</v>
      </c>
      <c r="C51" s="30">
        <v>60750</v>
      </c>
      <c r="D51" s="49">
        <f t="shared" si="1"/>
        <v>60750</v>
      </c>
      <c r="E51" s="50" t="s">
        <v>1785</v>
      </c>
      <c r="F51" s="51" t="str">
        <f t="shared" si="0"/>
        <v>insert into ins_premium_det (premium_rcv_code,assorted_code, rec_amount,premium_rcv_detail_code,remaining_amt, payrec, mode_code,coinsurance_code,class_cd,it_remarks) values</v>
      </c>
      <c r="G51" s="52" t="str">
        <f t="shared" si="2"/>
        <v>('22Aug240008','070000163524','60750',(select max(to_number(i.premium_rcv_detail_code))+1
from ins_premium_det i),'60750','60750','02', '11000003','00','Request by Mr. Reheel Malik 22-Aug-2024 Fresh');</v>
      </c>
      <c r="H51" s="53" t="str">
        <f t="shared" si="3"/>
        <v>insert into ins_premium_det (premium_rcv_code,assorted_code, rec_amount,premium_rcv_detail_code,remaining_amt, payrec, mode_code,coinsurance_code,class_cd,it_remarks) values('22Aug240008','070000163524','60750',(select max(to_number(i.premium_rcv_detail_code))+1
from ins_premium_det i),'60750','60750','02', '11000003','00','Request by Mr. Reheel Malik 22-Aug-2024 Fresh');</v>
      </c>
    </row>
    <row r="52" spans="1:8" ht="60" x14ac:dyDescent="0.25">
      <c r="A52" s="29" t="s">
        <v>432</v>
      </c>
      <c r="B52" s="48" t="str">
        <f>VLOOKUP(A52,[1]Sheet1!$B$2:$C$60,2,0)</f>
        <v>070000163525</v>
      </c>
      <c r="C52" s="30">
        <v>56000</v>
      </c>
      <c r="D52" s="49">
        <f t="shared" si="1"/>
        <v>56000</v>
      </c>
      <c r="E52" s="50" t="s">
        <v>1785</v>
      </c>
      <c r="F52" s="51" t="str">
        <f t="shared" si="0"/>
        <v>insert into ins_premium_det (premium_rcv_code,assorted_code, rec_amount,premium_rcv_detail_code,remaining_amt, payrec, mode_code,coinsurance_code,class_cd,it_remarks) values</v>
      </c>
      <c r="G52" s="52" t="str">
        <f t="shared" si="2"/>
        <v>('22Aug240008','070000163525','56000',(select max(to_number(i.premium_rcv_detail_code))+1
from ins_premium_det i),'56000','56000','02', '11000003','00','Request by Mr. Reheel Malik 22-Aug-2024 Fresh');</v>
      </c>
      <c r="H52" s="53" t="str">
        <f t="shared" si="3"/>
        <v>insert into ins_premium_det (premium_rcv_code,assorted_code, rec_amount,premium_rcv_detail_code,remaining_amt, payrec, mode_code,coinsurance_code,class_cd,it_remarks) values('22Aug240008','070000163525','56000',(select max(to_number(i.premium_rcv_detail_code))+1
from ins_premium_det i),'56000','56000','02', '11000003','00','Request by Mr. Reheel Malik 22-Aug-2024 Fresh');</v>
      </c>
    </row>
    <row r="53" spans="1:8" ht="60" x14ac:dyDescent="0.25">
      <c r="A53" s="29" t="s">
        <v>440</v>
      </c>
      <c r="B53" s="48" t="str">
        <f>VLOOKUP(A53,[1]Sheet1!$B$2:$C$60,2,0)</f>
        <v>070000163526</v>
      </c>
      <c r="C53" s="30">
        <v>82500</v>
      </c>
      <c r="D53" s="49">
        <f t="shared" si="1"/>
        <v>82500</v>
      </c>
      <c r="E53" s="50" t="s">
        <v>1785</v>
      </c>
      <c r="F53" s="51" t="str">
        <f t="shared" si="0"/>
        <v>insert into ins_premium_det (premium_rcv_code,assorted_code, rec_amount,premium_rcv_detail_code,remaining_amt, payrec, mode_code,coinsurance_code,class_cd,it_remarks) values</v>
      </c>
      <c r="G53" s="52" t="str">
        <f t="shared" si="2"/>
        <v>('22Aug240008','070000163526','82500',(select max(to_number(i.premium_rcv_detail_code))+1
from ins_premium_det i),'82500','82500','02', '11000003','00','Request by Mr. Reheel Malik 22-Aug-2024 Fresh');</v>
      </c>
      <c r="H53" s="53" t="str">
        <f t="shared" si="3"/>
        <v>insert into ins_premium_det (premium_rcv_code,assorted_code, rec_amount,premium_rcv_detail_code,remaining_amt, payrec, mode_code,coinsurance_code,class_cd,it_remarks) values('22Aug240008','070000163526','82500',(select max(to_number(i.premium_rcv_detail_code))+1
from ins_premium_det i),'82500','82500','02', '11000003','00','Request by Mr. Reheel Malik 22-Aug-2024 Fresh');</v>
      </c>
    </row>
    <row r="54" spans="1:8" ht="60" x14ac:dyDescent="0.25">
      <c r="A54" s="29" t="s">
        <v>447</v>
      </c>
      <c r="B54" s="48" t="str">
        <f>VLOOKUP(A54,[1]Sheet1!$B$2:$C$60,2,0)</f>
        <v>070000162215</v>
      </c>
      <c r="C54" s="30">
        <v>90000</v>
      </c>
      <c r="D54" s="49">
        <f t="shared" si="1"/>
        <v>90000</v>
      </c>
      <c r="E54" s="50" t="s">
        <v>1785</v>
      </c>
      <c r="F54" s="51" t="str">
        <f t="shared" si="0"/>
        <v>insert into ins_premium_det (premium_rcv_code,assorted_code, rec_amount,premium_rcv_detail_code,remaining_amt, payrec, mode_code,coinsurance_code,class_cd,it_remarks) values</v>
      </c>
      <c r="G54" s="52" t="str">
        <f t="shared" si="2"/>
        <v>('22Aug240008','070000162215','90000',(select max(to_number(i.premium_rcv_detail_code))+1
from ins_premium_det i),'90000','90000','02', '11000003','00','Request by Mr. Reheel Malik 22-Aug-2024 Fresh');</v>
      </c>
      <c r="H54" s="53" t="str">
        <f t="shared" si="3"/>
        <v>insert into ins_premium_det (premium_rcv_code,assorted_code, rec_amount,premium_rcv_detail_code,remaining_amt, payrec, mode_code,coinsurance_code,class_cd,it_remarks) values('22Aug240008','070000162215','90000',(select max(to_number(i.premium_rcv_detail_code))+1
from ins_premium_det i),'90000','90000','02', '11000003','00','Request by Mr. Reheel Malik 22-Aug-2024 Fresh');</v>
      </c>
    </row>
    <row r="55" spans="1:8" ht="60" x14ac:dyDescent="0.25">
      <c r="A55" s="29" t="s">
        <v>455</v>
      </c>
      <c r="B55" s="48" t="str">
        <f>VLOOKUP(A55,[1]Sheet1!$B$2:$C$60,2,0)</f>
        <v>070000163527</v>
      </c>
      <c r="C55" s="30">
        <v>61500</v>
      </c>
      <c r="D55" s="49">
        <f t="shared" si="1"/>
        <v>61500</v>
      </c>
      <c r="E55" s="50" t="s">
        <v>1785</v>
      </c>
      <c r="F55" s="51" t="str">
        <f t="shared" si="0"/>
        <v>insert into ins_premium_det (premium_rcv_code,assorted_code, rec_amount,premium_rcv_detail_code,remaining_amt, payrec, mode_code,coinsurance_code,class_cd,it_remarks) values</v>
      </c>
      <c r="G55" s="52" t="str">
        <f t="shared" si="2"/>
        <v>('22Aug240008','070000163527','61500',(select max(to_number(i.premium_rcv_detail_code))+1
from ins_premium_det i),'61500','61500','02', '11000003','00','Request by Mr. Reheel Malik 22-Aug-2024 Fresh');</v>
      </c>
      <c r="H55" s="53" t="str">
        <f t="shared" si="3"/>
        <v>insert into ins_premium_det (premium_rcv_code,assorted_code, rec_amount,premium_rcv_detail_code,remaining_amt, payrec, mode_code,coinsurance_code,class_cd,it_remarks) values('22Aug240008','070000163527','61500',(select max(to_number(i.premium_rcv_detail_code))+1
from ins_premium_det i),'61500','61500','02', '11000003','00','Request by Mr. Reheel Malik 22-Aug-2024 Fresh');</v>
      </c>
    </row>
    <row r="56" spans="1:8" ht="60" x14ac:dyDescent="0.25">
      <c r="A56" s="29" t="s">
        <v>462</v>
      </c>
      <c r="B56" s="48" t="str">
        <f>VLOOKUP(A56,[1]Sheet1!$B$2:$C$60,2,0)</f>
        <v>070000163556</v>
      </c>
      <c r="C56" s="30">
        <v>75000</v>
      </c>
      <c r="D56" s="49">
        <f t="shared" si="1"/>
        <v>75000</v>
      </c>
      <c r="E56" s="50" t="s">
        <v>1785</v>
      </c>
      <c r="F56" s="51" t="str">
        <f t="shared" si="0"/>
        <v>insert into ins_premium_det (premium_rcv_code,assorted_code, rec_amount,premium_rcv_detail_code,remaining_amt, payrec, mode_code,coinsurance_code,class_cd,it_remarks) values</v>
      </c>
      <c r="G56" s="52" t="str">
        <f t="shared" si="2"/>
        <v>('22Aug240008','070000163556','75000',(select max(to_number(i.premium_rcv_detail_code))+1
from ins_premium_det i),'75000','75000','02', '11000003','00','Request by Mr. Reheel Malik 22-Aug-2024 Fresh');</v>
      </c>
      <c r="H56" s="53" t="str">
        <f t="shared" si="3"/>
        <v>insert into ins_premium_det (premium_rcv_code,assorted_code, rec_amount,premium_rcv_detail_code,remaining_amt, payrec, mode_code,coinsurance_code,class_cd,it_remarks) values('22Aug240008','070000163556','75000',(select max(to_number(i.premium_rcv_detail_code))+1
from ins_premium_det i),'75000','75000','02', '11000003','00','Request by Mr. Reheel Malik 22-Aug-2024 Fresh');</v>
      </c>
    </row>
    <row r="57" spans="1:8" ht="60" x14ac:dyDescent="0.25">
      <c r="A57" s="29" t="s">
        <v>468</v>
      </c>
      <c r="B57" s="48" t="str">
        <f>VLOOKUP(A57,[1]Sheet1!$B$2:$C$60,2,0)</f>
        <v>070000162219</v>
      </c>
      <c r="C57" s="30">
        <v>44000</v>
      </c>
      <c r="D57" s="49">
        <f t="shared" si="1"/>
        <v>44000</v>
      </c>
      <c r="E57" s="50" t="s">
        <v>1785</v>
      </c>
      <c r="F57" s="51" t="str">
        <f t="shared" si="0"/>
        <v>insert into ins_premium_det (premium_rcv_code,assorted_code, rec_amount,premium_rcv_detail_code,remaining_amt, payrec, mode_code,coinsurance_code,class_cd,it_remarks) values</v>
      </c>
      <c r="G57" s="52" t="str">
        <f t="shared" si="2"/>
        <v>('22Aug240008','070000162219','44000',(select max(to_number(i.premium_rcv_detail_code))+1
from ins_premium_det i),'44000','44000','02', '11000003','00','Request by Mr. Reheel Malik 22-Aug-2024 Fresh');</v>
      </c>
      <c r="H57" s="53" t="str">
        <f t="shared" si="3"/>
        <v>insert into ins_premium_det (premium_rcv_code,assorted_code, rec_amount,premium_rcv_detail_code,remaining_amt, payrec, mode_code,coinsurance_code,class_cd,it_remarks) values('22Aug240008','070000162219','44000',(select max(to_number(i.premium_rcv_detail_code))+1
from ins_premium_det i),'44000','44000','02', '11000003','00','Request by Mr. Reheel Malik 22-Aug-2024 Fresh');</v>
      </c>
    </row>
    <row r="58" spans="1:8" ht="60" x14ac:dyDescent="0.25">
      <c r="A58" s="29" t="s">
        <v>57</v>
      </c>
      <c r="B58" s="48" t="str">
        <f>VLOOKUP(A58,[1]Sheet1!$B$2:$C$60,2,0)</f>
        <v>070000162226</v>
      </c>
      <c r="C58" s="30">
        <v>52500</v>
      </c>
      <c r="D58" s="49">
        <f t="shared" si="1"/>
        <v>52500</v>
      </c>
      <c r="E58" s="50" t="s">
        <v>1785</v>
      </c>
      <c r="F58" s="51" t="str">
        <f t="shared" si="0"/>
        <v>insert into ins_premium_det (premium_rcv_code,assorted_code, rec_amount,premium_rcv_detail_code,remaining_amt, payrec, mode_code,coinsurance_code,class_cd,it_remarks) values</v>
      </c>
      <c r="G58" s="52" t="str">
        <f t="shared" si="2"/>
        <v>('22Aug240008','070000162226','52500',(select max(to_number(i.premium_rcv_detail_code))+1
from ins_premium_det i),'52500','52500','02', '11000003','00','Request by Mr. Reheel Malik 22-Aug-2024 Fresh');</v>
      </c>
      <c r="H58" s="53" t="str">
        <f t="shared" si="3"/>
        <v>insert into ins_premium_det (premium_rcv_code,assorted_code, rec_amount,premium_rcv_detail_code,remaining_amt, payrec, mode_code,coinsurance_code,class_cd,it_remarks) values('22Aug240008','070000162226','52500',(select max(to_number(i.premium_rcv_detail_code))+1
from ins_premium_det i),'52500','52500','02', '11000003','00','Request by Mr. Reheel Malik 22-Aug-2024 Fresh');</v>
      </c>
    </row>
    <row r="59" spans="1:8" ht="60" x14ac:dyDescent="0.25">
      <c r="A59" s="29" t="s">
        <v>476</v>
      </c>
      <c r="B59" s="48" t="str">
        <f>VLOOKUP(A59,[1]Sheet1!$B$2:$C$60,2,0)</f>
        <v>070000162212</v>
      </c>
      <c r="C59" s="30">
        <v>37120</v>
      </c>
      <c r="D59" s="49">
        <f t="shared" si="1"/>
        <v>37120</v>
      </c>
      <c r="E59" s="50" t="s">
        <v>1785</v>
      </c>
      <c r="F59" s="51" t="str">
        <f t="shared" si="0"/>
        <v>insert into ins_premium_det (premium_rcv_code,assorted_code, rec_amount,premium_rcv_detail_code,remaining_amt, payrec, mode_code,coinsurance_code,class_cd,it_remarks) values</v>
      </c>
      <c r="G59" s="52" t="str">
        <f t="shared" si="2"/>
        <v>('22Aug240008','070000162212','37120',(select max(to_number(i.premium_rcv_detail_code))+1
from ins_premium_det i),'37120','37120','02', '11000003','00','Request by Mr. Reheel Malik 22-Aug-2024 Fresh');</v>
      </c>
      <c r="H59" s="53" t="str">
        <f t="shared" si="3"/>
        <v>insert into ins_premium_det (premium_rcv_code,assorted_code, rec_amount,premium_rcv_detail_code,remaining_amt, payrec, mode_code,coinsurance_code,class_cd,it_remarks) values('22Aug240008','070000162212','37120',(select max(to_number(i.premium_rcv_detail_code))+1
from ins_premium_det i),'37120','37120','02', '11000003','00','Request by Mr. Reheel Malik 22-Aug-2024 Fresh');</v>
      </c>
    </row>
    <row r="60" spans="1:8" ht="60" x14ac:dyDescent="0.25">
      <c r="A60" s="29" t="s">
        <v>483</v>
      </c>
      <c r="B60" s="48" t="str">
        <f>VLOOKUP(A60,[1]Sheet1!$B$2:$C$60,2,0)</f>
        <v>070000154999</v>
      </c>
      <c r="C60" s="30">
        <v>52000</v>
      </c>
      <c r="D60" s="49">
        <f t="shared" si="1"/>
        <v>52000</v>
      </c>
      <c r="E60" s="50" t="s">
        <v>1785</v>
      </c>
      <c r="F60" s="51" t="str">
        <f t="shared" si="0"/>
        <v>insert into ins_premium_det (premium_rcv_code,assorted_code, rec_amount,premium_rcv_detail_code,remaining_amt, payrec, mode_code,coinsurance_code,class_cd,it_remarks) values</v>
      </c>
      <c r="G60" s="52" t="str">
        <f t="shared" si="2"/>
        <v>('22Aug240008','070000154999','52000',(select max(to_number(i.premium_rcv_detail_code))+1
from ins_premium_det i),'52000','52000','02', '11000003','00','Request by Mr. Reheel Malik 22-Aug-2024 Fresh');</v>
      </c>
      <c r="H60" s="53" t="str">
        <f t="shared" si="3"/>
        <v>insert into ins_premium_det (premium_rcv_code,assorted_code, rec_amount,premium_rcv_detail_code,remaining_amt, payrec, mode_code,coinsurance_code,class_cd,it_remarks) values('22Aug240008','070000154999','52000',(select max(to_number(i.premium_rcv_detail_code))+1
from ins_premium_det i),'52000','52000','02', '11000003','00','Request by Mr. Reheel Malik 22-Aug-2024 Fresh');</v>
      </c>
    </row>
  </sheetData>
  <conditionalFormatting sqref="B1:B60">
    <cfRule type="duplicateValues" dxfId="19" priority="1"/>
    <cfRule type="duplicateValues" dxfId="18" priority="2"/>
    <cfRule type="duplicateValues" dxfId="17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3896-530D-4509-BE88-7F22A594E1FA}">
  <dimension ref="A1:J61"/>
  <sheetViews>
    <sheetView workbookViewId="0">
      <selection activeCell="J2" sqref="J2"/>
    </sheetView>
  </sheetViews>
  <sheetFormatPr defaultRowHeight="15" x14ac:dyDescent="0.25"/>
  <cols>
    <col min="1" max="1" width="37" bestFit="1" customWidth="1"/>
  </cols>
  <sheetData>
    <row r="1" spans="1:10" x14ac:dyDescent="0.25">
      <c r="A1" t="s">
        <v>1789</v>
      </c>
      <c r="H1" t="s">
        <v>1788</v>
      </c>
      <c r="I1" t="s">
        <v>1790</v>
      </c>
    </row>
    <row r="2" spans="1:10" x14ac:dyDescent="0.25">
      <c r="A2" s="29" t="s">
        <v>57</v>
      </c>
      <c r="B2" t="s">
        <v>1786</v>
      </c>
      <c r="H2">
        <v>92394</v>
      </c>
      <c r="I2" t="s">
        <v>1791</v>
      </c>
      <c r="J2" t="str">
        <f>"ia.assorted_string like '%"&amp;H2&amp;"-"&amp;I2&amp;B2&amp;"%' or"</f>
        <v>ia.assorted_string like '%92394-00008-07-2024%' or</v>
      </c>
    </row>
    <row r="3" spans="1:10" x14ac:dyDescent="0.25">
      <c r="A3" s="29" t="s">
        <v>59</v>
      </c>
      <c r="B3" t="s">
        <v>1786</v>
      </c>
      <c r="H3">
        <v>92394</v>
      </c>
      <c r="I3" t="s">
        <v>1792</v>
      </c>
      <c r="J3" t="str">
        <f t="shared" ref="J3:J61" si="0">"ia.assorted_string like '%"&amp;H3&amp;"-"&amp;I3&amp;B3&amp;"%' or"</f>
        <v>ia.assorted_string like '%92394-00012-07-2024%' or</v>
      </c>
    </row>
    <row r="4" spans="1:10" x14ac:dyDescent="0.25">
      <c r="A4" s="29" t="s">
        <v>66</v>
      </c>
      <c r="B4" t="s">
        <v>1786</v>
      </c>
      <c r="H4">
        <v>92394</v>
      </c>
      <c r="I4" t="s">
        <v>1793</v>
      </c>
      <c r="J4" t="str">
        <f t="shared" si="0"/>
        <v>ia.assorted_string like '%92394-00013-07-2024%' or</v>
      </c>
    </row>
    <row r="5" spans="1:10" x14ac:dyDescent="0.25">
      <c r="A5" s="29" t="s">
        <v>75</v>
      </c>
      <c r="B5" t="s">
        <v>1786</v>
      </c>
      <c r="H5">
        <v>92394</v>
      </c>
      <c r="I5" t="s">
        <v>1794</v>
      </c>
      <c r="J5" t="str">
        <f t="shared" si="0"/>
        <v>ia.assorted_string like '%92394-00014-07-2024%' or</v>
      </c>
    </row>
    <row r="6" spans="1:10" x14ac:dyDescent="0.25">
      <c r="A6" s="29" t="s">
        <v>84</v>
      </c>
      <c r="B6" t="s">
        <v>1786</v>
      </c>
      <c r="H6">
        <v>92394</v>
      </c>
      <c r="I6" t="s">
        <v>1795</v>
      </c>
      <c r="J6" t="str">
        <f t="shared" si="0"/>
        <v>ia.assorted_string like '%92394-00015-07-2024%' or</v>
      </c>
    </row>
    <row r="7" spans="1:10" x14ac:dyDescent="0.25">
      <c r="A7" s="29" t="s">
        <v>92</v>
      </c>
      <c r="B7" t="s">
        <v>1786</v>
      </c>
      <c r="H7">
        <v>92394</v>
      </c>
      <c r="I7" t="s">
        <v>1796</v>
      </c>
      <c r="J7" t="str">
        <f t="shared" si="0"/>
        <v>ia.assorted_string like '%92394-00016-07-2024%' or</v>
      </c>
    </row>
    <row r="8" spans="1:10" x14ac:dyDescent="0.25">
      <c r="A8" s="29" t="s">
        <v>101</v>
      </c>
      <c r="B8" t="s">
        <v>1786</v>
      </c>
      <c r="H8">
        <v>92394</v>
      </c>
      <c r="I8" t="s">
        <v>1797</v>
      </c>
      <c r="J8" t="str">
        <f t="shared" si="0"/>
        <v>ia.assorted_string like '%92394-00017-07-2024%' or</v>
      </c>
    </row>
    <row r="9" spans="1:10" x14ac:dyDescent="0.25">
      <c r="A9" s="29" t="s">
        <v>109</v>
      </c>
      <c r="B9" t="s">
        <v>1786</v>
      </c>
      <c r="H9">
        <v>92394</v>
      </c>
      <c r="I9" t="s">
        <v>1798</v>
      </c>
      <c r="J9" t="str">
        <f t="shared" si="0"/>
        <v>ia.assorted_string like '%92394-00018-07-2024%' or</v>
      </c>
    </row>
    <row r="10" spans="1:10" x14ac:dyDescent="0.25">
      <c r="A10" s="29" t="s">
        <v>117</v>
      </c>
      <c r="B10" t="s">
        <v>1786</v>
      </c>
      <c r="H10">
        <v>92394</v>
      </c>
      <c r="I10" t="s">
        <v>1799</v>
      </c>
      <c r="J10" t="str">
        <f t="shared" si="0"/>
        <v>ia.assorted_string like '%92394-00019-07-2024%' or</v>
      </c>
    </row>
    <row r="11" spans="1:10" x14ac:dyDescent="0.25">
      <c r="A11" s="29" t="s">
        <v>125</v>
      </c>
      <c r="B11" t="s">
        <v>1786</v>
      </c>
      <c r="H11">
        <v>92394</v>
      </c>
      <c r="I11" t="s">
        <v>1800</v>
      </c>
      <c r="J11" t="str">
        <f t="shared" si="0"/>
        <v>ia.assorted_string like '%92394-00002-07-2024%' or</v>
      </c>
    </row>
    <row r="12" spans="1:10" x14ac:dyDescent="0.25">
      <c r="A12" s="29" t="s">
        <v>132</v>
      </c>
      <c r="B12" t="s">
        <v>1786</v>
      </c>
      <c r="H12">
        <v>92394</v>
      </c>
      <c r="I12" t="s">
        <v>1801</v>
      </c>
      <c r="J12" t="str">
        <f t="shared" si="0"/>
        <v>ia.assorted_string like '%92394-00020-07-2024%' or</v>
      </c>
    </row>
    <row r="13" spans="1:10" x14ac:dyDescent="0.25">
      <c r="A13" s="29" t="s">
        <v>138</v>
      </c>
      <c r="B13" t="s">
        <v>1786</v>
      </c>
      <c r="H13">
        <v>92394</v>
      </c>
      <c r="I13" t="s">
        <v>1802</v>
      </c>
      <c r="J13" t="str">
        <f t="shared" si="0"/>
        <v>ia.assorted_string like '%92394-00021-07-2024%' or</v>
      </c>
    </row>
    <row r="14" spans="1:10" x14ac:dyDescent="0.25">
      <c r="A14" s="29" t="s">
        <v>146</v>
      </c>
      <c r="B14" t="s">
        <v>1786</v>
      </c>
      <c r="H14">
        <v>92394</v>
      </c>
      <c r="I14" t="s">
        <v>1803</v>
      </c>
      <c r="J14" t="str">
        <f t="shared" si="0"/>
        <v>ia.assorted_string like '%92394-00022-07-2024%' or</v>
      </c>
    </row>
    <row r="15" spans="1:10" x14ac:dyDescent="0.25">
      <c r="A15" s="29" t="s">
        <v>155</v>
      </c>
      <c r="B15" t="s">
        <v>1786</v>
      </c>
      <c r="H15">
        <v>92394</v>
      </c>
      <c r="I15" t="s">
        <v>1804</v>
      </c>
      <c r="J15" t="str">
        <f t="shared" si="0"/>
        <v>ia.assorted_string like '%92394-00023-07-2024%' or</v>
      </c>
    </row>
    <row r="16" spans="1:10" x14ac:dyDescent="0.25">
      <c r="A16" s="29" t="s">
        <v>165</v>
      </c>
      <c r="B16" t="s">
        <v>1786</v>
      </c>
      <c r="H16">
        <v>92394</v>
      </c>
      <c r="I16" t="s">
        <v>1805</v>
      </c>
      <c r="J16" t="str">
        <f t="shared" si="0"/>
        <v>ia.assorted_string like '%92394-00024-07-2024%' or</v>
      </c>
    </row>
    <row r="17" spans="1:10" x14ac:dyDescent="0.25">
      <c r="A17" s="29" t="s">
        <v>172</v>
      </c>
      <c r="B17" t="s">
        <v>1786</v>
      </c>
      <c r="H17">
        <v>92394</v>
      </c>
      <c r="I17" t="s">
        <v>1806</v>
      </c>
      <c r="J17" t="str">
        <f t="shared" si="0"/>
        <v>ia.assorted_string like '%92394-00025-07-2024%' or</v>
      </c>
    </row>
    <row r="18" spans="1:10" x14ac:dyDescent="0.25">
      <c r="A18" s="29" t="s">
        <v>178</v>
      </c>
      <c r="B18" t="s">
        <v>1786</v>
      </c>
      <c r="H18">
        <v>92394</v>
      </c>
      <c r="I18" t="s">
        <v>1807</v>
      </c>
      <c r="J18" t="str">
        <f t="shared" si="0"/>
        <v>ia.assorted_string like '%92394-00026-07-2024%' or</v>
      </c>
    </row>
    <row r="19" spans="1:10" x14ac:dyDescent="0.25">
      <c r="A19" s="29" t="s">
        <v>185</v>
      </c>
      <c r="B19" t="s">
        <v>1786</v>
      </c>
      <c r="H19">
        <v>92394</v>
      </c>
      <c r="I19" t="s">
        <v>1808</v>
      </c>
      <c r="J19" t="str">
        <f t="shared" si="0"/>
        <v>ia.assorted_string like '%92394-00027-07-2024%' or</v>
      </c>
    </row>
    <row r="20" spans="1:10" x14ac:dyDescent="0.25">
      <c r="A20" s="29" t="s">
        <v>192</v>
      </c>
      <c r="B20" t="s">
        <v>1786</v>
      </c>
      <c r="H20">
        <v>92394</v>
      </c>
      <c r="I20" t="s">
        <v>1809</v>
      </c>
      <c r="J20" t="str">
        <f t="shared" si="0"/>
        <v>ia.assorted_string like '%92394-00028-07-2024%' or</v>
      </c>
    </row>
    <row r="21" spans="1:10" x14ac:dyDescent="0.25">
      <c r="A21" s="29" t="s">
        <v>200</v>
      </c>
      <c r="B21" t="s">
        <v>1786</v>
      </c>
      <c r="H21">
        <v>92394</v>
      </c>
      <c r="I21" t="s">
        <v>1810</v>
      </c>
      <c r="J21" t="str">
        <f t="shared" si="0"/>
        <v>ia.assorted_string like '%92394-00029-07-2024%' or</v>
      </c>
    </row>
    <row r="22" spans="1:10" x14ac:dyDescent="0.25">
      <c r="A22" s="29" t="s">
        <v>209</v>
      </c>
      <c r="B22" t="s">
        <v>1786</v>
      </c>
      <c r="H22">
        <v>92394</v>
      </c>
      <c r="I22" t="s">
        <v>1811</v>
      </c>
      <c r="J22" t="str">
        <f t="shared" si="0"/>
        <v>ia.assorted_string like '%92394-00003-07-2024%' or</v>
      </c>
    </row>
    <row r="23" spans="1:10" x14ac:dyDescent="0.25">
      <c r="A23" s="29" t="s">
        <v>217</v>
      </c>
      <c r="B23" t="s">
        <v>1786</v>
      </c>
      <c r="H23">
        <v>92394</v>
      </c>
      <c r="I23" t="s">
        <v>1812</v>
      </c>
      <c r="J23" t="str">
        <f t="shared" si="0"/>
        <v>ia.assorted_string like '%92394-00030-07-2024%' or</v>
      </c>
    </row>
    <row r="24" spans="1:10" x14ac:dyDescent="0.25">
      <c r="A24" s="29" t="s">
        <v>225</v>
      </c>
      <c r="B24" t="s">
        <v>1786</v>
      </c>
      <c r="H24">
        <v>92394</v>
      </c>
      <c r="I24" t="s">
        <v>1813</v>
      </c>
      <c r="J24" t="str">
        <f t="shared" si="0"/>
        <v>ia.assorted_string like '%92394-00031-07-2024%' or</v>
      </c>
    </row>
    <row r="25" spans="1:10" x14ac:dyDescent="0.25">
      <c r="A25" s="29" t="s">
        <v>233</v>
      </c>
      <c r="B25" t="s">
        <v>1786</v>
      </c>
      <c r="H25">
        <v>92394</v>
      </c>
      <c r="I25" t="s">
        <v>1814</v>
      </c>
      <c r="J25" t="str">
        <f t="shared" si="0"/>
        <v>ia.assorted_string like '%92394-00032-07-2024%' or</v>
      </c>
    </row>
    <row r="26" spans="1:10" x14ac:dyDescent="0.25">
      <c r="A26" s="29" t="s">
        <v>240</v>
      </c>
      <c r="B26" t="s">
        <v>1786</v>
      </c>
      <c r="H26">
        <v>92394</v>
      </c>
      <c r="I26" t="s">
        <v>1815</v>
      </c>
      <c r="J26" t="str">
        <f t="shared" si="0"/>
        <v>ia.assorted_string like '%92394-00033-07-2024%' or</v>
      </c>
    </row>
    <row r="27" spans="1:10" x14ac:dyDescent="0.25">
      <c r="A27" s="29" t="s">
        <v>247</v>
      </c>
      <c r="B27" t="s">
        <v>1786</v>
      </c>
      <c r="H27">
        <v>92394</v>
      </c>
      <c r="I27" t="s">
        <v>1816</v>
      </c>
      <c r="J27" t="str">
        <f t="shared" si="0"/>
        <v>ia.assorted_string like '%92394-00034-07-2024%' or</v>
      </c>
    </row>
    <row r="28" spans="1:10" x14ac:dyDescent="0.25">
      <c r="A28" s="29" t="s">
        <v>255</v>
      </c>
      <c r="B28" t="s">
        <v>1786</v>
      </c>
      <c r="H28">
        <v>92394</v>
      </c>
      <c r="I28" t="s">
        <v>1817</v>
      </c>
      <c r="J28" t="str">
        <f t="shared" si="0"/>
        <v>ia.assorted_string like '%92394-00035-07-2024%' or</v>
      </c>
    </row>
    <row r="29" spans="1:10" x14ac:dyDescent="0.25">
      <c r="A29" s="29" t="s">
        <v>262</v>
      </c>
      <c r="B29" t="s">
        <v>1786</v>
      </c>
      <c r="H29">
        <v>92394</v>
      </c>
      <c r="I29" t="s">
        <v>1818</v>
      </c>
      <c r="J29" t="str">
        <f t="shared" si="0"/>
        <v>ia.assorted_string like '%92394-00036-07-2024%' or</v>
      </c>
    </row>
    <row r="30" spans="1:10" x14ac:dyDescent="0.25">
      <c r="A30" s="29" t="s">
        <v>269</v>
      </c>
      <c r="B30" t="s">
        <v>1786</v>
      </c>
      <c r="H30">
        <v>92394</v>
      </c>
      <c r="I30" t="s">
        <v>1819</v>
      </c>
      <c r="J30" t="str">
        <f t="shared" si="0"/>
        <v>ia.assorted_string like '%92394-00037-07-2024%' or</v>
      </c>
    </row>
    <row r="31" spans="1:10" x14ac:dyDescent="0.25">
      <c r="A31" s="29" t="s">
        <v>277</v>
      </c>
      <c r="B31" t="s">
        <v>1786</v>
      </c>
      <c r="H31">
        <v>92394</v>
      </c>
      <c r="I31" t="s">
        <v>1820</v>
      </c>
      <c r="J31" t="str">
        <f t="shared" si="0"/>
        <v>ia.assorted_string like '%92394-00038-07-2024%' or</v>
      </c>
    </row>
    <row r="32" spans="1:10" x14ac:dyDescent="0.25">
      <c r="A32" s="29" t="s">
        <v>284</v>
      </c>
      <c r="B32" t="s">
        <v>1786</v>
      </c>
      <c r="H32">
        <v>92394</v>
      </c>
      <c r="I32" t="s">
        <v>1821</v>
      </c>
      <c r="J32" t="str">
        <f t="shared" si="0"/>
        <v>ia.assorted_string like '%92394-00039-07-2024%' or</v>
      </c>
    </row>
    <row r="33" spans="1:10" x14ac:dyDescent="0.25">
      <c r="A33" s="29" t="s">
        <v>292</v>
      </c>
      <c r="B33" t="s">
        <v>1786</v>
      </c>
      <c r="H33">
        <v>92394</v>
      </c>
      <c r="I33" t="s">
        <v>1822</v>
      </c>
      <c r="J33" t="str">
        <f t="shared" si="0"/>
        <v>ia.assorted_string like '%92394-00004-07-2024%' or</v>
      </c>
    </row>
    <row r="34" spans="1:10" x14ac:dyDescent="0.25">
      <c r="A34" s="29" t="s">
        <v>298</v>
      </c>
      <c r="B34" t="s">
        <v>1786</v>
      </c>
      <c r="H34">
        <v>92394</v>
      </c>
      <c r="I34" t="s">
        <v>1823</v>
      </c>
      <c r="J34" t="str">
        <f t="shared" si="0"/>
        <v>ia.assorted_string like '%92394-00040-07-2024%' or</v>
      </c>
    </row>
    <row r="35" spans="1:10" x14ac:dyDescent="0.25">
      <c r="A35" s="29" t="s">
        <v>304</v>
      </c>
      <c r="B35" t="s">
        <v>1786</v>
      </c>
      <c r="H35">
        <v>92394</v>
      </c>
      <c r="I35" t="s">
        <v>1824</v>
      </c>
      <c r="J35" t="str">
        <f t="shared" si="0"/>
        <v>ia.assorted_string like '%92394-00041-07-2024%' or</v>
      </c>
    </row>
    <row r="36" spans="1:10" x14ac:dyDescent="0.25">
      <c r="A36" s="29" t="s">
        <v>311</v>
      </c>
      <c r="B36" t="s">
        <v>1786</v>
      </c>
      <c r="H36">
        <v>92394</v>
      </c>
      <c r="I36" t="s">
        <v>1825</v>
      </c>
      <c r="J36" t="str">
        <f t="shared" si="0"/>
        <v>ia.assorted_string like '%92394-00042-07-2024%' or</v>
      </c>
    </row>
    <row r="37" spans="1:10" x14ac:dyDescent="0.25">
      <c r="A37" s="29" t="s">
        <v>318</v>
      </c>
      <c r="B37" t="s">
        <v>1786</v>
      </c>
      <c r="H37">
        <v>92394</v>
      </c>
      <c r="I37" t="s">
        <v>1826</v>
      </c>
      <c r="J37" t="str">
        <f t="shared" si="0"/>
        <v>ia.assorted_string like '%92394-00043-07-2024%' or</v>
      </c>
    </row>
    <row r="38" spans="1:10" x14ac:dyDescent="0.25">
      <c r="A38" s="29" t="s">
        <v>326</v>
      </c>
      <c r="B38" t="s">
        <v>1786</v>
      </c>
      <c r="H38">
        <v>92394</v>
      </c>
      <c r="I38" t="s">
        <v>1827</v>
      </c>
      <c r="J38" t="str">
        <f t="shared" si="0"/>
        <v>ia.assorted_string like '%92394-00044-07-2024%' or</v>
      </c>
    </row>
    <row r="39" spans="1:10" x14ac:dyDescent="0.25">
      <c r="A39" s="29" t="s">
        <v>331</v>
      </c>
      <c r="B39" t="s">
        <v>1786</v>
      </c>
      <c r="H39">
        <v>92394</v>
      </c>
      <c r="I39" t="s">
        <v>1828</v>
      </c>
      <c r="J39" t="str">
        <f t="shared" si="0"/>
        <v>ia.assorted_string like '%92394-00045-07-2024%' or</v>
      </c>
    </row>
    <row r="40" spans="1:10" x14ac:dyDescent="0.25">
      <c r="A40" s="29" t="s">
        <v>339</v>
      </c>
      <c r="B40" t="s">
        <v>1786</v>
      </c>
      <c r="H40">
        <v>92394</v>
      </c>
      <c r="I40" t="s">
        <v>1829</v>
      </c>
      <c r="J40" t="str">
        <f t="shared" si="0"/>
        <v>ia.assorted_string like '%92394-00046-07-2024%' or</v>
      </c>
    </row>
    <row r="41" spans="1:10" x14ac:dyDescent="0.25">
      <c r="A41" s="29" t="s">
        <v>345</v>
      </c>
      <c r="B41" t="s">
        <v>1786</v>
      </c>
      <c r="H41">
        <v>92394</v>
      </c>
      <c r="I41" t="s">
        <v>1830</v>
      </c>
      <c r="J41" t="str">
        <f t="shared" si="0"/>
        <v>ia.assorted_string like '%92394-00047-07-2024%' or</v>
      </c>
    </row>
    <row r="42" spans="1:10" x14ac:dyDescent="0.25">
      <c r="A42" s="29" t="s">
        <v>352</v>
      </c>
      <c r="B42" t="s">
        <v>1786</v>
      </c>
      <c r="H42">
        <v>92394</v>
      </c>
      <c r="I42" t="s">
        <v>1831</v>
      </c>
      <c r="J42" t="str">
        <f t="shared" si="0"/>
        <v>ia.assorted_string like '%92394-00048-07-2024%' or</v>
      </c>
    </row>
    <row r="43" spans="1:10" x14ac:dyDescent="0.25">
      <c r="A43" s="29" t="s">
        <v>359</v>
      </c>
      <c r="B43" t="s">
        <v>1786</v>
      </c>
      <c r="H43">
        <v>92394</v>
      </c>
      <c r="I43" t="s">
        <v>1832</v>
      </c>
      <c r="J43" t="str">
        <f t="shared" si="0"/>
        <v>ia.assorted_string like '%92394-00049-07-2024%' or</v>
      </c>
    </row>
    <row r="44" spans="1:10" x14ac:dyDescent="0.25">
      <c r="A44" s="29" t="s">
        <v>366</v>
      </c>
      <c r="B44" t="s">
        <v>1786</v>
      </c>
      <c r="H44">
        <v>92394</v>
      </c>
      <c r="I44" t="s">
        <v>1833</v>
      </c>
      <c r="J44" t="str">
        <f t="shared" si="0"/>
        <v>ia.assorted_string like '%92394-00005-07-2024%' or</v>
      </c>
    </row>
    <row r="45" spans="1:10" x14ac:dyDescent="0.25">
      <c r="A45" s="29" t="s">
        <v>374</v>
      </c>
      <c r="B45" t="s">
        <v>1786</v>
      </c>
      <c r="H45">
        <v>92394</v>
      </c>
      <c r="I45" t="s">
        <v>1834</v>
      </c>
      <c r="J45" t="str">
        <f t="shared" si="0"/>
        <v>ia.assorted_string like '%92394-00050-07-2024%' or</v>
      </c>
    </row>
    <row r="46" spans="1:10" x14ac:dyDescent="0.25">
      <c r="A46" s="29" t="s">
        <v>382</v>
      </c>
      <c r="B46" t="s">
        <v>1786</v>
      </c>
      <c r="H46">
        <v>92394</v>
      </c>
      <c r="I46" t="s">
        <v>1835</v>
      </c>
      <c r="J46" t="str">
        <f t="shared" si="0"/>
        <v>ia.assorted_string like '%92394-00051-07-2024%' or</v>
      </c>
    </row>
    <row r="47" spans="1:10" x14ac:dyDescent="0.25">
      <c r="A47" s="29" t="s">
        <v>389</v>
      </c>
      <c r="B47" t="s">
        <v>1786</v>
      </c>
      <c r="H47">
        <v>92394</v>
      </c>
      <c r="I47" t="s">
        <v>1836</v>
      </c>
      <c r="J47" t="str">
        <f t="shared" si="0"/>
        <v>ia.assorted_string like '%92394-00052-07-2024%' or</v>
      </c>
    </row>
    <row r="48" spans="1:10" x14ac:dyDescent="0.25">
      <c r="A48" s="29" t="s">
        <v>396</v>
      </c>
      <c r="B48" t="s">
        <v>1786</v>
      </c>
      <c r="H48">
        <v>92394</v>
      </c>
      <c r="I48" t="s">
        <v>1837</v>
      </c>
      <c r="J48" t="str">
        <f t="shared" si="0"/>
        <v>ia.assorted_string like '%92394-00053-07-2024%' or</v>
      </c>
    </row>
    <row r="49" spans="1:10" x14ac:dyDescent="0.25">
      <c r="A49" s="29" t="s">
        <v>403</v>
      </c>
      <c r="B49" t="s">
        <v>1786</v>
      </c>
      <c r="H49">
        <v>92394</v>
      </c>
      <c r="I49" t="s">
        <v>1838</v>
      </c>
      <c r="J49" t="str">
        <f t="shared" si="0"/>
        <v>ia.assorted_string like '%92394-00054-07-2024%' or</v>
      </c>
    </row>
    <row r="50" spans="1:10" x14ac:dyDescent="0.25">
      <c r="A50" s="29" t="s">
        <v>411</v>
      </c>
      <c r="B50" t="s">
        <v>1786</v>
      </c>
      <c r="H50">
        <v>92394</v>
      </c>
      <c r="I50" t="s">
        <v>1839</v>
      </c>
      <c r="J50" t="str">
        <f t="shared" si="0"/>
        <v>ia.assorted_string like '%92394-00055-07-2024%' or</v>
      </c>
    </row>
    <row r="51" spans="1:10" x14ac:dyDescent="0.25">
      <c r="A51" s="29" t="s">
        <v>419</v>
      </c>
      <c r="B51" t="s">
        <v>1786</v>
      </c>
      <c r="H51">
        <v>92394</v>
      </c>
      <c r="I51" t="s">
        <v>1840</v>
      </c>
      <c r="J51" t="str">
        <f t="shared" si="0"/>
        <v>ia.assorted_string like '%92394-00056-07-2024%' or</v>
      </c>
    </row>
    <row r="52" spans="1:10" x14ac:dyDescent="0.25">
      <c r="A52" s="29" t="s">
        <v>426</v>
      </c>
      <c r="B52" t="s">
        <v>1786</v>
      </c>
      <c r="H52">
        <v>92394</v>
      </c>
      <c r="I52" t="s">
        <v>1841</v>
      </c>
      <c r="J52" t="str">
        <f t="shared" si="0"/>
        <v>ia.assorted_string like '%92394-00057-07-2024%' or</v>
      </c>
    </row>
    <row r="53" spans="1:10" x14ac:dyDescent="0.25">
      <c r="A53" s="29" t="s">
        <v>432</v>
      </c>
      <c r="B53" t="s">
        <v>1786</v>
      </c>
      <c r="H53">
        <v>92394</v>
      </c>
      <c r="I53" t="s">
        <v>1842</v>
      </c>
      <c r="J53" t="str">
        <f t="shared" si="0"/>
        <v>ia.assorted_string like '%92394-00058-07-2024%' or</v>
      </c>
    </row>
    <row r="54" spans="1:10" x14ac:dyDescent="0.25">
      <c r="A54" s="29" t="s">
        <v>440</v>
      </c>
      <c r="B54" t="s">
        <v>1786</v>
      </c>
      <c r="H54">
        <v>92394</v>
      </c>
      <c r="I54" t="s">
        <v>1843</v>
      </c>
      <c r="J54" t="str">
        <f t="shared" si="0"/>
        <v>ia.assorted_string like '%92394-00059-07-2024%' or</v>
      </c>
    </row>
    <row r="55" spans="1:10" x14ac:dyDescent="0.25">
      <c r="A55" s="29" t="s">
        <v>447</v>
      </c>
      <c r="B55" t="s">
        <v>1786</v>
      </c>
      <c r="H55">
        <v>92394</v>
      </c>
      <c r="I55" t="s">
        <v>1844</v>
      </c>
      <c r="J55" t="str">
        <f t="shared" si="0"/>
        <v>ia.assorted_string like '%92394-00006-07-2024%' or</v>
      </c>
    </row>
    <row r="56" spans="1:10" x14ac:dyDescent="0.25">
      <c r="A56" s="29" t="s">
        <v>455</v>
      </c>
      <c r="B56" t="s">
        <v>1786</v>
      </c>
      <c r="H56">
        <v>92394</v>
      </c>
      <c r="I56" t="s">
        <v>1845</v>
      </c>
      <c r="J56" t="str">
        <f t="shared" si="0"/>
        <v>ia.assorted_string like '%92394-00060-07-2024%' or</v>
      </c>
    </row>
    <row r="57" spans="1:10" x14ac:dyDescent="0.25">
      <c r="A57" s="29" t="s">
        <v>462</v>
      </c>
      <c r="B57" t="s">
        <v>1786</v>
      </c>
      <c r="H57">
        <v>92394</v>
      </c>
      <c r="I57" t="s">
        <v>1846</v>
      </c>
      <c r="J57" t="str">
        <f t="shared" si="0"/>
        <v>ia.assorted_string like '%92394-00061-07-2024%' or</v>
      </c>
    </row>
    <row r="58" spans="1:10" x14ac:dyDescent="0.25">
      <c r="A58" s="29" t="s">
        <v>468</v>
      </c>
      <c r="B58" t="s">
        <v>1786</v>
      </c>
      <c r="H58">
        <v>92394</v>
      </c>
      <c r="I58" t="s">
        <v>1847</v>
      </c>
      <c r="J58" t="str">
        <f t="shared" si="0"/>
        <v>ia.assorted_string like '%92394-00007-07-2024%' or</v>
      </c>
    </row>
    <row r="59" spans="1:10" x14ac:dyDescent="0.25">
      <c r="A59" s="29" t="s">
        <v>57</v>
      </c>
      <c r="B59" t="s">
        <v>1786</v>
      </c>
      <c r="H59">
        <v>92394</v>
      </c>
      <c r="I59" t="s">
        <v>1791</v>
      </c>
      <c r="J59" t="str">
        <f t="shared" si="0"/>
        <v>ia.assorted_string like '%92394-00008-07-2024%' or</v>
      </c>
    </row>
    <row r="60" spans="1:10" x14ac:dyDescent="0.25">
      <c r="A60" s="29" t="s">
        <v>476</v>
      </c>
      <c r="B60" t="s">
        <v>1786</v>
      </c>
      <c r="H60">
        <v>92498</v>
      </c>
      <c r="I60" t="s">
        <v>1848</v>
      </c>
      <c r="J60" t="str">
        <f t="shared" si="0"/>
        <v>ia.assorted_string like '%92498-00001-07-2024%' or</v>
      </c>
    </row>
    <row r="61" spans="1:10" x14ac:dyDescent="0.25">
      <c r="A61" s="29" t="s">
        <v>483</v>
      </c>
      <c r="B61" t="s">
        <v>1787</v>
      </c>
      <c r="H61">
        <v>83022</v>
      </c>
      <c r="I61" t="s">
        <v>1824</v>
      </c>
      <c r="J61" t="str">
        <f t="shared" si="0"/>
        <v>ia.assorted_string like '%83022-00041-02-2024%'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06F8-955D-4ABF-AC31-D15839ACFF5E}">
  <dimension ref="A1:AH186"/>
  <sheetViews>
    <sheetView topLeftCell="V79" workbookViewId="0">
      <selection activeCell="AF89" sqref="AF89"/>
    </sheetView>
  </sheetViews>
  <sheetFormatPr defaultRowHeight="15" x14ac:dyDescent="0.25"/>
  <cols>
    <col min="9" max="9" width="11.28515625" customWidth="1"/>
    <col min="25" max="25" width="10.85546875" customWidth="1"/>
    <col min="32" max="32" width="38.28515625" bestFit="1" customWidth="1"/>
    <col min="33" max="33" width="12.7109375" customWidth="1"/>
    <col min="34" max="34" width="11.7109375" customWidth="1"/>
  </cols>
  <sheetData>
    <row r="1" spans="1:34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9" t="s">
        <v>20</v>
      </c>
      <c r="W1" s="10" t="s">
        <v>21</v>
      </c>
      <c r="X1" s="11" t="s">
        <v>22</v>
      </c>
      <c r="Y1" s="10" t="s">
        <v>23</v>
      </c>
      <c r="Z1" s="12" t="s">
        <v>24</v>
      </c>
      <c r="AA1" s="13" t="s">
        <v>25</v>
      </c>
      <c r="AB1" s="14" t="s">
        <v>26</v>
      </c>
      <c r="AC1" s="15" t="s">
        <v>27</v>
      </c>
      <c r="AD1" s="16" t="s">
        <v>28</v>
      </c>
      <c r="AE1" s="17" t="s">
        <v>29</v>
      </c>
      <c r="AF1" s="34" t="s">
        <v>30</v>
      </c>
      <c r="AG1" s="34" t="s">
        <v>31</v>
      </c>
      <c r="AH1" s="34" t="s">
        <v>32</v>
      </c>
    </row>
    <row r="2" spans="1:34" x14ac:dyDescent="0.25">
      <c r="A2" s="19" t="s">
        <v>490</v>
      </c>
      <c r="B2" s="19" t="s">
        <v>491</v>
      </c>
      <c r="C2" s="20">
        <v>45474</v>
      </c>
      <c r="D2" s="19" t="s">
        <v>35</v>
      </c>
      <c r="E2" s="19" t="s">
        <v>492</v>
      </c>
      <c r="F2" s="21">
        <v>45503</v>
      </c>
      <c r="G2" s="21">
        <v>45867</v>
      </c>
      <c r="H2" s="22" t="s">
        <v>493</v>
      </c>
      <c r="I2" s="23">
        <v>3520259859843</v>
      </c>
      <c r="J2" s="22" t="s">
        <v>494</v>
      </c>
      <c r="K2" s="19" t="s">
        <v>495</v>
      </c>
      <c r="L2" s="19" t="s">
        <v>496</v>
      </c>
      <c r="M2" s="19" t="s">
        <v>497</v>
      </c>
      <c r="N2" s="19" t="s">
        <v>491</v>
      </c>
      <c r="O2" s="28" t="s">
        <v>54</v>
      </c>
      <c r="P2" s="19" t="s">
        <v>81</v>
      </c>
      <c r="Q2" s="19" t="s">
        <v>498</v>
      </c>
      <c r="R2" s="21">
        <v>44047</v>
      </c>
      <c r="S2" s="21">
        <v>45874</v>
      </c>
      <c r="T2" s="24">
        <v>5430000</v>
      </c>
      <c r="U2" s="19">
        <v>25</v>
      </c>
      <c r="V2" s="25">
        <v>1357500</v>
      </c>
      <c r="W2" s="25">
        <v>4072500</v>
      </c>
      <c r="X2" s="26">
        <v>1.5</v>
      </c>
      <c r="Y2" s="25">
        <v>61087.5</v>
      </c>
      <c r="Z2" s="19"/>
      <c r="AA2" s="28" t="s">
        <v>45</v>
      </c>
      <c r="AB2" s="23">
        <v>1141070243</v>
      </c>
      <c r="AC2" s="27">
        <v>45525</v>
      </c>
      <c r="AD2" s="28" t="s">
        <v>46</v>
      </c>
      <c r="AE2" s="28">
        <v>9</v>
      </c>
      <c r="AF2" s="29" t="s">
        <v>492</v>
      </c>
      <c r="AG2" s="35">
        <v>61088</v>
      </c>
      <c r="AH2" s="31">
        <v>-0.5</v>
      </c>
    </row>
    <row r="3" spans="1:34" x14ac:dyDescent="0.25">
      <c r="A3" s="19" t="s">
        <v>490</v>
      </c>
      <c r="B3" s="19" t="s">
        <v>499</v>
      </c>
      <c r="C3" s="20">
        <v>45474</v>
      </c>
      <c r="D3" s="19" t="s">
        <v>35</v>
      </c>
      <c r="E3" s="19" t="s">
        <v>500</v>
      </c>
      <c r="F3" s="21">
        <v>45486</v>
      </c>
      <c r="G3" s="21">
        <v>45850</v>
      </c>
      <c r="H3" s="22" t="s">
        <v>501</v>
      </c>
      <c r="I3" s="23">
        <v>3650204886268</v>
      </c>
      <c r="J3" s="22" t="s">
        <v>104</v>
      </c>
      <c r="K3" s="19" t="s">
        <v>502</v>
      </c>
      <c r="L3" s="19" t="s">
        <v>503</v>
      </c>
      <c r="M3" s="19" t="s">
        <v>504</v>
      </c>
      <c r="N3" s="19" t="s">
        <v>499</v>
      </c>
      <c r="O3" s="28" t="s">
        <v>54</v>
      </c>
      <c r="P3" s="19" t="s">
        <v>505</v>
      </c>
      <c r="Q3" s="19" t="s">
        <v>506</v>
      </c>
      <c r="R3" s="21">
        <v>44027</v>
      </c>
      <c r="S3" s="21">
        <v>45843</v>
      </c>
      <c r="T3" s="24">
        <v>1695000</v>
      </c>
      <c r="U3" s="19">
        <v>25</v>
      </c>
      <c r="V3" s="25">
        <v>423750</v>
      </c>
      <c r="W3" s="25">
        <v>1271250</v>
      </c>
      <c r="X3" s="26">
        <v>3.75</v>
      </c>
      <c r="Y3" s="25">
        <v>47671.875</v>
      </c>
      <c r="Z3" s="19"/>
      <c r="AA3" s="28" t="s">
        <v>45</v>
      </c>
      <c r="AB3" s="23">
        <v>1141070243</v>
      </c>
      <c r="AC3" s="27">
        <v>45525</v>
      </c>
      <c r="AD3" s="28" t="s">
        <v>46</v>
      </c>
      <c r="AE3" s="28">
        <v>0</v>
      </c>
      <c r="AF3" s="29" t="s">
        <v>500</v>
      </c>
      <c r="AG3" s="35">
        <v>47672</v>
      </c>
      <c r="AH3" s="31">
        <v>-0.125</v>
      </c>
    </row>
    <row r="4" spans="1:34" x14ac:dyDescent="0.25">
      <c r="A4" s="19" t="s">
        <v>490</v>
      </c>
      <c r="B4" s="19" t="s">
        <v>507</v>
      </c>
      <c r="C4" s="20">
        <v>45474</v>
      </c>
      <c r="D4" s="19" t="s">
        <v>35</v>
      </c>
      <c r="E4" s="19" t="s">
        <v>508</v>
      </c>
      <c r="F4" s="21">
        <v>45496</v>
      </c>
      <c r="G4" s="21">
        <v>45860</v>
      </c>
      <c r="H4" s="22" t="s">
        <v>509</v>
      </c>
      <c r="I4" s="23">
        <v>3520297685989</v>
      </c>
      <c r="J4" s="22" t="s">
        <v>510</v>
      </c>
      <c r="K4" s="19" t="s">
        <v>511</v>
      </c>
      <c r="L4" s="19" t="s">
        <v>512</v>
      </c>
      <c r="M4" s="19" t="s">
        <v>513</v>
      </c>
      <c r="N4" s="19" t="s">
        <v>507</v>
      </c>
      <c r="O4" s="28" t="s">
        <v>54</v>
      </c>
      <c r="P4" s="19" t="s">
        <v>81</v>
      </c>
      <c r="Q4" s="19" t="s">
        <v>514</v>
      </c>
      <c r="R4" s="21">
        <v>44053</v>
      </c>
      <c r="S4" s="21">
        <v>46239</v>
      </c>
      <c r="T4" s="24">
        <v>1999000</v>
      </c>
      <c r="U4" s="19">
        <v>25</v>
      </c>
      <c r="V4" s="25">
        <v>499750</v>
      </c>
      <c r="W4" s="25">
        <v>1499250</v>
      </c>
      <c r="X4" s="26">
        <v>3.75</v>
      </c>
      <c r="Y4" s="25">
        <v>56221.875</v>
      </c>
      <c r="Z4" s="19"/>
      <c r="AA4" s="28" t="s">
        <v>45</v>
      </c>
      <c r="AB4" s="23">
        <v>1141070243</v>
      </c>
      <c r="AC4" s="27">
        <v>45525</v>
      </c>
      <c r="AD4" s="28" t="s">
        <v>46</v>
      </c>
      <c r="AE4" s="28">
        <v>9</v>
      </c>
      <c r="AF4" s="29" t="s">
        <v>508</v>
      </c>
      <c r="AG4" s="35">
        <v>56222</v>
      </c>
      <c r="AH4" s="31">
        <v>-0.125</v>
      </c>
    </row>
    <row r="5" spans="1:34" x14ac:dyDescent="0.25">
      <c r="A5" s="19" t="s">
        <v>490</v>
      </c>
      <c r="B5" s="19" t="s">
        <v>515</v>
      </c>
      <c r="C5" s="20">
        <v>45474</v>
      </c>
      <c r="D5" s="19" t="s">
        <v>35</v>
      </c>
      <c r="E5" s="19" t="s">
        <v>516</v>
      </c>
      <c r="F5" s="21">
        <v>45502</v>
      </c>
      <c r="G5" s="21">
        <v>45866</v>
      </c>
      <c r="H5" s="22" t="s">
        <v>517</v>
      </c>
      <c r="I5" s="23">
        <v>3520211610239</v>
      </c>
      <c r="J5" s="22" t="s">
        <v>227</v>
      </c>
      <c r="K5" s="19" t="s">
        <v>518</v>
      </c>
      <c r="L5" s="19" t="s">
        <v>519</v>
      </c>
      <c r="M5" s="19" t="s">
        <v>520</v>
      </c>
      <c r="N5" s="19" t="s">
        <v>515</v>
      </c>
      <c r="O5" s="28" t="s">
        <v>54</v>
      </c>
      <c r="P5" s="19" t="s">
        <v>81</v>
      </c>
      <c r="Q5" s="19" t="s">
        <v>521</v>
      </c>
      <c r="R5" s="21">
        <v>44047</v>
      </c>
      <c r="S5" s="21">
        <v>46604</v>
      </c>
      <c r="T5" s="24">
        <v>1398000</v>
      </c>
      <c r="U5" s="19">
        <v>25</v>
      </c>
      <c r="V5" s="25">
        <v>349500</v>
      </c>
      <c r="W5" s="25">
        <v>1048500</v>
      </c>
      <c r="X5" s="26">
        <v>3.75</v>
      </c>
      <c r="Y5" s="25">
        <v>39318.75</v>
      </c>
      <c r="Z5" s="19"/>
      <c r="AA5" s="28" t="s">
        <v>45</v>
      </c>
      <c r="AB5" s="23">
        <v>1141070243</v>
      </c>
      <c r="AC5" s="27">
        <v>45525</v>
      </c>
      <c r="AD5" s="28" t="s">
        <v>46</v>
      </c>
      <c r="AE5" s="28">
        <v>0</v>
      </c>
      <c r="AF5" s="29" t="s">
        <v>516</v>
      </c>
      <c r="AG5" s="35">
        <v>39319</v>
      </c>
      <c r="AH5" s="31">
        <v>-0.25</v>
      </c>
    </row>
    <row r="6" spans="1:34" x14ac:dyDescent="0.25">
      <c r="A6" s="19" t="s">
        <v>490</v>
      </c>
      <c r="B6" s="19" t="s">
        <v>522</v>
      </c>
      <c r="C6" s="20">
        <v>45474</v>
      </c>
      <c r="D6" s="19" t="s">
        <v>35</v>
      </c>
      <c r="E6" s="19" t="s">
        <v>523</v>
      </c>
      <c r="F6" s="21">
        <v>45497</v>
      </c>
      <c r="G6" s="21">
        <v>45861</v>
      </c>
      <c r="H6" s="22" t="s">
        <v>524</v>
      </c>
      <c r="I6" s="23">
        <v>3520263881169</v>
      </c>
      <c r="J6" s="22" t="s">
        <v>525</v>
      </c>
      <c r="K6" s="19" t="s">
        <v>526</v>
      </c>
      <c r="L6" s="19" t="s">
        <v>527</v>
      </c>
      <c r="M6" s="19" t="s">
        <v>528</v>
      </c>
      <c r="N6" s="19" t="s">
        <v>522</v>
      </c>
      <c r="O6" s="28" t="s">
        <v>54</v>
      </c>
      <c r="P6" s="19" t="s">
        <v>81</v>
      </c>
      <c r="Q6" s="19" t="s">
        <v>529</v>
      </c>
      <c r="R6" s="21">
        <v>44039</v>
      </c>
      <c r="S6" s="21">
        <v>45874</v>
      </c>
      <c r="T6" s="24">
        <v>4047000</v>
      </c>
      <c r="U6" s="19">
        <v>25</v>
      </c>
      <c r="V6" s="25">
        <v>1011750</v>
      </c>
      <c r="W6" s="25">
        <v>3035250</v>
      </c>
      <c r="X6" s="26">
        <v>1.5</v>
      </c>
      <c r="Y6" s="25">
        <v>45528.75</v>
      </c>
      <c r="Z6" s="19"/>
      <c r="AA6" s="28" t="s">
        <v>45</v>
      </c>
      <c r="AB6" s="23">
        <v>1141070243</v>
      </c>
      <c r="AC6" s="27">
        <v>45525</v>
      </c>
      <c r="AD6" s="28" t="s">
        <v>46</v>
      </c>
      <c r="AE6" s="28">
        <v>0</v>
      </c>
      <c r="AF6" s="29" t="s">
        <v>523</v>
      </c>
      <c r="AG6" s="35">
        <v>45529</v>
      </c>
      <c r="AH6" s="31">
        <v>-0.25</v>
      </c>
    </row>
    <row r="7" spans="1:34" x14ac:dyDescent="0.25">
      <c r="A7" s="19" t="s">
        <v>490</v>
      </c>
      <c r="B7" s="19" t="s">
        <v>530</v>
      </c>
      <c r="C7" s="20">
        <v>45474</v>
      </c>
      <c r="D7" s="19" t="s">
        <v>35</v>
      </c>
      <c r="E7" s="19" t="s">
        <v>531</v>
      </c>
      <c r="F7" s="21">
        <v>45498</v>
      </c>
      <c r="G7" s="21">
        <v>45862</v>
      </c>
      <c r="H7" s="22" t="s">
        <v>532</v>
      </c>
      <c r="I7" s="23">
        <v>3310085327941</v>
      </c>
      <c r="J7" s="22" t="s">
        <v>533</v>
      </c>
      <c r="K7" s="19" t="s">
        <v>534</v>
      </c>
      <c r="L7" s="19" t="s">
        <v>535</v>
      </c>
      <c r="M7" s="19" t="s">
        <v>536</v>
      </c>
      <c r="N7" s="19" t="s">
        <v>530</v>
      </c>
      <c r="O7" s="28" t="s">
        <v>54</v>
      </c>
      <c r="P7" s="19" t="s">
        <v>55</v>
      </c>
      <c r="Q7" s="19" t="s">
        <v>537</v>
      </c>
      <c r="R7" s="21">
        <v>44041</v>
      </c>
      <c r="S7" s="21">
        <v>45874</v>
      </c>
      <c r="T7" s="24">
        <v>2425000</v>
      </c>
      <c r="U7" s="19">
        <v>25</v>
      </c>
      <c r="V7" s="25">
        <v>606250</v>
      </c>
      <c r="W7" s="25">
        <v>1818750</v>
      </c>
      <c r="X7" s="26">
        <v>3.75</v>
      </c>
      <c r="Y7" s="25">
        <v>68203.125</v>
      </c>
      <c r="Z7" s="19"/>
      <c r="AA7" s="28" t="s">
        <v>45</v>
      </c>
      <c r="AB7" s="23">
        <v>1141070243</v>
      </c>
      <c r="AC7" s="27">
        <v>45525</v>
      </c>
      <c r="AD7" s="28" t="s">
        <v>46</v>
      </c>
      <c r="AE7" s="28">
        <v>0</v>
      </c>
      <c r="AF7" s="29" t="s">
        <v>531</v>
      </c>
      <c r="AG7" s="35">
        <v>68203</v>
      </c>
      <c r="AH7" s="31">
        <v>0.125</v>
      </c>
    </row>
    <row r="8" spans="1:34" x14ac:dyDescent="0.25">
      <c r="A8" s="19" t="s">
        <v>490</v>
      </c>
      <c r="B8" s="19" t="s">
        <v>538</v>
      </c>
      <c r="C8" s="20">
        <v>45474</v>
      </c>
      <c r="D8" s="19" t="s">
        <v>35</v>
      </c>
      <c r="E8" s="19" t="s">
        <v>539</v>
      </c>
      <c r="F8" s="21">
        <v>45503</v>
      </c>
      <c r="G8" s="21">
        <v>45867</v>
      </c>
      <c r="H8" s="22" t="s">
        <v>540</v>
      </c>
      <c r="I8" s="23">
        <v>3520295690305</v>
      </c>
      <c r="J8" s="22" t="s">
        <v>541</v>
      </c>
      <c r="K8" s="19" t="s">
        <v>542</v>
      </c>
      <c r="L8" s="19" t="s">
        <v>543</v>
      </c>
      <c r="M8" s="19" t="s">
        <v>544</v>
      </c>
      <c r="N8" s="19" t="s">
        <v>538</v>
      </c>
      <c r="O8" s="28" t="s">
        <v>54</v>
      </c>
      <c r="P8" s="19" t="s">
        <v>81</v>
      </c>
      <c r="Q8" s="19" t="s">
        <v>545</v>
      </c>
      <c r="R8" s="21">
        <v>44411</v>
      </c>
      <c r="S8" s="21">
        <v>46239</v>
      </c>
      <c r="T8" s="24">
        <v>2725000</v>
      </c>
      <c r="U8" s="19">
        <v>20</v>
      </c>
      <c r="V8" s="25">
        <v>545000</v>
      </c>
      <c r="W8" s="25">
        <v>2180000</v>
      </c>
      <c r="X8" s="26">
        <v>2.5</v>
      </c>
      <c r="Y8" s="25">
        <v>54500</v>
      </c>
      <c r="Z8" s="19"/>
      <c r="AA8" s="28" t="s">
        <v>45</v>
      </c>
      <c r="AB8" s="23">
        <v>1141070243</v>
      </c>
      <c r="AC8" s="27">
        <v>45525</v>
      </c>
      <c r="AD8" s="28" t="s">
        <v>46</v>
      </c>
      <c r="AE8" s="28">
        <v>9</v>
      </c>
      <c r="AF8" s="29" t="s">
        <v>539</v>
      </c>
      <c r="AG8" s="35">
        <v>54500</v>
      </c>
      <c r="AH8" s="31">
        <v>0</v>
      </c>
    </row>
    <row r="9" spans="1:34" x14ac:dyDescent="0.25">
      <c r="A9" s="19" t="s">
        <v>490</v>
      </c>
      <c r="B9" s="19" t="s">
        <v>546</v>
      </c>
      <c r="C9" s="20">
        <v>45474</v>
      </c>
      <c r="D9" s="19" t="s">
        <v>35</v>
      </c>
      <c r="E9" s="19" t="s">
        <v>547</v>
      </c>
      <c r="F9" s="21">
        <v>45503</v>
      </c>
      <c r="G9" s="21">
        <v>45867</v>
      </c>
      <c r="H9" s="22" t="s">
        <v>548</v>
      </c>
      <c r="I9" s="23">
        <v>3510403651127</v>
      </c>
      <c r="J9" s="22" t="s">
        <v>549</v>
      </c>
      <c r="K9" s="19" t="s">
        <v>550</v>
      </c>
      <c r="L9" s="19" t="s">
        <v>551</v>
      </c>
      <c r="M9" s="19" t="s">
        <v>552</v>
      </c>
      <c r="N9" s="19" t="s">
        <v>546</v>
      </c>
      <c r="O9" s="28" t="s">
        <v>54</v>
      </c>
      <c r="P9" s="19" t="s">
        <v>81</v>
      </c>
      <c r="Q9" s="19" t="s">
        <v>553</v>
      </c>
      <c r="R9" s="21">
        <v>44049</v>
      </c>
      <c r="S9" s="21">
        <v>46604</v>
      </c>
      <c r="T9" s="24">
        <v>2795000</v>
      </c>
      <c r="U9" s="19">
        <v>25</v>
      </c>
      <c r="V9" s="25">
        <v>698750</v>
      </c>
      <c r="W9" s="25">
        <v>2096250</v>
      </c>
      <c r="X9" s="26">
        <v>3.3</v>
      </c>
      <c r="Y9" s="25">
        <v>69176.25</v>
      </c>
      <c r="Z9" s="19"/>
      <c r="AA9" s="28" t="s">
        <v>45</v>
      </c>
      <c r="AB9" s="23">
        <v>1141070243</v>
      </c>
      <c r="AC9" s="27">
        <v>45525</v>
      </c>
      <c r="AD9" s="28" t="s">
        <v>46</v>
      </c>
      <c r="AE9" s="28">
        <v>9</v>
      </c>
      <c r="AF9" s="29" t="s">
        <v>547</v>
      </c>
      <c r="AG9" s="35">
        <v>69176</v>
      </c>
      <c r="AH9" s="31">
        <v>0.25</v>
      </c>
    </row>
    <row r="10" spans="1:34" x14ac:dyDescent="0.25">
      <c r="A10" s="19" t="s">
        <v>490</v>
      </c>
      <c r="B10" s="19" t="s">
        <v>554</v>
      </c>
      <c r="C10" s="20">
        <v>45474</v>
      </c>
      <c r="D10" s="19" t="s">
        <v>35</v>
      </c>
      <c r="E10" s="19" t="s">
        <v>555</v>
      </c>
      <c r="F10" s="21">
        <v>45499</v>
      </c>
      <c r="G10" s="21">
        <v>45863</v>
      </c>
      <c r="H10" s="22" t="s">
        <v>556</v>
      </c>
      <c r="I10" s="23">
        <v>3520146521307</v>
      </c>
      <c r="J10" s="22" t="s">
        <v>77</v>
      </c>
      <c r="K10" s="19" t="s">
        <v>557</v>
      </c>
      <c r="L10" s="19" t="s">
        <v>558</v>
      </c>
      <c r="M10" s="19" t="s">
        <v>559</v>
      </c>
      <c r="N10" s="19" t="s">
        <v>554</v>
      </c>
      <c r="O10" s="28" t="s">
        <v>54</v>
      </c>
      <c r="P10" s="19" t="s">
        <v>81</v>
      </c>
      <c r="Q10" s="19" t="s">
        <v>560</v>
      </c>
      <c r="R10" s="21">
        <v>44774</v>
      </c>
      <c r="S10" s="21">
        <v>46604</v>
      </c>
      <c r="T10" s="24">
        <v>2200000</v>
      </c>
      <c r="U10" s="19">
        <v>15</v>
      </c>
      <c r="V10" s="25">
        <v>330000</v>
      </c>
      <c r="W10" s="25">
        <v>1870000</v>
      </c>
      <c r="X10" s="26">
        <v>1.5</v>
      </c>
      <c r="Y10" s="25">
        <v>28050</v>
      </c>
      <c r="Z10" s="19"/>
      <c r="AA10" s="28" t="s">
        <v>45</v>
      </c>
      <c r="AB10" s="23">
        <v>1141070243</v>
      </c>
      <c r="AC10" s="27">
        <v>45525</v>
      </c>
      <c r="AD10" s="28" t="s">
        <v>46</v>
      </c>
      <c r="AE10" s="28">
        <v>9</v>
      </c>
      <c r="AF10" s="29" t="s">
        <v>555</v>
      </c>
      <c r="AG10" s="35">
        <v>28050</v>
      </c>
      <c r="AH10" s="31">
        <v>0</v>
      </c>
    </row>
    <row r="11" spans="1:34" x14ac:dyDescent="0.25">
      <c r="A11" s="19" t="s">
        <v>490</v>
      </c>
      <c r="B11" s="19" t="s">
        <v>561</v>
      </c>
      <c r="C11" s="20">
        <v>45474</v>
      </c>
      <c r="D11" s="19" t="s">
        <v>35</v>
      </c>
      <c r="E11" s="19" t="s">
        <v>562</v>
      </c>
      <c r="F11" s="21">
        <v>45502</v>
      </c>
      <c r="G11" s="21">
        <v>45866</v>
      </c>
      <c r="H11" s="22" t="s">
        <v>563</v>
      </c>
      <c r="I11" s="23">
        <v>3520279192849</v>
      </c>
      <c r="J11" s="22" t="s">
        <v>211</v>
      </c>
      <c r="K11" s="19" t="s">
        <v>564</v>
      </c>
      <c r="L11" s="19" t="s">
        <v>565</v>
      </c>
      <c r="M11" s="19" t="s">
        <v>566</v>
      </c>
      <c r="N11" s="19" t="s">
        <v>561</v>
      </c>
      <c r="O11" s="28" t="s">
        <v>54</v>
      </c>
      <c r="P11" s="19" t="s">
        <v>81</v>
      </c>
      <c r="Q11" s="19" t="s">
        <v>567</v>
      </c>
      <c r="R11" s="21">
        <v>44774</v>
      </c>
      <c r="S11" s="21">
        <v>45874</v>
      </c>
      <c r="T11" s="24">
        <v>4550000</v>
      </c>
      <c r="U11" s="19">
        <v>15</v>
      </c>
      <c r="V11" s="25">
        <v>682500</v>
      </c>
      <c r="W11" s="25">
        <v>3867500</v>
      </c>
      <c r="X11" s="26">
        <v>1.5</v>
      </c>
      <c r="Y11" s="25">
        <v>58012.5</v>
      </c>
      <c r="Z11" s="19"/>
      <c r="AA11" s="28" t="s">
        <v>45</v>
      </c>
      <c r="AB11" s="23">
        <v>1141070243</v>
      </c>
      <c r="AC11" s="27">
        <v>45525</v>
      </c>
      <c r="AD11" s="28" t="s">
        <v>46</v>
      </c>
      <c r="AE11" s="28">
        <v>9</v>
      </c>
      <c r="AF11" s="29" t="s">
        <v>562</v>
      </c>
      <c r="AG11" s="35">
        <v>58013</v>
      </c>
      <c r="AH11" s="31">
        <v>-0.5</v>
      </c>
    </row>
    <row r="12" spans="1:34" x14ac:dyDescent="0.25">
      <c r="A12" s="19" t="s">
        <v>490</v>
      </c>
      <c r="B12" s="19" t="s">
        <v>568</v>
      </c>
      <c r="C12" s="20">
        <v>45474</v>
      </c>
      <c r="D12" s="19" t="s">
        <v>35</v>
      </c>
      <c r="E12" s="19" t="s">
        <v>569</v>
      </c>
      <c r="F12" s="21">
        <v>45503</v>
      </c>
      <c r="G12" s="21">
        <v>45867</v>
      </c>
      <c r="H12" s="22" t="s">
        <v>570</v>
      </c>
      <c r="I12" s="23">
        <v>3520191812011</v>
      </c>
      <c r="J12" s="22" t="s">
        <v>571</v>
      </c>
      <c r="K12" s="19" t="s">
        <v>572</v>
      </c>
      <c r="L12" s="19" t="s">
        <v>573</v>
      </c>
      <c r="M12" s="19" t="s">
        <v>574</v>
      </c>
      <c r="N12" s="19" t="s">
        <v>568</v>
      </c>
      <c r="O12" s="28" t="s">
        <v>54</v>
      </c>
      <c r="P12" s="19" t="s">
        <v>81</v>
      </c>
      <c r="Q12" s="19" t="s">
        <v>575</v>
      </c>
      <c r="R12" s="21">
        <v>44411</v>
      </c>
      <c r="S12" s="21">
        <v>46970</v>
      </c>
      <c r="T12" s="24">
        <v>1489000</v>
      </c>
      <c r="U12" s="19">
        <v>20</v>
      </c>
      <c r="V12" s="25">
        <v>297800</v>
      </c>
      <c r="W12" s="25">
        <v>1191200</v>
      </c>
      <c r="X12" s="26">
        <v>2.5</v>
      </c>
      <c r="Y12" s="25">
        <v>29780</v>
      </c>
      <c r="Z12" s="19"/>
      <c r="AA12" s="28" t="s">
        <v>45</v>
      </c>
      <c r="AB12" s="23">
        <v>1141070243</v>
      </c>
      <c r="AC12" s="27">
        <v>45525</v>
      </c>
      <c r="AD12" s="28" t="s">
        <v>46</v>
      </c>
      <c r="AE12" s="28">
        <v>0</v>
      </c>
      <c r="AF12" s="29" t="s">
        <v>569</v>
      </c>
      <c r="AG12" s="35">
        <v>29780</v>
      </c>
      <c r="AH12" s="31">
        <v>0</v>
      </c>
    </row>
    <row r="13" spans="1:34" x14ac:dyDescent="0.25">
      <c r="A13" s="19" t="s">
        <v>490</v>
      </c>
      <c r="B13" s="19" t="s">
        <v>576</v>
      </c>
      <c r="C13" s="20">
        <v>45474</v>
      </c>
      <c r="D13" s="19" t="s">
        <v>35</v>
      </c>
      <c r="E13" s="19" t="s">
        <v>577</v>
      </c>
      <c r="F13" s="21">
        <v>45479</v>
      </c>
      <c r="G13" s="21">
        <v>45843</v>
      </c>
      <c r="H13" s="22" t="s">
        <v>578</v>
      </c>
      <c r="I13" s="23">
        <v>3630272578625</v>
      </c>
      <c r="J13" s="22" t="s">
        <v>104</v>
      </c>
      <c r="K13" s="19" t="s">
        <v>579</v>
      </c>
      <c r="L13" s="19" t="s">
        <v>580</v>
      </c>
      <c r="M13" s="19" t="s">
        <v>581</v>
      </c>
      <c r="N13" s="19" t="s">
        <v>576</v>
      </c>
      <c r="O13" s="28" t="s">
        <v>54</v>
      </c>
      <c r="P13" s="19" t="s">
        <v>152</v>
      </c>
      <c r="Q13" s="19" t="s">
        <v>582</v>
      </c>
      <c r="R13" s="21">
        <v>44392</v>
      </c>
      <c r="S13" s="21">
        <v>46209</v>
      </c>
      <c r="T13" s="24">
        <v>1730000</v>
      </c>
      <c r="U13" s="19">
        <v>20</v>
      </c>
      <c r="V13" s="25">
        <v>346000</v>
      </c>
      <c r="W13" s="25">
        <v>1384000</v>
      </c>
      <c r="X13" s="26">
        <v>2.5</v>
      </c>
      <c r="Y13" s="25">
        <v>34600</v>
      </c>
      <c r="Z13" s="19"/>
      <c r="AA13" s="28" t="s">
        <v>45</v>
      </c>
      <c r="AB13" s="23">
        <v>1141070243</v>
      </c>
      <c r="AC13" s="27">
        <v>45525</v>
      </c>
      <c r="AD13" s="28" t="s">
        <v>46</v>
      </c>
      <c r="AE13" s="28">
        <v>0</v>
      </c>
      <c r="AF13" s="29" t="s">
        <v>577</v>
      </c>
      <c r="AG13" s="35">
        <v>34600</v>
      </c>
      <c r="AH13" s="31">
        <v>0</v>
      </c>
    </row>
    <row r="14" spans="1:34" x14ac:dyDescent="0.25">
      <c r="A14" s="19" t="s">
        <v>490</v>
      </c>
      <c r="B14" s="19" t="s">
        <v>583</v>
      </c>
      <c r="C14" s="20">
        <v>45474</v>
      </c>
      <c r="D14" s="19" t="s">
        <v>35</v>
      </c>
      <c r="E14" s="19" t="s">
        <v>584</v>
      </c>
      <c r="F14" s="21">
        <v>45485</v>
      </c>
      <c r="G14" s="21">
        <v>45849</v>
      </c>
      <c r="H14" s="22" t="s">
        <v>585</v>
      </c>
      <c r="I14" s="23">
        <v>3520207697381</v>
      </c>
      <c r="J14" s="22" t="s">
        <v>571</v>
      </c>
      <c r="K14" s="19" t="s">
        <v>586</v>
      </c>
      <c r="L14" s="19" t="s">
        <v>587</v>
      </c>
      <c r="M14" s="19" t="s">
        <v>588</v>
      </c>
      <c r="N14" s="19" t="s">
        <v>583</v>
      </c>
      <c r="O14" s="28" t="s">
        <v>54</v>
      </c>
      <c r="P14" s="19" t="s">
        <v>81</v>
      </c>
      <c r="Q14" s="19" t="s">
        <v>589</v>
      </c>
      <c r="R14" s="21">
        <v>44403</v>
      </c>
      <c r="S14" s="21">
        <v>46239</v>
      </c>
      <c r="T14" s="24">
        <v>1585000</v>
      </c>
      <c r="U14" s="19">
        <v>20</v>
      </c>
      <c r="V14" s="25">
        <v>317000</v>
      </c>
      <c r="W14" s="25">
        <v>1268000</v>
      </c>
      <c r="X14" s="26">
        <v>2.5</v>
      </c>
      <c r="Y14" s="25">
        <v>31700</v>
      </c>
      <c r="Z14" s="19"/>
      <c r="AA14" s="28" t="s">
        <v>45</v>
      </c>
      <c r="AB14" s="23">
        <v>1141070243</v>
      </c>
      <c r="AC14" s="27">
        <v>45525</v>
      </c>
      <c r="AD14" s="28" t="s">
        <v>46</v>
      </c>
      <c r="AE14" s="28">
        <v>9</v>
      </c>
      <c r="AF14" s="29" t="s">
        <v>584</v>
      </c>
      <c r="AG14" s="35">
        <v>31700</v>
      </c>
      <c r="AH14" s="31">
        <v>0</v>
      </c>
    </row>
    <row r="15" spans="1:34" x14ac:dyDescent="0.25">
      <c r="A15" s="19" t="s">
        <v>490</v>
      </c>
      <c r="B15" s="19" t="s">
        <v>590</v>
      </c>
      <c r="C15" s="20">
        <v>45474</v>
      </c>
      <c r="D15" s="19" t="s">
        <v>35</v>
      </c>
      <c r="E15" s="19" t="s">
        <v>591</v>
      </c>
      <c r="F15" s="21">
        <v>45492</v>
      </c>
      <c r="G15" s="21">
        <v>45856</v>
      </c>
      <c r="H15" s="22" t="s">
        <v>592</v>
      </c>
      <c r="I15" s="23">
        <v>3410137295069</v>
      </c>
      <c r="J15" s="22" t="s">
        <v>494</v>
      </c>
      <c r="K15" s="19" t="s">
        <v>593</v>
      </c>
      <c r="L15" s="19" t="s">
        <v>594</v>
      </c>
      <c r="M15" s="19" t="s">
        <v>595</v>
      </c>
      <c r="N15" s="19" t="s">
        <v>590</v>
      </c>
      <c r="O15" s="28" t="s">
        <v>54</v>
      </c>
      <c r="P15" s="19" t="s">
        <v>81</v>
      </c>
      <c r="Q15" s="19" t="s">
        <v>596</v>
      </c>
      <c r="R15" s="21">
        <v>44407</v>
      </c>
      <c r="S15" s="21">
        <v>46239</v>
      </c>
      <c r="T15" s="24">
        <v>5430000</v>
      </c>
      <c r="U15" s="19">
        <v>20</v>
      </c>
      <c r="V15" s="25">
        <v>1086000</v>
      </c>
      <c r="W15" s="25">
        <v>4344000</v>
      </c>
      <c r="X15" s="26">
        <v>1.5</v>
      </c>
      <c r="Y15" s="25">
        <v>65160</v>
      </c>
      <c r="Z15" s="19"/>
      <c r="AA15" s="28" t="s">
        <v>45</v>
      </c>
      <c r="AB15" s="23">
        <v>1141070243</v>
      </c>
      <c r="AC15" s="27">
        <v>45525</v>
      </c>
      <c r="AD15" s="28" t="s">
        <v>46</v>
      </c>
      <c r="AE15" s="28">
        <v>9</v>
      </c>
      <c r="AF15" s="29" t="s">
        <v>591</v>
      </c>
      <c r="AG15" s="35">
        <v>65160</v>
      </c>
      <c r="AH15" s="31">
        <v>0</v>
      </c>
    </row>
    <row r="16" spans="1:34" x14ac:dyDescent="0.25">
      <c r="A16" s="19" t="s">
        <v>490</v>
      </c>
      <c r="B16" s="19" t="s">
        <v>597</v>
      </c>
      <c r="C16" s="20">
        <v>45474</v>
      </c>
      <c r="D16" s="19" t="s">
        <v>35</v>
      </c>
      <c r="E16" s="19" t="s">
        <v>598</v>
      </c>
      <c r="F16" s="21">
        <v>45499</v>
      </c>
      <c r="G16" s="21">
        <v>45863</v>
      </c>
      <c r="H16" s="22" t="s">
        <v>599</v>
      </c>
      <c r="I16" s="23">
        <v>3520181742463</v>
      </c>
      <c r="J16" s="22" t="s">
        <v>600</v>
      </c>
      <c r="K16" s="19" t="s">
        <v>601</v>
      </c>
      <c r="L16" s="19" t="s">
        <v>602</v>
      </c>
      <c r="M16" s="19" t="s">
        <v>603</v>
      </c>
      <c r="N16" s="19" t="s">
        <v>597</v>
      </c>
      <c r="O16" s="28" t="s">
        <v>54</v>
      </c>
      <c r="P16" s="19" t="s">
        <v>81</v>
      </c>
      <c r="Q16" s="19" t="s">
        <v>604</v>
      </c>
      <c r="R16" s="21">
        <v>44407</v>
      </c>
      <c r="S16" s="21">
        <v>46239</v>
      </c>
      <c r="T16" s="24">
        <v>1198000</v>
      </c>
      <c r="U16" s="19">
        <v>20</v>
      </c>
      <c r="V16" s="25">
        <v>239600</v>
      </c>
      <c r="W16" s="25">
        <v>958400</v>
      </c>
      <c r="X16" s="26">
        <v>2</v>
      </c>
      <c r="Y16" s="25">
        <v>19168</v>
      </c>
      <c r="Z16" s="19"/>
      <c r="AA16" s="28" t="s">
        <v>45</v>
      </c>
      <c r="AB16" s="23">
        <v>1141070243</v>
      </c>
      <c r="AC16" s="27">
        <v>45525</v>
      </c>
      <c r="AD16" s="28" t="s">
        <v>46</v>
      </c>
      <c r="AE16" s="28">
        <v>0</v>
      </c>
      <c r="AF16" s="29" t="s">
        <v>598</v>
      </c>
      <c r="AG16" s="35">
        <v>19168</v>
      </c>
      <c r="AH16" s="31">
        <v>0</v>
      </c>
    </row>
    <row r="17" spans="1:34" x14ac:dyDescent="0.25">
      <c r="A17" s="19" t="s">
        <v>490</v>
      </c>
      <c r="B17" s="19" t="s">
        <v>605</v>
      </c>
      <c r="C17" s="20">
        <v>45474</v>
      </c>
      <c r="D17" s="19" t="s">
        <v>35</v>
      </c>
      <c r="E17" s="19" t="s">
        <v>606</v>
      </c>
      <c r="F17" s="21">
        <v>45490</v>
      </c>
      <c r="G17" s="21">
        <v>45854</v>
      </c>
      <c r="H17" s="22" t="s">
        <v>607</v>
      </c>
      <c r="I17" s="23">
        <v>3630237778277</v>
      </c>
      <c r="J17" s="22" t="s">
        <v>608</v>
      </c>
      <c r="K17" s="19" t="s">
        <v>609</v>
      </c>
      <c r="L17" s="19" t="s">
        <v>610</v>
      </c>
      <c r="M17" s="19" t="s">
        <v>611</v>
      </c>
      <c r="N17" s="19" t="s">
        <v>605</v>
      </c>
      <c r="O17" s="28" t="s">
        <v>54</v>
      </c>
      <c r="P17" s="19" t="s">
        <v>152</v>
      </c>
      <c r="Q17" s="19" t="s">
        <v>612</v>
      </c>
      <c r="R17" s="21">
        <v>45131</v>
      </c>
      <c r="S17" s="21">
        <v>46239</v>
      </c>
      <c r="T17" s="24">
        <v>2250000</v>
      </c>
      <c r="U17" s="19">
        <v>10</v>
      </c>
      <c r="V17" s="25">
        <v>225000</v>
      </c>
      <c r="W17" s="25">
        <v>2025000</v>
      </c>
      <c r="X17" s="26">
        <v>2</v>
      </c>
      <c r="Y17" s="25">
        <v>40500</v>
      </c>
      <c r="Z17" s="19"/>
      <c r="AA17" s="28" t="s">
        <v>45</v>
      </c>
      <c r="AB17" s="23">
        <v>1141070243</v>
      </c>
      <c r="AC17" s="27">
        <v>45525</v>
      </c>
      <c r="AD17" s="28" t="s">
        <v>46</v>
      </c>
      <c r="AE17" s="28">
        <v>9</v>
      </c>
      <c r="AF17" s="29" t="s">
        <v>606</v>
      </c>
      <c r="AG17" s="35">
        <v>40500</v>
      </c>
      <c r="AH17" s="31">
        <v>0</v>
      </c>
    </row>
    <row r="18" spans="1:34" x14ac:dyDescent="0.25">
      <c r="A18" s="19" t="s">
        <v>490</v>
      </c>
      <c r="B18" s="19" t="s">
        <v>613</v>
      </c>
      <c r="C18" s="20">
        <v>45474</v>
      </c>
      <c r="D18" s="19" t="s">
        <v>35</v>
      </c>
      <c r="E18" s="19" t="s">
        <v>614</v>
      </c>
      <c r="F18" s="21">
        <v>45488</v>
      </c>
      <c r="G18" s="21">
        <v>45852</v>
      </c>
      <c r="H18" s="22" t="s">
        <v>615</v>
      </c>
      <c r="I18" s="23">
        <v>1720122426905</v>
      </c>
      <c r="J18" s="22" t="s">
        <v>616</v>
      </c>
      <c r="K18" s="19" t="s">
        <v>617</v>
      </c>
      <c r="L18" s="19" t="s">
        <v>618</v>
      </c>
      <c r="M18" s="19" t="s">
        <v>619</v>
      </c>
      <c r="N18" s="19" t="s">
        <v>613</v>
      </c>
      <c r="O18" s="28" t="s">
        <v>54</v>
      </c>
      <c r="P18" s="19" t="s">
        <v>81</v>
      </c>
      <c r="Q18" s="19" t="s">
        <v>620</v>
      </c>
      <c r="R18" s="21">
        <v>44403</v>
      </c>
      <c r="S18" s="21">
        <v>46239</v>
      </c>
      <c r="T18" s="24">
        <v>1520000</v>
      </c>
      <c r="U18" s="19">
        <v>20</v>
      </c>
      <c r="V18" s="25">
        <v>304000</v>
      </c>
      <c r="W18" s="25">
        <v>1216000</v>
      </c>
      <c r="X18" s="26">
        <v>2.5</v>
      </c>
      <c r="Y18" s="25">
        <v>30400</v>
      </c>
      <c r="Z18" s="19"/>
      <c r="AA18" s="28" t="s">
        <v>45</v>
      </c>
      <c r="AB18" s="23">
        <v>1141070243</v>
      </c>
      <c r="AC18" s="27">
        <v>45525</v>
      </c>
      <c r="AD18" s="28" t="s">
        <v>46</v>
      </c>
      <c r="AE18" s="28">
        <v>9</v>
      </c>
      <c r="AF18" s="29" t="s">
        <v>614</v>
      </c>
      <c r="AG18" s="35">
        <v>30400</v>
      </c>
      <c r="AH18" s="31">
        <v>0</v>
      </c>
    </row>
    <row r="19" spans="1:34" x14ac:dyDescent="0.25">
      <c r="A19" s="19" t="s">
        <v>490</v>
      </c>
      <c r="B19" s="19" t="s">
        <v>621</v>
      </c>
      <c r="C19" s="20">
        <v>45474</v>
      </c>
      <c r="D19" s="19" t="s">
        <v>35</v>
      </c>
      <c r="E19" s="19" t="s">
        <v>622</v>
      </c>
      <c r="F19" s="21">
        <v>45485</v>
      </c>
      <c r="G19" s="21">
        <v>45849</v>
      </c>
      <c r="H19" s="22" t="s">
        <v>623</v>
      </c>
      <c r="I19" s="23">
        <v>3520046767131</v>
      </c>
      <c r="J19" s="22" t="s">
        <v>104</v>
      </c>
      <c r="K19" s="19" t="s">
        <v>624</v>
      </c>
      <c r="L19" s="19" t="s">
        <v>625</v>
      </c>
      <c r="M19" s="19" t="s">
        <v>626</v>
      </c>
      <c r="N19" s="19" t="s">
        <v>621</v>
      </c>
      <c r="O19" s="28" t="s">
        <v>54</v>
      </c>
      <c r="P19" s="19" t="s">
        <v>81</v>
      </c>
      <c r="Q19" s="19" t="s">
        <v>627</v>
      </c>
      <c r="R19" s="21">
        <v>44393</v>
      </c>
      <c r="S19" s="21">
        <v>46239</v>
      </c>
      <c r="T19" s="24">
        <v>1610000</v>
      </c>
      <c r="U19" s="19">
        <v>20</v>
      </c>
      <c r="V19" s="25">
        <v>322000</v>
      </c>
      <c r="W19" s="25">
        <v>1288000</v>
      </c>
      <c r="X19" s="26">
        <v>2.5</v>
      </c>
      <c r="Y19" s="25">
        <v>32200</v>
      </c>
      <c r="Z19" s="19"/>
      <c r="AA19" s="28" t="s">
        <v>45</v>
      </c>
      <c r="AB19" s="23">
        <v>1141070243</v>
      </c>
      <c r="AC19" s="27">
        <v>45525</v>
      </c>
      <c r="AD19" s="28" t="s">
        <v>46</v>
      </c>
      <c r="AE19" s="28">
        <v>9</v>
      </c>
      <c r="AF19" s="29" t="s">
        <v>622</v>
      </c>
      <c r="AG19" s="35">
        <v>32200</v>
      </c>
      <c r="AH19" s="31">
        <v>0</v>
      </c>
    </row>
    <row r="20" spans="1:34" x14ac:dyDescent="0.25">
      <c r="A20" s="19" t="s">
        <v>490</v>
      </c>
      <c r="B20" s="19" t="s">
        <v>628</v>
      </c>
      <c r="C20" s="20">
        <v>45474</v>
      </c>
      <c r="D20" s="19" t="s">
        <v>35</v>
      </c>
      <c r="E20" s="19" t="s">
        <v>629</v>
      </c>
      <c r="F20" s="21">
        <v>45489</v>
      </c>
      <c r="G20" s="21">
        <v>45853</v>
      </c>
      <c r="H20" s="22" t="s">
        <v>630</v>
      </c>
      <c r="I20" s="23">
        <v>3520189050437</v>
      </c>
      <c r="J20" s="22" t="s">
        <v>148</v>
      </c>
      <c r="K20" s="19" t="s">
        <v>631</v>
      </c>
      <c r="L20" s="19" t="s">
        <v>632</v>
      </c>
      <c r="M20" s="19" t="s">
        <v>633</v>
      </c>
      <c r="N20" s="19" t="s">
        <v>628</v>
      </c>
      <c r="O20" s="28" t="s">
        <v>54</v>
      </c>
      <c r="P20" s="19" t="s">
        <v>81</v>
      </c>
      <c r="Q20" s="19" t="s">
        <v>634</v>
      </c>
      <c r="R20" s="21">
        <v>44403</v>
      </c>
      <c r="S20" s="21">
        <v>46239</v>
      </c>
      <c r="T20" s="24">
        <v>1830000</v>
      </c>
      <c r="U20" s="19">
        <v>20</v>
      </c>
      <c r="V20" s="25">
        <v>366000</v>
      </c>
      <c r="W20" s="25">
        <v>1464000</v>
      </c>
      <c r="X20" s="26">
        <v>2.5</v>
      </c>
      <c r="Y20" s="25">
        <v>36600</v>
      </c>
      <c r="Z20" s="19"/>
      <c r="AA20" s="28" t="s">
        <v>45</v>
      </c>
      <c r="AB20" s="23">
        <v>1141070243</v>
      </c>
      <c r="AC20" s="27">
        <v>45525</v>
      </c>
      <c r="AD20" s="28" t="s">
        <v>46</v>
      </c>
      <c r="AE20" s="28">
        <v>0</v>
      </c>
      <c r="AF20" s="29" t="s">
        <v>629</v>
      </c>
      <c r="AG20" s="35">
        <v>36600</v>
      </c>
      <c r="AH20" s="31">
        <v>0</v>
      </c>
    </row>
    <row r="21" spans="1:34" x14ac:dyDescent="0.25">
      <c r="A21" s="19" t="s">
        <v>490</v>
      </c>
      <c r="B21" s="19" t="s">
        <v>635</v>
      </c>
      <c r="C21" s="20">
        <v>45474</v>
      </c>
      <c r="D21" s="19" t="s">
        <v>35</v>
      </c>
      <c r="E21" s="19" t="s">
        <v>636</v>
      </c>
      <c r="F21" s="21">
        <v>45478</v>
      </c>
      <c r="G21" s="21">
        <v>45842</v>
      </c>
      <c r="H21" s="22" t="s">
        <v>637</v>
      </c>
      <c r="I21" s="23">
        <v>3510313619355</v>
      </c>
      <c r="J21" s="22" t="s">
        <v>638</v>
      </c>
      <c r="K21" s="19" t="s">
        <v>639</v>
      </c>
      <c r="L21" s="19" t="s">
        <v>640</v>
      </c>
      <c r="M21" s="19" t="s">
        <v>641</v>
      </c>
      <c r="N21" s="19" t="s">
        <v>635</v>
      </c>
      <c r="O21" s="28" t="s">
        <v>54</v>
      </c>
      <c r="P21" s="19" t="s">
        <v>642</v>
      </c>
      <c r="Q21" s="19" t="s">
        <v>643</v>
      </c>
      <c r="R21" s="21">
        <v>44384</v>
      </c>
      <c r="S21" s="21">
        <v>46209</v>
      </c>
      <c r="T21" s="24">
        <v>4549000</v>
      </c>
      <c r="U21" s="19">
        <v>20</v>
      </c>
      <c r="V21" s="25">
        <v>909800</v>
      </c>
      <c r="W21" s="25">
        <v>3639200</v>
      </c>
      <c r="X21" s="26">
        <v>1.5</v>
      </c>
      <c r="Y21" s="25">
        <v>54588</v>
      </c>
      <c r="Z21" s="19"/>
      <c r="AA21" s="28" t="s">
        <v>45</v>
      </c>
      <c r="AB21" s="23">
        <v>1141070243</v>
      </c>
      <c r="AC21" s="27">
        <v>45525</v>
      </c>
      <c r="AD21" s="28" t="s">
        <v>46</v>
      </c>
      <c r="AE21" s="28">
        <v>0</v>
      </c>
      <c r="AF21" s="29" t="s">
        <v>636</v>
      </c>
      <c r="AG21" s="35">
        <v>54588</v>
      </c>
      <c r="AH21" s="31">
        <v>0</v>
      </c>
    </row>
    <row r="22" spans="1:34" x14ac:dyDescent="0.25">
      <c r="A22" s="19" t="s">
        <v>490</v>
      </c>
      <c r="B22" s="19" t="s">
        <v>644</v>
      </c>
      <c r="C22" s="20">
        <v>45474</v>
      </c>
      <c r="D22" s="19" t="s">
        <v>35</v>
      </c>
      <c r="E22" s="19" t="s">
        <v>645</v>
      </c>
      <c r="F22" s="21">
        <v>45485</v>
      </c>
      <c r="G22" s="21">
        <v>45849</v>
      </c>
      <c r="H22" s="22" t="s">
        <v>646</v>
      </c>
      <c r="I22" s="23">
        <v>3520261946731</v>
      </c>
      <c r="J22" s="22" t="s">
        <v>647</v>
      </c>
      <c r="K22" s="19" t="s">
        <v>648</v>
      </c>
      <c r="L22" s="19" t="s">
        <v>649</v>
      </c>
      <c r="M22" s="19" t="s">
        <v>650</v>
      </c>
      <c r="N22" s="19" t="s">
        <v>644</v>
      </c>
      <c r="O22" s="28" t="s">
        <v>54</v>
      </c>
      <c r="P22" s="19" t="s">
        <v>81</v>
      </c>
      <c r="Q22" s="19" t="s">
        <v>651</v>
      </c>
      <c r="R22" s="21">
        <v>44407</v>
      </c>
      <c r="S22" s="21">
        <v>46239</v>
      </c>
      <c r="T22" s="24">
        <v>2653000</v>
      </c>
      <c r="U22" s="19">
        <v>20</v>
      </c>
      <c r="V22" s="25">
        <v>530600</v>
      </c>
      <c r="W22" s="25">
        <v>2122400</v>
      </c>
      <c r="X22" s="26">
        <v>2.5</v>
      </c>
      <c r="Y22" s="25">
        <v>53060</v>
      </c>
      <c r="Z22" s="19"/>
      <c r="AA22" s="28" t="s">
        <v>45</v>
      </c>
      <c r="AB22" s="23">
        <v>1141070243</v>
      </c>
      <c r="AC22" s="27">
        <v>45525</v>
      </c>
      <c r="AD22" s="28" t="s">
        <v>46</v>
      </c>
      <c r="AE22" s="28">
        <v>0</v>
      </c>
      <c r="AF22" s="29" t="s">
        <v>645</v>
      </c>
      <c r="AG22" s="35">
        <v>53060</v>
      </c>
      <c r="AH22" s="31">
        <v>0</v>
      </c>
    </row>
    <row r="23" spans="1:34" x14ac:dyDescent="0.25">
      <c r="A23" s="19" t="s">
        <v>490</v>
      </c>
      <c r="B23" s="19" t="s">
        <v>652</v>
      </c>
      <c r="C23" s="20">
        <v>45474</v>
      </c>
      <c r="D23" s="19" t="s">
        <v>35</v>
      </c>
      <c r="E23" s="19" t="s">
        <v>653</v>
      </c>
      <c r="F23" s="21">
        <v>45488</v>
      </c>
      <c r="G23" s="21">
        <v>45852</v>
      </c>
      <c r="H23" s="22" t="s">
        <v>654</v>
      </c>
      <c r="I23" s="23">
        <v>3520299942851</v>
      </c>
      <c r="J23" s="22" t="s">
        <v>616</v>
      </c>
      <c r="K23" s="19" t="s">
        <v>655</v>
      </c>
      <c r="L23" s="19" t="s">
        <v>656</v>
      </c>
      <c r="M23" s="19" t="s">
        <v>657</v>
      </c>
      <c r="N23" s="19" t="s">
        <v>652</v>
      </c>
      <c r="O23" s="28" t="s">
        <v>54</v>
      </c>
      <c r="P23" s="19" t="s">
        <v>81</v>
      </c>
      <c r="Q23" s="19" t="s">
        <v>658</v>
      </c>
      <c r="R23" s="21">
        <v>44403</v>
      </c>
      <c r="S23" s="21">
        <v>46239</v>
      </c>
      <c r="T23" s="24">
        <v>1610000</v>
      </c>
      <c r="U23" s="19">
        <v>20</v>
      </c>
      <c r="V23" s="25">
        <v>322000</v>
      </c>
      <c r="W23" s="25">
        <v>1288000</v>
      </c>
      <c r="X23" s="26">
        <v>2.5</v>
      </c>
      <c r="Y23" s="25">
        <v>32200</v>
      </c>
      <c r="Z23" s="19"/>
      <c r="AA23" s="28" t="s">
        <v>45</v>
      </c>
      <c r="AB23" s="23">
        <v>1141070243</v>
      </c>
      <c r="AC23" s="27">
        <v>45525</v>
      </c>
      <c r="AD23" s="28" t="s">
        <v>46</v>
      </c>
      <c r="AE23" s="28">
        <v>0</v>
      </c>
      <c r="AF23" s="29" t="s">
        <v>653</v>
      </c>
      <c r="AG23" s="35">
        <v>32200</v>
      </c>
      <c r="AH23" s="31">
        <v>0</v>
      </c>
    </row>
    <row r="24" spans="1:34" x14ac:dyDescent="0.25">
      <c r="A24" s="19" t="s">
        <v>490</v>
      </c>
      <c r="B24" s="19" t="s">
        <v>659</v>
      </c>
      <c r="C24" s="20">
        <v>45474</v>
      </c>
      <c r="D24" s="19" t="s">
        <v>35</v>
      </c>
      <c r="E24" s="19" t="s">
        <v>660</v>
      </c>
      <c r="F24" s="21">
        <v>45492</v>
      </c>
      <c r="G24" s="21">
        <v>45856</v>
      </c>
      <c r="H24" s="22" t="s">
        <v>661</v>
      </c>
      <c r="I24" s="23">
        <v>3520245182309</v>
      </c>
      <c r="J24" s="22" t="s">
        <v>525</v>
      </c>
      <c r="K24" s="19" t="s">
        <v>662</v>
      </c>
      <c r="L24" s="19" t="s">
        <v>663</v>
      </c>
      <c r="M24" s="19" t="s">
        <v>664</v>
      </c>
      <c r="N24" s="19" t="s">
        <v>659</v>
      </c>
      <c r="O24" s="28" t="s">
        <v>54</v>
      </c>
      <c r="P24" s="19" t="s">
        <v>81</v>
      </c>
      <c r="Q24" s="19" t="s">
        <v>665</v>
      </c>
      <c r="R24" s="21">
        <v>44404</v>
      </c>
      <c r="S24" s="21">
        <v>46239</v>
      </c>
      <c r="T24" s="24">
        <v>4127000</v>
      </c>
      <c r="U24" s="19">
        <v>20</v>
      </c>
      <c r="V24" s="25">
        <v>825400</v>
      </c>
      <c r="W24" s="25">
        <v>3301600</v>
      </c>
      <c r="X24" s="26">
        <v>1.5</v>
      </c>
      <c r="Y24" s="25">
        <v>49524</v>
      </c>
      <c r="Z24" s="19"/>
      <c r="AA24" s="28" t="s">
        <v>45</v>
      </c>
      <c r="AB24" s="23">
        <v>1141070243</v>
      </c>
      <c r="AC24" s="27">
        <v>45525</v>
      </c>
      <c r="AD24" s="28" t="s">
        <v>46</v>
      </c>
      <c r="AE24" s="28">
        <v>9</v>
      </c>
      <c r="AF24" s="29" t="s">
        <v>660</v>
      </c>
      <c r="AG24" s="35">
        <v>49524</v>
      </c>
      <c r="AH24" s="31">
        <v>0</v>
      </c>
    </row>
    <row r="25" spans="1:34" x14ac:dyDescent="0.25">
      <c r="A25" s="19" t="s">
        <v>490</v>
      </c>
      <c r="B25" s="19" t="s">
        <v>666</v>
      </c>
      <c r="C25" s="20">
        <v>45474</v>
      </c>
      <c r="D25" s="19" t="s">
        <v>35</v>
      </c>
      <c r="E25" s="19" t="s">
        <v>667</v>
      </c>
      <c r="F25" s="21">
        <v>45503</v>
      </c>
      <c r="G25" s="21">
        <v>45867</v>
      </c>
      <c r="H25" s="22" t="s">
        <v>668</v>
      </c>
      <c r="I25" s="23">
        <v>3520255971883</v>
      </c>
      <c r="J25" s="22" t="s">
        <v>669</v>
      </c>
      <c r="K25" s="19" t="s">
        <v>670</v>
      </c>
      <c r="L25" s="19" t="s">
        <v>671</v>
      </c>
      <c r="M25" s="19" t="s">
        <v>672</v>
      </c>
      <c r="N25" s="19" t="s">
        <v>666</v>
      </c>
      <c r="O25" s="28" t="s">
        <v>54</v>
      </c>
      <c r="P25" s="19" t="s">
        <v>673</v>
      </c>
      <c r="Q25" s="19" t="s">
        <v>674</v>
      </c>
      <c r="R25" s="21">
        <v>44417</v>
      </c>
      <c r="S25" s="21">
        <v>46970</v>
      </c>
      <c r="T25" s="24">
        <v>3033000</v>
      </c>
      <c r="U25" s="19">
        <v>20</v>
      </c>
      <c r="V25" s="25">
        <v>606600</v>
      </c>
      <c r="W25" s="25">
        <v>2426400</v>
      </c>
      <c r="X25" s="26">
        <v>2.5</v>
      </c>
      <c r="Y25" s="25">
        <v>60660</v>
      </c>
      <c r="Z25" s="19"/>
      <c r="AA25" s="28" t="s">
        <v>45</v>
      </c>
      <c r="AB25" s="23">
        <v>1141070243</v>
      </c>
      <c r="AC25" s="27">
        <v>45525</v>
      </c>
      <c r="AD25" s="28" t="s">
        <v>46</v>
      </c>
      <c r="AE25" s="28">
        <v>40</v>
      </c>
      <c r="AF25" s="29" t="s">
        <v>667</v>
      </c>
      <c r="AG25" s="35">
        <v>60660</v>
      </c>
      <c r="AH25" s="31">
        <v>0</v>
      </c>
    </row>
    <row r="26" spans="1:34" x14ac:dyDescent="0.25">
      <c r="A26" s="19" t="s">
        <v>490</v>
      </c>
      <c r="B26" s="19" t="s">
        <v>675</v>
      </c>
      <c r="C26" s="20">
        <v>45474</v>
      </c>
      <c r="D26" s="19" t="s">
        <v>35</v>
      </c>
      <c r="E26" s="19" t="s">
        <v>676</v>
      </c>
      <c r="F26" s="21">
        <v>45489</v>
      </c>
      <c r="G26" s="21">
        <v>45853</v>
      </c>
      <c r="H26" s="22" t="s">
        <v>677</v>
      </c>
      <c r="I26" s="23">
        <v>3410448136453</v>
      </c>
      <c r="J26" s="22" t="s">
        <v>320</v>
      </c>
      <c r="K26" s="19" t="s">
        <v>678</v>
      </c>
      <c r="L26" s="19" t="s">
        <v>679</v>
      </c>
      <c r="M26" s="19" t="s">
        <v>680</v>
      </c>
      <c r="N26" s="19" t="s">
        <v>675</v>
      </c>
      <c r="O26" s="28" t="s">
        <v>54</v>
      </c>
      <c r="P26" s="19" t="s">
        <v>681</v>
      </c>
      <c r="Q26" s="19" t="s">
        <v>682</v>
      </c>
      <c r="R26" s="21">
        <v>44406</v>
      </c>
      <c r="S26" s="21">
        <v>46239</v>
      </c>
      <c r="T26" s="24">
        <v>4033000</v>
      </c>
      <c r="U26" s="19">
        <v>20</v>
      </c>
      <c r="V26" s="25">
        <v>806600</v>
      </c>
      <c r="W26" s="25">
        <v>3226400</v>
      </c>
      <c r="X26" s="26">
        <v>1.5</v>
      </c>
      <c r="Y26" s="25">
        <v>48396</v>
      </c>
      <c r="Z26" s="19"/>
      <c r="AA26" s="28" t="s">
        <v>45</v>
      </c>
      <c r="AB26" s="23">
        <v>1141070243</v>
      </c>
      <c r="AC26" s="27">
        <v>45525</v>
      </c>
      <c r="AD26" s="28" t="s">
        <v>46</v>
      </c>
      <c r="AE26" s="28">
        <v>9</v>
      </c>
      <c r="AF26" s="29" t="s">
        <v>676</v>
      </c>
      <c r="AG26" s="35">
        <v>48396</v>
      </c>
      <c r="AH26" s="31">
        <v>0</v>
      </c>
    </row>
    <row r="27" spans="1:34" x14ac:dyDescent="0.25">
      <c r="A27" s="19" t="s">
        <v>490</v>
      </c>
      <c r="B27" s="19" t="s">
        <v>683</v>
      </c>
      <c r="C27" s="20">
        <v>45474</v>
      </c>
      <c r="D27" s="19" t="s">
        <v>35</v>
      </c>
      <c r="E27" s="19" t="s">
        <v>684</v>
      </c>
      <c r="F27" s="21">
        <v>45486</v>
      </c>
      <c r="G27" s="21">
        <v>45850</v>
      </c>
      <c r="H27" s="22" t="s">
        <v>685</v>
      </c>
      <c r="I27" s="23">
        <v>3520208588777</v>
      </c>
      <c r="J27" s="22" t="s">
        <v>167</v>
      </c>
      <c r="K27" s="19" t="s">
        <v>686</v>
      </c>
      <c r="L27" s="19" t="s">
        <v>687</v>
      </c>
      <c r="M27" s="19" t="s">
        <v>688</v>
      </c>
      <c r="N27" s="19" t="s">
        <v>683</v>
      </c>
      <c r="O27" s="28" t="s">
        <v>54</v>
      </c>
      <c r="P27" s="19" t="s">
        <v>81</v>
      </c>
      <c r="Q27" s="19" t="s">
        <v>689</v>
      </c>
      <c r="R27" s="21">
        <v>44396</v>
      </c>
      <c r="S27" s="21">
        <v>46239</v>
      </c>
      <c r="T27" s="24">
        <v>1760000</v>
      </c>
      <c r="U27" s="19">
        <v>20</v>
      </c>
      <c r="V27" s="25">
        <v>352000</v>
      </c>
      <c r="W27" s="25">
        <v>1408000</v>
      </c>
      <c r="X27" s="26">
        <v>2.5</v>
      </c>
      <c r="Y27" s="25">
        <v>35200</v>
      </c>
      <c r="Z27" s="19"/>
      <c r="AA27" s="28" t="s">
        <v>45</v>
      </c>
      <c r="AB27" s="23">
        <v>1141070243</v>
      </c>
      <c r="AC27" s="27">
        <v>45525</v>
      </c>
      <c r="AD27" s="28" t="s">
        <v>46</v>
      </c>
      <c r="AE27" s="28">
        <v>9</v>
      </c>
      <c r="AF27" s="29" t="s">
        <v>684</v>
      </c>
      <c r="AG27" s="35">
        <v>35200</v>
      </c>
      <c r="AH27" s="31">
        <v>0</v>
      </c>
    </row>
    <row r="28" spans="1:34" x14ac:dyDescent="0.25">
      <c r="A28" s="19" t="s">
        <v>490</v>
      </c>
      <c r="B28" s="19" t="s">
        <v>690</v>
      </c>
      <c r="C28" s="20">
        <v>45474</v>
      </c>
      <c r="D28" s="19" t="s">
        <v>35</v>
      </c>
      <c r="E28" s="19" t="s">
        <v>691</v>
      </c>
      <c r="F28" s="21">
        <v>45500</v>
      </c>
      <c r="G28" s="21">
        <v>45864</v>
      </c>
      <c r="H28" s="22" t="s">
        <v>692</v>
      </c>
      <c r="I28" s="23">
        <v>3330177249358</v>
      </c>
      <c r="J28" s="22" t="s">
        <v>693</v>
      </c>
      <c r="K28" s="19" t="s">
        <v>694</v>
      </c>
      <c r="L28" s="19" t="s">
        <v>695</v>
      </c>
      <c r="M28" s="19" t="s">
        <v>696</v>
      </c>
      <c r="N28" s="19" t="s">
        <v>690</v>
      </c>
      <c r="O28" s="28" t="s">
        <v>54</v>
      </c>
      <c r="P28" s="19" t="s">
        <v>81</v>
      </c>
      <c r="Q28" s="19" t="s">
        <v>697</v>
      </c>
      <c r="R28" s="21">
        <v>44407</v>
      </c>
      <c r="S28" s="21">
        <v>46239</v>
      </c>
      <c r="T28" s="24">
        <v>1049000</v>
      </c>
      <c r="U28" s="19">
        <v>20</v>
      </c>
      <c r="V28" s="25">
        <v>209800</v>
      </c>
      <c r="W28" s="25">
        <v>839200</v>
      </c>
      <c r="X28" s="26">
        <v>2.5</v>
      </c>
      <c r="Y28" s="25">
        <v>20980</v>
      </c>
      <c r="Z28" s="19"/>
      <c r="AA28" s="28" t="s">
        <v>45</v>
      </c>
      <c r="AB28" s="23">
        <v>1141070243</v>
      </c>
      <c r="AC28" s="27">
        <v>45525</v>
      </c>
      <c r="AD28" s="28" t="s">
        <v>46</v>
      </c>
      <c r="AE28" s="28">
        <v>0</v>
      </c>
      <c r="AF28" s="29" t="s">
        <v>691</v>
      </c>
      <c r="AG28" s="35">
        <v>20980</v>
      </c>
      <c r="AH28" s="31">
        <v>0</v>
      </c>
    </row>
    <row r="29" spans="1:34" x14ac:dyDescent="0.25">
      <c r="A29" s="19" t="s">
        <v>490</v>
      </c>
      <c r="B29" s="19" t="s">
        <v>698</v>
      </c>
      <c r="C29" s="20">
        <v>45474</v>
      </c>
      <c r="D29" s="19" t="s">
        <v>35</v>
      </c>
      <c r="E29" s="19" t="s">
        <v>699</v>
      </c>
      <c r="F29" s="21">
        <v>45479</v>
      </c>
      <c r="G29" s="21">
        <v>45843</v>
      </c>
      <c r="H29" s="22" t="s">
        <v>700</v>
      </c>
      <c r="I29" s="23">
        <v>3520237104045</v>
      </c>
      <c r="J29" s="22" t="s">
        <v>111</v>
      </c>
      <c r="K29" s="19" t="s">
        <v>701</v>
      </c>
      <c r="L29" s="19" t="s">
        <v>702</v>
      </c>
      <c r="M29" s="19" t="s">
        <v>703</v>
      </c>
      <c r="N29" s="19" t="s">
        <v>698</v>
      </c>
      <c r="O29" s="28" t="s">
        <v>54</v>
      </c>
      <c r="P29" s="19" t="s">
        <v>81</v>
      </c>
      <c r="Q29" s="19" t="s">
        <v>704</v>
      </c>
      <c r="R29" s="21">
        <v>44760</v>
      </c>
      <c r="S29" s="21">
        <v>46604</v>
      </c>
      <c r="T29" s="24">
        <v>1475000</v>
      </c>
      <c r="U29" s="19">
        <v>15</v>
      </c>
      <c r="V29" s="25">
        <v>221250</v>
      </c>
      <c r="W29" s="25">
        <v>1253750</v>
      </c>
      <c r="X29" s="26">
        <v>1.5</v>
      </c>
      <c r="Y29" s="25">
        <v>18806.25</v>
      </c>
      <c r="Z29" s="19"/>
      <c r="AA29" s="28" t="s">
        <v>45</v>
      </c>
      <c r="AB29" s="23">
        <v>1141070243</v>
      </c>
      <c r="AC29" s="27">
        <v>45525</v>
      </c>
      <c r="AD29" s="28" t="s">
        <v>46</v>
      </c>
      <c r="AE29" s="28">
        <v>9</v>
      </c>
      <c r="AF29" s="29" t="s">
        <v>699</v>
      </c>
      <c r="AG29" s="35">
        <v>18806</v>
      </c>
      <c r="AH29" s="31">
        <v>0.25</v>
      </c>
    </row>
    <row r="30" spans="1:34" x14ac:dyDescent="0.25">
      <c r="A30" s="19" t="s">
        <v>490</v>
      </c>
      <c r="B30" s="19" t="s">
        <v>705</v>
      </c>
      <c r="C30" s="20">
        <v>45474</v>
      </c>
      <c r="D30" s="19" t="s">
        <v>35</v>
      </c>
      <c r="E30" s="19" t="s">
        <v>706</v>
      </c>
      <c r="F30" s="21">
        <v>45489</v>
      </c>
      <c r="G30" s="21">
        <v>45853</v>
      </c>
      <c r="H30" s="22" t="s">
        <v>707</v>
      </c>
      <c r="I30" s="23">
        <v>3520168501837</v>
      </c>
      <c r="J30" s="22" t="s">
        <v>708</v>
      </c>
      <c r="K30" s="19" t="s">
        <v>709</v>
      </c>
      <c r="L30" s="19" t="s">
        <v>710</v>
      </c>
      <c r="M30" s="19" t="s">
        <v>711</v>
      </c>
      <c r="N30" s="19" t="s">
        <v>705</v>
      </c>
      <c r="O30" s="28" t="s">
        <v>54</v>
      </c>
      <c r="P30" s="19" t="s">
        <v>81</v>
      </c>
      <c r="Q30" s="19" t="s">
        <v>712</v>
      </c>
      <c r="R30" s="21">
        <v>44403</v>
      </c>
      <c r="S30" s="21">
        <v>45874</v>
      </c>
      <c r="T30" s="24">
        <v>2645000</v>
      </c>
      <c r="U30" s="19">
        <v>20</v>
      </c>
      <c r="V30" s="25">
        <v>529000</v>
      </c>
      <c r="W30" s="25">
        <v>2116000</v>
      </c>
      <c r="X30" s="26">
        <v>2.5</v>
      </c>
      <c r="Y30" s="25">
        <v>52900</v>
      </c>
      <c r="Z30" s="19"/>
      <c r="AA30" s="28" t="s">
        <v>45</v>
      </c>
      <c r="AB30" s="23">
        <v>1141070243</v>
      </c>
      <c r="AC30" s="27">
        <v>45525</v>
      </c>
      <c r="AD30" s="28" t="s">
        <v>46</v>
      </c>
      <c r="AE30" s="28">
        <v>9</v>
      </c>
      <c r="AF30" s="29" t="s">
        <v>706</v>
      </c>
      <c r="AG30" s="35">
        <v>52900</v>
      </c>
      <c r="AH30" s="31">
        <v>0</v>
      </c>
    </row>
    <row r="31" spans="1:34" x14ac:dyDescent="0.25">
      <c r="A31" s="19" t="s">
        <v>490</v>
      </c>
      <c r="B31" s="19" t="s">
        <v>713</v>
      </c>
      <c r="C31" s="20">
        <v>45474</v>
      </c>
      <c r="D31" s="19" t="s">
        <v>35</v>
      </c>
      <c r="E31" s="19" t="s">
        <v>714</v>
      </c>
      <c r="F31" s="21">
        <v>45503</v>
      </c>
      <c r="G31" s="21">
        <v>45867</v>
      </c>
      <c r="H31" s="22" t="s">
        <v>715</v>
      </c>
      <c r="I31" s="23">
        <v>3520243702217</v>
      </c>
      <c r="J31" s="22" t="s">
        <v>716</v>
      </c>
      <c r="K31" s="19" t="s">
        <v>717</v>
      </c>
      <c r="L31" s="19" t="s">
        <v>718</v>
      </c>
      <c r="M31" s="19" t="s">
        <v>719</v>
      </c>
      <c r="N31" s="19" t="s">
        <v>713</v>
      </c>
      <c r="O31" s="28" t="s">
        <v>54</v>
      </c>
      <c r="P31" s="19" t="s">
        <v>81</v>
      </c>
      <c r="Q31" s="19" t="s">
        <v>720</v>
      </c>
      <c r="R31" s="21">
        <v>44411</v>
      </c>
      <c r="S31" s="21">
        <v>46970</v>
      </c>
      <c r="T31" s="24">
        <v>1830000</v>
      </c>
      <c r="U31" s="19">
        <v>20</v>
      </c>
      <c r="V31" s="25">
        <v>366000</v>
      </c>
      <c r="W31" s="25">
        <v>1464000</v>
      </c>
      <c r="X31" s="26">
        <v>2</v>
      </c>
      <c r="Y31" s="25">
        <v>29280</v>
      </c>
      <c r="Z31" s="19"/>
      <c r="AA31" s="28" t="s">
        <v>45</v>
      </c>
      <c r="AB31" s="23">
        <v>1141070243</v>
      </c>
      <c r="AC31" s="27">
        <v>45525</v>
      </c>
      <c r="AD31" s="28" t="s">
        <v>46</v>
      </c>
      <c r="AE31" s="28">
        <v>9</v>
      </c>
      <c r="AF31" s="29" t="s">
        <v>714</v>
      </c>
      <c r="AG31" s="35">
        <v>29280</v>
      </c>
      <c r="AH31" s="31">
        <v>0</v>
      </c>
    </row>
    <row r="32" spans="1:34" x14ac:dyDescent="0.25">
      <c r="A32" s="19" t="s">
        <v>490</v>
      </c>
      <c r="B32" s="19" t="s">
        <v>721</v>
      </c>
      <c r="C32" s="20">
        <v>45474</v>
      </c>
      <c r="D32" s="19" t="s">
        <v>35</v>
      </c>
      <c r="E32" s="19" t="s">
        <v>722</v>
      </c>
      <c r="F32" s="21">
        <v>45503</v>
      </c>
      <c r="G32" s="21">
        <v>45867</v>
      </c>
      <c r="H32" s="22" t="s">
        <v>723</v>
      </c>
      <c r="I32" s="23">
        <v>3510218305191</v>
      </c>
      <c r="J32" s="22" t="s">
        <v>647</v>
      </c>
      <c r="K32" s="19" t="s">
        <v>724</v>
      </c>
      <c r="L32" s="19" t="s">
        <v>725</v>
      </c>
      <c r="M32" s="19" t="s">
        <v>726</v>
      </c>
      <c r="N32" s="19" t="s">
        <v>721</v>
      </c>
      <c r="O32" s="28" t="s">
        <v>54</v>
      </c>
      <c r="P32" s="19" t="s">
        <v>727</v>
      </c>
      <c r="Q32" s="19" t="s">
        <v>728</v>
      </c>
      <c r="R32" s="21">
        <v>44412</v>
      </c>
      <c r="S32" s="21">
        <v>46239</v>
      </c>
      <c r="T32" s="24">
        <v>2703000</v>
      </c>
      <c r="U32" s="19">
        <v>20</v>
      </c>
      <c r="V32" s="25">
        <v>540600</v>
      </c>
      <c r="W32" s="25">
        <v>2162400</v>
      </c>
      <c r="X32" s="26">
        <v>2.5</v>
      </c>
      <c r="Y32" s="25">
        <v>54060</v>
      </c>
      <c r="Z32" s="19"/>
      <c r="AA32" s="28" t="s">
        <v>45</v>
      </c>
      <c r="AB32" s="23">
        <v>1141070243</v>
      </c>
      <c r="AC32" s="27">
        <v>45525</v>
      </c>
      <c r="AD32" s="28" t="s">
        <v>46</v>
      </c>
      <c r="AE32" s="28">
        <v>0</v>
      </c>
      <c r="AF32" s="29" t="s">
        <v>722</v>
      </c>
      <c r="AG32" s="35">
        <v>54060</v>
      </c>
      <c r="AH32" s="31">
        <v>0</v>
      </c>
    </row>
    <row r="33" spans="1:34" x14ac:dyDescent="0.25">
      <c r="A33" s="19" t="s">
        <v>490</v>
      </c>
      <c r="B33" s="19" t="s">
        <v>729</v>
      </c>
      <c r="C33" s="20">
        <v>45474</v>
      </c>
      <c r="D33" s="19" t="s">
        <v>35</v>
      </c>
      <c r="E33" s="19" t="s">
        <v>730</v>
      </c>
      <c r="F33" s="21">
        <v>45500</v>
      </c>
      <c r="G33" s="21">
        <v>45864</v>
      </c>
      <c r="H33" s="22" t="s">
        <v>731</v>
      </c>
      <c r="I33" s="23">
        <v>3520262806756</v>
      </c>
      <c r="J33" s="22" t="s">
        <v>732</v>
      </c>
      <c r="K33" s="19" t="s">
        <v>733</v>
      </c>
      <c r="L33" s="19" t="s">
        <v>734</v>
      </c>
      <c r="M33" s="19" t="s">
        <v>735</v>
      </c>
      <c r="N33" s="19" t="s">
        <v>729</v>
      </c>
      <c r="O33" s="28" t="s">
        <v>54</v>
      </c>
      <c r="P33" s="19" t="s">
        <v>81</v>
      </c>
      <c r="Q33" s="19" t="s">
        <v>736</v>
      </c>
      <c r="R33" s="21">
        <v>44407</v>
      </c>
      <c r="S33" s="21">
        <v>46239</v>
      </c>
      <c r="T33" s="24">
        <v>1633000</v>
      </c>
      <c r="U33" s="19">
        <v>20</v>
      </c>
      <c r="V33" s="25">
        <v>326600</v>
      </c>
      <c r="W33" s="25">
        <v>1306400</v>
      </c>
      <c r="X33" s="26">
        <v>2.5</v>
      </c>
      <c r="Y33" s="25">
        <v>32660</v>
      </c>
      <c r="Z33" s="19"/>
      <c r="AA33" s="28" t="s">
        <v>45</v>
      </c>
      <c r="AB33" s="23">
        <v>1141070243</v>
      </c>
      <c r="AC33" s="27">
        <v>45525</v>
      </c>
      <c r="AD33" s="28" t="s">
        <v>46</v>
      </c>
      <c r="AE33" s="28">
        <v>0</v>
      </c>
      <c r="AF33" s="29" t="s">
        <v>730</v>
      </c>
      <c r="AG33" s="35">
        <v>32660</v>
      </c>
      <c r="AH33" s="31">
        <v>0</v>
      </c>
    </row>
    <row r="34" spans="1:34" x14ac:dyDescent="0.25">
      <c r="A34" s="19" t="s">
        <v>490</v>
      </c>
      <c r="B34" s="19" t="s">
        <v>737</v>
      </c>
      <c r="C34" s="20">
        <v>45474</v>
      </c>
      <c r="D34" s="19" t="s">
        <v>35</v>
      </c>
      <c r="E34" s="19" t="s">
        <v>738</v>
      </c>
      <c r="F34" s="21">
        <v>45503</v>
      </c>
      <c r="G34" s="21">
        <v>45867</v>
      </c>
      <c r="H34" s="22" t="s">
        <v>739</v>
      </c>
      <c r="I34" s="23">
        <v>3520126079111</v>
      </c>
      <c r="J34" s="22" t="s">
        <v>104</v>
      </c>
      <c r="K34" s="19" t="s">
        <v>740</v>
      </c>
      <c r="L34" s="19" t="s">
        <v>741</v>
      </c>
      <c r="M34" s="19" t="s">
        <v>742</v>
      </c>
      <c r="N34" s="19" t="s">
        <v>737</v>
      </c>
      <c r="O34" s="28" t="s">
        <v>54</v>
      </c>
      <c r="P34" s="19" t="s">
        <v>81</v>
      </c>
      <c r="Q34" s="19" t="s">
        <v>743</v>
      </c>
      <c r="R34" s="21">
        <v>44410</v>
      </c>
      <c r="S34" s="21">
        <v>46239</v>
      </c>
      <c r="T34" s="24">
        <v>1610000</v>
      </c>
      <c r="U34" s="19">
        <v>20</v>
      </c>
      <c r="V34" s="25">
        <v>322000</v>
      </c>
      <c r="W34" s="25">
        <v>1288000</v>
      </c>
      <c r="X34" s="26">
        <v>2.5</v>
      </c>
      <c r="Y34" s="25">
        <v>32200</v>
      </c>
      <c r="Z34" s="19"/>
      <c r="AA34" s="28" t="s">
        <v>45</v>
      </c>
      <c r="AB34" s="23">
        <v>1141070243</v>
      </c>
      <c r="AC34" s="27">
        <v>45525</v>
      </c>
      <c r="AD34" s="28" t="s">
        <v>46</v>
      </c>
      <c r="AE34" s="28">
        <v>0</v>
      </c>
      <c r="AF34" s="29" t="s">
        <v>738</v>
      </c>
      <c r="AG34" s="35">
        <v>32200</v>
      </c>
      <c r="AH34" s="31">
        <v>0</v>
      </c>
    </row>
    <row r="35" spans="1:34" x14ac:dyDescent="0.25">
      <c r="A35" s="19" t="s">
        <v>490</v>
      </c>
      <c r="B35" s="19" t="s">
        <v>744</v>
      </c>
      <c r="C35" s="20">
        <v>45474</v>
      </c>
      <c r="D35" s="19" t="s">
        <v>35</v>
      </c>
      <c r="E35" s="19" t="s">
        <v>745</v>
      </c>
      <c r="F35" s="21">
        <v>45501</v>
      </c>
      <c r="G35" s="21">
        <v>45865</v>
      </c>
      <c r="H35" s="22" t="s">
        <v>746</v>
      </c>
      <c r="I35" s="23">
        <v>3310243867087</v>
      </c>
      <c r="J35" s="22" t="s">
        <v>104</v>
      </c>
      <c r="K35" s="19" t="s">
        <v>747</v>
      </c>
      <c r="L35" s="19" t="s">
        <v>748</v>
      </c>
      <c r="M35" s="19" t="s">
        <v>749</v>
      </c>
      <c r="N35" s="19" t="s">
        <v>744</v>
      </c>
      <c r="O35" s="28" t="s">
        <v>54</v>
      </c>
      <c r="P35" s="19" t="s">
        <v>55</v>
      </c>
      <c r="Q35" s="19" t="s">
        <v>750</v>
      </c>
      <c r="R35" s="21">
        <v>44410</v>
      </c>
      <c r="S35" s="21">
        <v>46239</v>
      </c>
      <c r="T35" s="24">
        <v>1610000</v>
      </c>
      <c r="U35" s="19">
        <v>20</v>
      </c>
      <c r="V35" s="25">
        <v>322000</v>
      </c>
      <c r="W35" s="25">
        <v>1288000</v>
      </c>
      <c r="X35" s="26">
        <v>2.5</v>
      </c>
      <c r="Y35" s="25">
        <v>32200</v>
      </c>
      <c r="Z35" s="19"/>
      <c r="AA35" s="28" t="s">
        <v>45</v>
      </c>
      <c r="AB35" s="23">
        <v>1141070243</v>
      </c>
      <c r="AC35" s="27">
        <v>45525</v>
      </c>
      <c r="AD35" s="28" t="s">
        <v>46</v>
      </c>
      <c r="AE35" s="28">
        <v>40</v>
      </c>
      <c r="AF35" s="29" t="s">
        <v>745</v>
      </c>
      <c r="AG35" s="35">
        <v>32200</v>
      </c>
      <c r="AH35" s="31">
        <v>0</v>
      </c>
    </row>
    <row r="36" spans="1:34" x14ac:dyDescent="0.25">
      <c r="A36" s="19" t="s">
        <v>490</v>
      </c>
      <c r="B36" s="19" t="s">
        <v>751</v>
      </c>
      <c r="C36" s="20">
        <v>45474</v>
      </c>
      <c r="D36" s="19" t="s">
        <v>35</v>
      </c>
      <c r="E36" s="19" t="s">
        <v>752</v>
      </c>
      <c r="F36" s="21">
        <v>45503</v>
      </c>
      <c r="G36" s="21">
        <v>45867</v>
      </c>
      <c r="H36" s="22" t="s">
        <v>753</v>
      </c>
      <c r="I36" s="23">
        <v>3520287855545</v>
      </c>
      <c r="J36" s="22" t="s">
        <v>693</v>
      </c>
      <c r="K36" s="19" t="s">
        <v>754</v>
      </c>
      <c r="L36" s="19" t="s">
        <v>755</v>
      </c>
      <c r="M36" s="19" t="s">
        <v>756</v>
      </c>
      <c r="N36" s="19" t="s">
        <v>751</v>
      </c>
      <c r="O36" s="28" t="s">
        <v>54</v>
      </c>
      <c r="P36" s="19" t="s">
        <v>81</v>
      </c>
      <c r="Q36" s="19" t="s">
        <v>757</v>
      </c>
      <c r="R36" s="21">
        <v>44410</v>
      </c>
      <c r="S36" s="21">
        <v>46239</v>
      </c>
      <c r="T36" s="24">
        <v>1049000</v>
      </c>
      <c r="U36" s="19">
        <v>20</v>
      </c>
      <c r="V36" s="25">
        <v>209800</v>
      </c>
      <c r="W36" s="25">
        <v>839200</v>
      </c>
      <c r="X36" s="26">
        <v>2.5</v>
      </c>
      <c r="Y36" s="25">
        <v>20980</v>
      </c>
      <c r="Z36" s="19"/>
      <c r="AA36" s="28" t="s">
        <v>45</v>
      </c>
      <c r="AB36" s="23">
        <v>1141070243</v>
      </c>
      <c r="AC36" s="27">
        <v>45525</v>
      </c>
      <c r="AD36" s="28" t="s">
        <v>46</v>
      </c>
      <c r="AE36" s="28">
        <v>0</v>
      </c>
      <c r="AF36" s="29" t="s">
        <v>752</v>
      </c>
      <c r="AG36" s="35">
        <v>20980</v>
      </c>
      <c r="AH36" s="31">
        <v>0</v>
      </c>
    </row>
    <row r="37" spans="1:34" x14ac:dyDescent="0.25">
      <c r="A37" s="19" t="s">
        <v>490</v>
      </c>
      <c r="B37" s="19" t="s">
        <v>758</v>
      </c>
      <c r="C37" s="20">
        <v>45474</v>
      </c>
      <c r="D37" s="19" t="s">
        <v>35</v>
      </c>
      <c r="E37" s="19" t="s">
        <v>759</v>
      </c>
      <c r="F37" s="21">
        <v>45492</v>
      </c>
      <c r="G37" s="21">
        <v>45856</v>
      </c>
      <c r="H37" s="22" t="s">
        <v>760</v>
      </c>
      <c r="I37" s="23">
        <v>3520229672365</v>
      </c>
      <c r="J37" s="22" t="s">
        <v>761</v>
      </c>
      <c r="K37" s="19" t="s">
        <v>762</v>
      </c>
      <c r="L37" s="19" t="s">
        <v>763</v>
      </c>
      <c r="M37" s="19" t="s">
        <v>764</v>
      </c>
      <c r="N37" s="19" t="s">
        <v>758</v>
      </c>
      <c r="O37" s="28" t="s">
        <v>54</v>
      </c>
      <c r="P37" s="19" t="s">
        <v>81</v>
      </c>
      <c r="Q37" s="19" t="s">
        <v>765</v>
      </c>
      <c r="R37" s="21">
        <v>44405</v>
      </c>
      <c r="S37" s="21">
        <v>46239</v>
      </c>
      <c r="T37" s="24">
        <v>2645000</v>
      </c>
      <c r="U37" s="19">
        <v>20</v>
      </c>
      <c r="V37" s="25">
        <v>529000</v>
      </c>
      <c r="W37" s="25">
        <v>2116000</v>
      </c>
      <c r="X37" s="26">
        <v>2.5</v>
      </c>
      <c r="Y37" s="25">
        <v>52900</v>
      </c>
      <c r="Z37" s="19"/>
      <c r="AA37" s="28" t="s">
        <v>45</v>
      </c>
      <c r="AB37" s="23">
        <v>1141070243</v>
      </c>
      <c r="AC37" s="27">
        <v>45525</v>
      </c>
      <c r="AD37" s="28" t="s">
        <v>46</v>
      </c>
      <c r="AE37" s="28">
        <v>9</v>
      </c>
      <c r="AF37" s="29" t="s">
        <v>759</v>
      </c>
      <c r="AG37" s="35">
        <v>52900</v>
      </c>
      <c r="AH37" s="31">
        <v>0</v>
      </c>
    </row>
    <row r="38" spans="1:34" x14ac:dyDescent="0.25">
      <c r="A38" s="19" t="s">
        <v>490</v>
      </c>
      <c r="B38" s="19" t="s">
        <v>766</v>
      </c>
      <c r="C38" s="20">
        <v>45474</v>
      </c>
      <c r="D38" s="19" t="s">
        <v>35</v>
      </c>
      <c r="E38" s="19" t="s">
        <v>767</v>
      </c>
      <c r="F38" s="21">
        <v>45499</v>
      </c>
      <c r="G38" s="21">
        <v>45863</v>
      </c>
      <c r="H38" s="22" t="s">
        <v>768</v>
      </c>
      <c r="I38" s="23">
        <v>3520211206165</v>
      </c>
      <c r="J38" s="22" t="s">
        <v>148</v>
      </c>
      <c r="K38" s="19" t="s">
        <v>769</v>
      </c>
      <c r="L38" s="19" t="s">
        <v>770</v>
      </c>
      <c r="M38" s="19" t="s">
        <v>771</v>
      </c>
      <c r="N38" s="19" t="s">
        <v>766</v>
      </c>
      <c r="O38" s="28" t="s">
        <v>54</v>
      </c>
      <c r="P38" s="19" t="s">
        <v>81</v>
      </c>
      <c r="Q38" s="19" t="s">
        <v>772</v>
      </c>
      <c r="R38" s="21">
        <v>44407</v>
      </c>
      <c r="S38" s="21">
        <v>46239</v>
      </c>
      <c r="T38" s="24">
        <v>1830000</v>
      </c>
      <c r="U38" s="19">
        <v>20</v>
      </c>
      <c r="V38" s="25">
        <v>366000</v>
      </c>
      <c r="W38" s="25">
        <v>1464000</v>
      </c>
      <c r="X38" s="26">
        <v>2.5</v>
      </c>
      <c r="Y38" s="25">
        <v>36600</v>
      </c>
      <c r="Z38" s="19"/>
      <c r="AA38" s="28" t="s">
        <v>45</v>
      </c>
      <c r="AB38" s="23">
        <v>1141070243</v>
      </c>
      <c r="AC38" s="27">
        <v>45525</v>
      </c>
      <c r="AD38" s="28" t="s">
        <v>46</v>
      </c>
      <c r="AE38" s="28">
        <v>0</v>
      </c>
      <c r="AF38" s="29" t="s">
        <v>767</v>
      </c>
      <c r="AG38" s="35">
        <v>36600</v>
      </c>
      <c r="AH38" s="31">
        <v>0</v>
      </c>
    </row>
    <row r="39" spans="1:34" x14ac:dyDescent="0.25">
      <c r="A39" s="19" t="s">
        <v>490</v>
      </c>
      <c r="B39" s="19" t="s">
        <v>773</v>
      </c>
      <c r="C39" s="20">
        <v>45474</v>
      </c>
      <c r="D39" s="19" t="s">
        <v>35</v>
      </c>
      <c r="E39" s="19" t="s">
        <v>774</v>
      </c>
      <c r="F39" s="21">
        <v>45488</v>
      </c>
      <c r="G39" s="21">
        <v>45852</v>
      </c>
      <c r="H39" s="22" t="s">
        <v>775</v>
      </c>
      <c r="I39" s="23">
        <v>3820110938549</v>
      </c>
      <c r="J39" s="22" t="s">
        <v>148</v>
      </c>
      <c r="K39" s="19" t="s">
        <v>776</v>
      </c>
      <c r="L39" s="19" t="s">
        <v>777</v>
      </c>
      <c r="M39" s="19" t="s">
        <v>778</v>
      </c>
      <c r="N39" s="19" t="s">
        <v>773</v>
      </c>
      <c r="O39" s="28" t="s">
        <v>54</v>
      </c>
      <c r="P39" s="19" t="s">
        <v>81</v>
      </c>
      <c r="Q39" s="19" t="s">
        <v>779</v>
      </c>
      <c r="R39" s="21">
        <v>44407</v>
      </c>
      <c r="S39" s="21">
        <v>46239</v>
      </c>
      <c r="T39" s="24">
        <v>1830000</v>
      </c>
      <c r="U39" s="19">
        <v>20</v>
      </c>
      <c r="V39" s="25">
        <v>366000</v>
      </c>
      <c r="W39" s="25">
        <v>1464000</v>
      </c>
      <c r="X39" s="26">
        <v>2.5</v>
      </c>
      <c r="Y39" s="25">
        <v>36600</v>
      </c>
      <c r="Z39" s="19"/>
      <c r="AA39" s="28" t="s">
        <v>45</v>
      </c>
      <c r="AB39" s="23">
        <v>1141070243</v>
      </c>
      <c r="AC39" s="27">
        <v>45525</v>
      </c>
      <c r="AD39" s="28" t="s">
        <v>46</v>
      </c>
      <c r="AE39" s="28">
        <v>9</v>
      </c>
      <c r="AF39" s="29" t="s">
        <v>774</v>
      </c>
      <c r="AG39" s="35">
        <v>36600</v>
      </c>
      <c r="AH39" s="31">
        <v>0</v>
      </c>
    </row>
    <row r="40" spans="1:34" x14ac:dyDescent="0.25">
      <c r="A40" s="19" t="s">
        <v>490</v>
      </c>
      <c r="B40" s="19" t="s">
        <v>780</v>
      </c>
      <c r="C40" s="20">
        <v>45474</v>
      </c>
      <c r="D40" s="19" t="s">
        <v>35</v>
      </c>
      <c r="E40" s="19" t="s">
        <v>781</v>
      </c>
      <c r="F40" s="21">
        <v>45478</v>
      </c>
      <c r="G40" s="21">
        <v>45842</v>
      </c>
      <c r="H40" s="22" t="s">
        <v>782</v>
      </c>
      <c r="I40" s="23">
        <v>3540170885413</v>
      </c>
      <c r="J40" s="22" t="s">
        <v>525</v>
      </c>
      <c r="K40" s="19" t="s">
        <v>783</v>
      </c>
      <c r="L40" s="19" t="s">
        <v>784</v>
      </c>
      <c r="M40" s="19" t="s">
        <v>785</v>
      </c>
      <c r="N40" s="19" t="s">
        <v>780</v>
      </c>
      <c r="O40" s="28" t="s">
        <v>54</v>
      </c>
      <c r="P40" s="19" t="s">
        <v>81</v>
      </c>
      <c r="Q40" s="19" t="s">
        <v>786</v>
      </c>
      <c r="R40" s="21">
        <v>44389</v>
      </c>
      <c r="S40" s="21">
        <v>46209</v>
      </c>
      <c r="T40" s="24">
        <v>4127000</v>
      </c>
      <c r="U40" s="19">
        <v>20</v>
      </c>
      <c r="V40" s="25">
        <v>825400</v>
      </c>
      <c r="W40" s="25">
        <v>3301600</v>
      </c>
      <c r="X40" s="26">
        <v>1.5</v>
      </c>
      <c r="Y40" s="25">
        <v>49524</v>
      </c>
      <c r="Z40" s="19"/>
      <c r="AA40" s="28" t="s">
        <v>45</v>
      </c>
      <c r="AB40" s="23">
        <v>1141070243</v>
      </c>
      <c r="AC40" s="27">
        <v>45525</v>
      </c>
      <c r="AD40" s="28" t="s">
        <v>46</v>
      </c>
      <c r="AE40" s="28">
        <v>0</v>
      </c>
      <c r="AF40" s="29" t="s">
        <v>781</v>
      </c>
      <c r="AG40" s="35">
        <v>49524</v>
      </c>
      <c r="AH40" s="31">
        <v>0</v>
      </c>
    </row>
    <row r="41" spans="1:34" x14ac:dyDescent="0.25">
      <c r="A41" s="19" t="s">
        <v>490</v>
      </c>
      <c r="B41" s="19" t="s">
        <v>787</v>
      </c>
      <c r="C41" s="20">
        <v>45474</v>
      </c>
      <c r="D41" s="19" t="s">
        <v>35</v>
      </c>
      <c r="E41" s="19" t="s">
        <v>788</v>
      </c>
      <c r="F41" s="21">
        <v>45497</v>
      </c>
      <c r="G41" s="21">
        <v>45861</v>
      </c>
      <c r="H41" s="22" t="s">
        <v>789</v>
      </c>
      <c r="I41" s="23">
        <v>3520249726077</v>
      </c>
      <c r="J41" s="22" t="s">
        <v>790</v>
      </c>
      <c r="K41" s="19" t="s">
        <v>791</v>
      </c>
      <c r="L41" s="19" t="s">
        <v>792</v>
      </c>
      <c r="M41" s="19" t="s">
        <v>793</v>
      </c>
      <c r="N41" s="19" t="s">
        <v>787</v>
      </c>
      <c r="O41" s="28" t="s">
        <v>54</v>
      </c>
      <c r="P41" s="19" t="s">
        <v>794</v>
      </c>
      <c r="Q41" s="19" t="s">
        <v>795</v>
      </c>
      <c r="R41" s="21">
        <v>45134</v>
      </c>
      <c r="S41" s="21">
        <v>46239</v>
      </c>
      <c r="T41" s="24">
        <v>4300000</v>
      </c>
      <c r="U41" s="19">
        <v>10</v>
      </c>
      <c r="V41" s="25">
        <v>430000</v>
      </c>
      <c r="W41" s="25">
        <v>3870000</v>
      </c>
      <c r="X41" s="26">
        <v>1.5</v>
      </c>
      <c r="Y41" s="25">
        <v>58050</v>
      </c>
      <c r="Z41" s="19"/>
      <c r="AA41" s="28" t="s">
        <v>45</v>
      </c>
      <c r="AB41" s="23">
        <v>1141070243</v>
      </c>
      <c r="AC41" s="27">
        <v>45525</v>
      </c>
      <c r="AD41" s="28" t="s">
        <v>46</v>
      </c>
      <c r="AE41" s="28">
        <v>0</v>
      </c>
      <c r="AF41" s="29" t="s">
        <v>788</v>
      </c>
      <c r="AG41" s="35">
        <v>58050</v>
      </c>
      <c r="AH41" s="31">
        <v>0</v>
      </c>
    </row>
    <row r="42" spans="1:34" x14ac:dyDescent="0.25">
      <c r="A42" s="19" t="s">
        <v>490</v>
      </c>
      <c r="B42" s="19" t="s">
        <v>796</v>
      </c>
      <c r="C42" s="20">
        <v>45474</v>
      </c>
      <c r="D42" s="19" t="s">
        <v>35</v>
      </c>
      <c r="E42" s="19" t="s">
        <v>797</v>
      </c>
      <c r="F42" s="21">
        <v>45501</v>
      </c>
      <c r="G42" s="21">
        <v>45865</v>
      </c>
      <c r="H42" s="22" t="s">
        <v>798</v>
      </c>
      <c r="I42" s="23">
        <v>3630284992587</v>
      </c>
      <c r="J42" s="22" t="s">
        <v>525</v>
      </c>
      <c r="K42" s="19" t="s">
        <v>799</v>
      </c>
      <c r="L42" s="19" t="s">
        <v>800</v>
      </c>
      <c r="M42" s="19" t="s">
        <v>801</v>
      </c>
      <c r="N42" s="19" t="s">
        <v>796</v>
      </c>
      <c r="O42" s="28" t="s">
        <v>54</v>
      </c>
      <c r="P42" s="19" t="s">
        <v>152</v>
      </c>
      <c r="Q42" s="19" t="s">
        <v>802</v>
      </c>
      <c r="R42" s="21">
        <v>44042</v>
      </c>
      <c r="S42" s="21">
        <v>45874</v>
      </c>
      <c r="T42" s="24">
        <v>3500000</v>
      </c>
      <c r="U42" s="19">
        <v>25</v>
      </c>
      <c r="V42" s="25">
        <v>875000</v>
      </c>
      <c r="W42" s="25">
        <v>2625000</v>
      </c>
      <c r="X42" s="26">
        <v>1.5</v>
      </c>
      <c r="Y42" s="25">
        <v>39375</v>
      </c>
      <c r="Z42" s="19"/>
      <c r="AA42" s="28" t="s">
        <v>45</v>
      </c>
      <c r="AB42" s="23">
        <v>1141070243</v>
      </c>
      <c r="AC42" s="27">
        <v>45525</v>
      </c>
      <c r="AD42" s="28" t="s">
        <v>46</v>
      </c>
      <c r="AE42" s="28">
        <v>9</v>
      </c>
      <c r="AF42" s="29" t="s">
        <v>797</v>
      </c>
      <c r="AG42" s="35">
        <v>39375</v>
      </c>
      <c r="AH42" s="31">
        <v>0</v>
      </c>
    </row>
    <row r="43" spans="1:34" x14ac:dyDescent="0.25">
      <c r="A43" s="19" t="s">
        <v>490</v>
      </c>
      <c r="B43" s="19" t="s">
        <v>803</v>
      </c>
      <c r="C43" s="20">
        <v>45474</v>
      </c>
      <c r="D43" s="19" t="s">
        <v>35</v>
      </c>
      <c r="E43" s="19" t="s">
        <v>804</v>
      </c>
      <c r="F43" s="21">
        <v>45503</v>
      </c>
      <c r="G43" s="21">
        <v>45867</v>
      </c>
      <c r="H43" s="22" t="s">
        <v>805</v>
      </c>
      <c r="I43" s="23">
        <v>1530285425941</v>
      </c>
      <c r="J43" s="22" t="s">
        <v>806</v>
      </c>
      <c r="K43" s="19" t="s">
        <v>807</v>
      </c>
      <c r="L43" s="19" t="s">
        <v>808</v>
      </c>
      <c r="M43" s="19" t="s">
        <v>809</v>
      </c>
      <c r="N43" s="19" t="s">
        <v>803</v>
      </c>
      <c r="O43" s="19" t="s">
        <v>161</v>
      </c>
      <c r="P43" s="19" t="s">
        <v>162</v>
      </c>
      <c r="Q43" s="19" t="s">
        <v>810</v>
      </c>
      <c r="R43" s="21">
        <v>44774</v>
      </c>
      <c r="S43" s="21">
        <v>45874</v>
      </c>
      <c r="T43" s="24">
        <v>3700000</v>
      </c>
      <c r="U43" s="19">
        <v>15</v>
      </c>
      <c r="V43" s="25">
        <v>555000</v>
      </c>
      <c r="W43" s="25">
        <v>3145000</v>
      </c>
      <c r="X43" s="26">
        <v>1.5</v>
      </c>
      <c r="Y43" s="25">
        <v>47175</v>
      </c>
      <c r="Z43" s="19"/>
      <c r="AA43" s="28" t="s">
        <v>45</v>
      </c>
      <c r="AB43" s="23">
        <v>1141070243</v>
      </c>
      <c r="AC43" s="27">
        <v>45525</v>
      </c>
      <c r="AD43" s="28" t="s">
        <v>46</v>
      </c>
      <c r="AE43" s="28">
        <v>9</v>
      </c>
      <c r="AF43" s="29" t="s">
        <v>804</v>
      </c>
      <c r="AG43" s="35">
        <v>47175</v>
      </c>
      <c r="AH43" s="31">
        <v>0</v>
      </c>
    </row>
    <row r="44" spans="1:34" x14ac:dyDescent="0.25">
      <c r="A44" s="19" t="s">
        <v>490</v>
      </c>
      <c r="B44" s="19" t="s">
        <v>811</v>
      </c>
      <c r="C44" s="20">
        <v>45474</v>
      </c>
      <c r="D44" s="19" t="s">
        <v>35</v>
      </c>
      <c r="E44" s="19" t="s">
        <v>812</v>
      </c>
      <c r="F44" s="21">
        <v>45484</v>
      </c>
      <c r="G44" s="21">
        <v>45848</v>
      </c>
      <c r="H44" s="22" t="s">
        <v>813</v>
      </c>
      <c r="I44" s="23">
        <v>6110181343197</v>
      </c>
      <c r="J44" s="22" t="s">
        <v>814</v>
      </c>
      <c r="K44" s="19" t="s">
        <v>815</v>
      </c>
      <c r="L44" s="19" t="s">
        <v>816</v>
      </c>
      <c r="M44" s="19" t="s">
        <v>817</v>
      </c>
      <c r="N44" s="19" t="s">
        <v>811</v>
      </c>
      <c r="O44" s="19" t="s">
        <v>161</v>
      </c>
      <c r="P44" s="19" t="s">
        <v>818</v>
      </c>
      <c r="Q44" s="19" t="s">
        <v>819</v>
      </c>
      <c r="R44" s="21">
        <v>43298</v>
      </c>
      <c r="S44" s="21">
        <v>45874</v>
      </c>
      <c r="T44" s="24">
        <v>1300000</v>
      </c>
      <c r="U44" s="19">
        <v>35</v>
      </c>
      <c r="V44" s="25">
        <v>455000</v>
      </c>
      <c r="W44" s="25">
        <v>845000</v>
      </c>
      <c r="X44" s="26">
        <v>3.75</v>
      </c>
      <c r="Y44" s="25">
        <v>31687.5</v>
      </c>
      <c r="Z44" s="19"/>
      <c r="AA44" s="28" t="s">
        <v>45</v>
      </c>
      <c r="AB44" s="23">
        <v>1141070243</v>
      </c>
      <c r="AC44" s="27">
        <v>45525</v>
      </c>
      <c r="AD44" s="28" t="s">
        <v>46</v>
      </c>
      <c r="AE44" s="28">
        <v>0</v>
      </c>
      <c r="AF44" s="29" t="s">
        <v>812</v>
      </c>
      <c r="AG44" s="35">
        <v>31688</v>
      </c>
      <c r="AH44" s="31">
        <v>-0.5</v>
      </c>
    </row>
    <row r="45" spans="1:34" x14ac:dyDescent="0.25">
      <c r="A45" s="19" t="s">
        <v>490</v>
      </c>
      <c r="B45" s="19" t="s">
        <v>820</v>
      </c>
      <c r="C45" s="20">
        <v>45474</v>
      </c>
      <c r="D45" s="19" t="s">
        <v>35</v>
      </c>
      <c r="E45" s="19" t="s">
        <v>821</v>
      </c>
      <c r="F45" s="21">
        <v>45477</v>
      </c>
      <c r="G45" s="21">
        <v>45841</v>
      </c>
      <c r="H45" s="22" t="s">
        <v>822</v>
      </c>
      <c r="I45" s="23">
        <v>3520230394501</v>
      </c>
      <c r="J45" s="22" t="s">
        <v>823</v>
      </c>
      <c r="K45" s="19" t="s">
        <v>824</v>
      </c>
      <c r="L45" s="19" t="s">
        <v>825</v>
      </c>
      <c r="M45" s="19" t="s">
        <v>826</v>
      </c>
      <c r="N45" s="19" t="s">
        <v>820</v>
      </c>
      <c r="O45" s="28" t="s">
        <v>54</v>
      </c>
      <c r="P45" s="19" t="s">
        <v>827</v>
      </c>
      <c r="Q45" s="19" t="s">
        <v>828</v>
      </c>
      <c r="R45" s="21">
        <v>44763</v>
      </c>
      <c r="S45" s="21">
        <v>45874</v>
      </c>
      <c r="T45" s="24">
        <v>3214000</v>
      </c>
      <c r="U45" s="19">
        <v>15</v>
      </c>
      <c r="V45" s="25">
        <v>482100</v>
      </c>
      <c r="W45" s="25">
        <v>2731900</v>
      </c>
      <c r="X45" s="26">
        <v>1.75</v>
      </c>
      <c r="Y45" s="25">
        <v>47808.250000000007</v>
      </c>
      <c r="Z45" s="19"/>
      <c r="AA45" s="28" t="s">
        <v>45</v>
      </c>
      <c r="AB45" s="23">
        <v>1141070243</v>
      </c>
      <c r="AC45" s="27">
        <v>45525</v>
      </c>
      <c r="AD45" s="28" t="s">
        <v>46</v>
      </c>
      <c r="AE45" s="28">
        <v>0</v>
      </c>
      <c r="AF45" s="29" t="s">
        <v>821</v>
      </c>
      <c r="AG45" s="35">
        <v>47808</v>
      </c>
      <c r="AH45" s="31">
        <v>0.25000000000727596</v>
      </c>
    </row>
    <row r="46" spans="1:34" x14ac:dyDescent="0.25">
      <c r="A46" s="19" t="s">
        <v>490</v>
      </c>
      <c r="B46" s="19" t="s">
        <v>829</v>
      </c>
      <c r="C46" s="20">
        <v>45474</v>
      </c>
      <c r="D46" s="19" t="s">
        <v>35</v>
      </c>
      <c r="E46" s="19" t="s">
        <v>830</v>
      </c>
      <c r="F46" s="21">
        <v>45477</v>
      </c>
      <c r="G46" s="21">
        <v>45841</v>
      </c>
      <c r="H46" s="22" t="s">
        <v>831</v>
      </c>
      <c r="I46" s="23">
        <v>3840409995179</v>
      </c>
      <c r="J46" s="22" t="s">
        <v>227</v>
      </c>
      <c r="K46" s="19" t="s">
        <v>832</v>
      </c>
      <c r="L46" s="19" t="s">
        <v>833</v>
      </c>
      <c r="M46" s="19" t="s">
        <v>834</v>
      </c>
      <c r="N46" s="19" t="s">
        <v>829</v>
      </c>
      <c r="O46" s="28" t="s">
        <v>54</v>
      </c>
      <c r="P46" s="19" t="s">
        <v>835</v>
      </c>
      <c r="Q46" s="19" t="s">
        <v>836</v>
      </c>
      <c r="R46" s="21">
        <v>44748</v>
      </c>
      <c r="S46" s="21">
        <v>45843</v>
      </c>
      <c r="T46" s="24">
        <v>1546000</v>
      </c>
      <c r="U46" s="19">
        <v>15</v>
      </c>
      <c r="V46" s="25">
        <v>231900</v>
      </c>
      <c r="W46" s="25">
        <v>1314100</v>
      </c>
      <c r="X46" s="26">
        <v>1.75</v>
      </c>
      <c r="Y46" s="25">
        <v>22996.750000000004</v>
      </c>
      <c r="Z46" s="19"/>
      <c r="AA46" s="28" t="s">
        <v>45</v>
      </c>
      <c r="AB46" s="23">
        <v>1141070243</v>
      </c>
      <c r="AC46" s="27">
        <v>45525</v>
      </c>
      <c r="AD46" s="28" t="s">
        <v>46</v>
      </c>
      <c r="AE46" s="28">
        <v>0</v>
      </c>
      <c r="AF46" s="29" t="s">
        <v>830</v>
      </c>
      <c r="AG46" s="35">
        <v>22997</v>
      </c>
      <c r="AH46" s="31">
        <v>-0.24999999999636202</v>
      </c>
    </row>
    <row r="47" spans="1:34" x14ac:dyDescent="0.25">
      <c r="A47" s="19" t="s">
        <v>490</v>
      </c>
      <c r="B47" s="19" t="s">
        <v>837</v>
      </c>
      <c r="C47" s="20">
        <v>45474</v>
      </c>
      <c r="D47" s="19" t="s">
        <v>35</v>
      </c>
      <c r="E47" s="19" t="s">
        <v>838</v>
      </c>
      <c r="F47" s="21">
        <v>45477</v>
      </c>
      <c r="G47" s="21">
        <v>45841</v>
      </c>
      <c r="H47" s="22" t="s">
        <v>839</v>
      </c>
      <c r="I47" s="23">
        <v>3520115740843</v>
      </c>
      <c r="J47" s="22" t="s">
        <v>111</v>
      </c>
      <c r="K47" s="19" t="s">
        <v>840</v>
      </c>
      <c r="L47" s="19">
        <v>238601</v>
      </c>
      <c r="M47" s="19" t="s">
        <v>841</v>
      </c>
      <c r="N47" s="19" t="s">
        <v>837</v>
      </c>
      <c r="O47" s="28" t="s">
        <v>54</v>
      </c>
      <c r="P47" s="19" t="s">
        <v>642</v>
      </c>
      <c r="Q47" s="19" t="s">
        <v>842</v>
      </c>
      <c r="R47" s="21">
        <v>44748</v>
      </c>
      <c r="S47" s="21">
        <v>46939</v>
      </c>
      <c r="T47" s="24">
        <v>1306000</v>
      </c>
      <c r="U47" s="19">
        <v>15</v>
      </c>
      <c r="V47" s="25">
        <v>195900</v>
      </c>
      <c r="W47" s="25">
        <v>1110100</v>
      </c>
      <c r="X47" s="26">
        <v>1.75</v>
      </c>
      <c r="Y47" s="25">
        <v>19426.750000000004</v>
      </c>
      <c r="Z47" s="19"/>
      <c r="AA47" s="28" t="s">
        <v>45</v>
      </c>
      <c r="AB47" s="23">
        <v>1141070243</v>
      </c>
      <c r="AC47" s="27">
        <v>45525</v>
      </c>
      <c r="AD47" s="28" t="s">
        <v>46</v>
      </c>
      <c r="AE47" s="28">
        <v>0</v>
      </c>
      <c r="AF47" s="29" t="s">
        <v>838</v>
      </c>
      <c r="AG47" s="35">
        <v>19427</v>
      </c>
      <c r="AH47" s="31">
        <v>-0.24999999999636202</v>
      </c>
    </row>
    <row r="48" spans="1:34" x14ac:dyDescent="0.25">
      <c r="A48" s="19" t="s">
        <v>490</v>
      </c>
      <c r="B48" s="19" t="s">
        <v>843</v>
      </c>
      <c r="C48" s="20">
        <v>45474</v>
      </c>
      <c r="D48" s="19" t="s">
        <v>35</v>
      </c>
      <c r="E48" s="19" t="s">
        <v>844</v>
      </c>
      <c r="F48" s="21">
        <v>45479</v>
      </c>
      <c r="G48" s="21">
        <v>45843</v>
      </c>
      <c r="H48" s="22" t="s">
        <v>845</v>
      </c>
      <c r="I48" s="23">
        <v>3120216833613</v>
      </c>
      <c r="J48" s="22" t="s">
        <v>846</v>
      </c>
      <c r="K48" s="19" t="s">
        <v>847</v>
      </c>
      <c r="L48" s="19">
        <v>240209</v>
      </c>
      <c r="M48" s="19" t="s">
        <v>848</v>
      </c>
      <c r="N48" s="19" t="s">
        <v>843</v>
      </c>
      <c r="O48" s="28" t="s">
        <v>54</v>
      </c>
      <c r="P48" s="19" t="s">
        <v>849</v>
      </c>
      <c r="Q48" s="19" t="s">
        <v>850</v>
      </c>
      <c r="R48" s="21">
        <v>44760</v>
      </c>
      <c r="S48" s="21">
        <v>46239</v>
      </c>
      <c r="T48" s="24">
        <v>1546000</v>
      </c>
      <c r="U48" s="19">
        <v>15</v>
      </c>
      <c r="V48" s="25">
        <v>231900</v>
      </c>
      <c r="W48" s="25">
        <v>1314100</v>
      </c>
      <c r="X48" s="26">
        <v>2.5</v>
      </c>
      <c r="Y48" s="25">
        <v>32852.5</v>
      </c>
      <c r="Z48" s="19"/>
      <c r="AA48" s="28" t="s">
        <v>45</v>
      </c>
      <c r="AB48" s="23">
        <v>1141070243</v>
      </c>
      <c r="AC48" s="27">
        <v>45525</v>
      </c>
      <c r="AD48" s="28" t="s">
        <v>46</v>
      </c>
      <c r="AE48" s="28">
        <v>0</v>
      </c>
      <c r="AF48" s="29" t="s">
        <v>844</v>
      </c>
      <c r="AG48" s="35">
        <v>32853</v>
      </c>
      <c r="AH48" s="31">
        <v>-0.5</v>
      </c>
    </row>
    <row r="49" spans="1:34" x14ac:dyDescent="0.25">
      <c r="A49" s="19" t="s">
        <v>490</v>
      </c>
      <c r="B49" s="19" t="s">
        <v>851</v>
      </c>
      <c r="C49" s="20">
        <v>45474</v>
      </c>
      <c r="D49" s="19" t="s">
        <v>35</v>
      </c>
      <c r="E49" s="19" t="s">
        <v>852</v>
      </c>
      <c r="F49" s="21">
        <v>45481</v>
      </c>
      <c r="G49" s="21">
        <v>45845</v>
      </c>
      <c r="H49" s="22" t="s">
        <v>853</v>
      </c>
      <c r="I49" s="23">
        <v>3740390068565</v>
      </c>
      <c r="J49" s="22" t="s">
        <v>854</v>
      </c>
      <c r="K49" s="19" t="s">
        <v>855</v>
      </c>
      <c r="L49" s="19">
        <v>749529</v>
      </c>
      <c r="M49" s="19" t="s">
        <v>856</v>
      </c>
      <c r="N49" s="19" t="s">
        <v>851</v>
      </c>
      <c r="O49" s="19" t="s">
        <v>161</v>
      </c>
      <c r="P49" s="19" t="s">
        <v>162</v>
      </c>
      <c r="Q49" s="19" t="s">
        <v>857</v>
      </c>
      <c r="R49" s="21">
        <v>44391</v>
      </c>
      <c r="S49" s="21">
        <v>46209</v>
      </c>
      <c r="T49" s="24">
        <v>970000</v>
      </c>
      <c r="U49" s="19">
        <v>20</v>
      </c>
      <c r="V49" s="25">
        <v>194000</v>
      </c>
      <c r="W49" s="25">
        <v>776000</v>
      </c>
      <c r="X49" s="26">
        <v>2.5</v>
      </c>
      <c r="Y49" s="25">
        <v>19400</v>
      </c>
      <c r="Z49" s="19"/>
      <c r="AA49" s="28" t="s">
        <v>45</v>
      </c>
      <c r="AB49" s="23">
        <v>1141070243</v>
      </c>
      <c r="AC49" s="27">
        <v>45525</v>
      </c>
      <c r="AD49" s="28" t="s">
        <v>46</v>
      </c>
      <c r="AE49" s="28">
        <v>0</v>
      </c>
      <c r="AF49" s="29" t="s">
        <v>852</v>
      </c>
      <c r="AG49" s="35">
        <v>19400</v>
      </c>
      <c r="AH49" s="31">
        <v>0</v>
      </c>
    </row>
    <row r="50" spans="1:34" x14ac:dyDescent="0.25">
      <c r="A50" s="19" t="s">
        <v>490</v>
      </c>
      <c r="B50" s="19" t="s">
        <v>858</v>
      </c>
      <c r="C50" s="20">
        <v>45474</v>
      </c>
      <c r="D50" s="19" t="s">
        <v>35</v>
      </c>
      <c r="E50" s="19" t="s">
        <v>859</v>
      </c>
      <c r="F50" s="21">
        <v>45491</v>
      </c>
      <c r="G50" s="21">
        <v>45855</v>
      </c>
      <c r="H50" s="22" t="s">
        <v>753</v>
      </c>
      <c r="I50" s="23">
        <v>3110456017559</v>
      </c>
      <c r="J50" s="22" t="s">
        <v>608</v>
      </c>
      <c r="K50" s="19" t="s">
        <v>860</v>
      </c>
      <c r="L50" s="19">
        <v>503261</v>
      </c>
      <c r="M50" s="19" t="s">
        <v>861</v>
      </c>
      <c r="N50" s="19" t="s">
        <v>858</v>
      </c>
      <c r="O50" s="28" t="s">
        <v>54</v>
      </c>
      <c r="P50" s="19" t="s">
        <v>862</v>
      </c>
      <c r="Q50" s="19" t="s">
        <v>863</v>
      </c>
      <c r="R50" s="21">
        <v>44763</v>
      </c>
      <c r="S50" s="21">
        <v>45874</v>
      </c>
      <c r="T50" s="24">
        <v>2219000</v>
      </c>
      <c r="U50" s="19">
        <v>15</v>
      </c>
      <c r="V50" s="25">
        <v>332850</v>
      </c>
      <c r="W50" s="25">
        <v>1886150</v>
      </c>
      <c r="X50" s="26">
        <v>2.5</v>
      </c>
      <c r="Y50" s="25">
        <v>47153.75</v>
      </c>
      <c r="Z50" s="19"/>
      <c r="AA50" s="28" t="s">
        <v>45</v>
      </c>
      <c r="AB50" s="23">
        <v>1141070243</v>
      </c>
      <c r="AC50" s="27">
        <v>45525</v>
      </c>
      <c r="AD50" s="28" t="s">
        <v>46</v>
      </c>
      <c r="AE50" s="28">
        <v>0</v>
      </c>
      <c r="AF50" s="29" t="s">
        <v>859</v>
      </c>
      <c r="AG50" s="35">
        <v>47154</v>
      </c>
      <c r="AH50" s="31">
        <v>-0.25</v>
      </c>
    </row>
    <row r="51" spans="1:34" x14ac:dyDescent="0.25">
      <c r="A51" s="19" t="s">
        <v>490</v>
      </c>
      <c r="B51" s="19" t="s">
        <v>864</v>
      </c>
      <c r="C51" s="20">
        <v>45474</v>
      </c>
      <c r="D51" s="19" t="s">
        <v>35</v>
      </c>
      <c r="E51" s="19" t="s">
        <v>865</v>
      </c>
      <c r="F51" s="21">
        <v>45491</v>
      </c>
      <c r="G51" s="21">
        <v>45855</v>
      </c>
      <c r="H51" s="22" t="s">
        <v>866</v>
      </c>
      <c r="I51" s="23">
        <v>3540179661615</v>
      </c>
      <c r="J51" s="22" t="s">
        <v>608</v>
      </c>
      <c r="K51" s="19" t="s">
        <v>867</v>
      </c>
      <c r="L51" s="19">
        <v>503081</v>
      </c>
      <c r="M51" s="19" t="s">
        <v>868</v>
      </c>
      <c r="N51" s="19" t="s">
        <v>864</v>
      </c>
      <c r="O51" s="28" t="s">
        <v>54</v>
      </c>
      <c r="P51" s="19" t="s">
        <v>81</v>
      </c>
      <c r="Q51" s="19" t="s">
        <v>869</v>
      </c>
      <c r="R51" s="21">
        <v>44763</v>
      </c>
      <c r="S51" s="21">
        <v>46604</v>
      </c>
      <c r="T51" s="24">
        <v>2219000</v>
      </c>
      <c r="U51" s="19">
        <v>15</v>
      </c>
      <c r="V51" s="25">
        <v>332850</v>
      </c>
      <c r="W51" s="25">
        <v>1886150</v>
      </c>
      <c r="X51" s="26">
        <v>1.75</v>
      </c>
      <c r="Y51" s="25">
        <v>33007.625</v>
      </c>
      <c r="Z51" s="19"/>
      <c r="AA51" s="28" t="s">
        <v>45</v>
      </c>
      <c r="AB51" s="23">
        <v>1141070243</v>
      </c>
      <c r="AC51" s="27">
        <v>45525</v>
      </c>
      <c r="AD51" s="28" t="s">
        <v>46</v>
      </c>
      <c r="AE51" s="28">
        <v>0</v>
      </c>
      <c r="AF51" s="29" t="s">
        <v>865</v>
      </c>
      <c r="AG51" s="35">
        <v>33008</v>
      </c>
      <c r="AH51" s="31">
        <v>-0.375</v>
      </c>
    </row>
    <row r="52" spans="1:34" x14ac:dyDescent="0.25">
      <c r="A52" s="19" t="s">
        <v>490</v>
      </c>
      <c r="B52" s="19" t="s">
        <v>870</v>
      </c>
      <c r="C52" s="20">
        <v>45474</v>
      </c>
      <c r="D52" s="19" t="s">
        <v>35</v>
      </c>
      <c r="E52" s="19" t="s">
        <v>871</v>
      </c>
      <c r="F52" s="21">
        <v>45477</v>
      </c>
      <c r="G52" s="21">
        <v>45841</v>
      </c>
      <c r="H52" s="22" t="s">
        <v>872</v>
      </c>
      <c r="I52" s="23">
        <v>3660352866437</v>
      </c>
      <c r="J52" s="22" t="s">
        <v>111</v>
      </c>
      <c r="K52" s="19" t="s">
        <v>873</v>
      </c>
      <c r="L52" s="19" t="s">
        <v>874</v>
      </c>
      <c r="M52" s="19" t="s">
        <v>875</v>
      </c>
      <c r="N52" s="19" t="s">
        <v>870</v>
      </c>
      <c r="O52" s="28" t="s">
        <v>54</v>
      </c>
      <c r="P52" s="19" t="s">
        <v>876</v>
      </c>
      <c r="Q52" s="19" t="s">
        <v>877</v>
      </c>
      <c r="R52" s="21">
        <v>44755</v>
      </c>
      <c r="S52" s="21">
        <v>46573</v>
      </c>
      <c r="T52" s="24">
        <v>1306000</v>
      </c>
      <c r="U52" s="19">
        <v>15</v>
      </c>
      <c r="V52" s="25">
        <v>195900</v>
      </c>
      <c r="W52" s="25">
        <v>1110100</v>
      </c>
      <c r="X52" s="26">
        <v>1.75</v>
      </c>
      <c r="Y52" s="25">
        <v>19426.750000000004</v>
      </c>
      <c r="Z52" s="19"/>
      <c r="AA52" s="28" t="s">
        <v>45</v>
      </c>
      <c r="AB52" s="23">
        <v>1141070243</v>
      </c>
      <c r="AC52" s="27">
        <v>45525</v>
      </c>
      <c r="AD52" s="28" t="s">
        <v>46</v>
      </c>
      <c r="AE52" s="28">
        <v>0</v>
      </c>
      <c r="AF52" s="29" t="s">
        <v>871</v>
      </c>
      <c r="AG52" s="35">
        <v>19427</v>
      </c>
      <c r="AH52" s="31">
        <v>-0.24999999999636202</v>
      </c>
    </row>
    <row r="53" spans="1:34" x14ac:dyDescent="0.25">
      <c r="A53" s="19" t="s">
        <v>490</v>
      </c>
      <c r="B53" s="19" t="s">
        <v>878</v>
      </c>
      <c r="C53" s="20">
        <v>45474</v>
      </c>
      <c r="D53" s="19" t="s">
        <v>35</v>
      </c>
      <c r="E53" s="19" t="s">
        <v>879</v>
      </c>
      <c r="F53" s="21">
        <v>45494</v>
      </c>
      <c r="G53" s="21">
        <v>45858</v>
      </c>
      <c r="H53" s="22" t="s">
        <v>880</v>
      </c>
      <c r="I53" s="23">
        <v>3530280781177</v>
      </c>
      <c r="J53" s="22" t="s">
        <v>227</v>
      </c>
      <c r="K53" s="19" t="s">
        <v>881</v>
      </c>
      <c r="L53" s="19" t="s">
        <v>882</v>
      </c>
      <c r="M53" s="19" t="s">
        <v>883</v>
      </c>
      <c r="N53" s="19" t="s">
        <v>878</v>
      </c>
      <c r="O53" s="28" t="s">
        <v>54</v>
      </c>
      <c r="P53" s="19" t="s">
        <v>884</v>
      </c>
      <c r="Q53" s="19" t="s">
        <v>885</v>
      </c>
      <c r="R53" s="21">
        <v>44768</v>
      </c>
      <c r="S53" s="21">
        <v>46604</v>
      </c>
      <c r="T53" s="24">
        <v>1546000</v>
      </c>
      <c r="U53" s="19">
        <v>15</v>
      </c>
      <c r="V53" s="25">
        <v>231900</v>
      </c>
      <c r="W53" s="25">
        <v>1314100</v>
      </c>
      <c r="X53" s="26">
        <v>1.75</v>
      </c>
      <c r="Y53" s="25">
        <v>22996.750000000004</v>
      </c>
      <c r="Z53" s="19"/>
      <c r="AA53" s="28" t="s">
        <v>45</v>
      </c>
      <c r="AB53" s="23">
        <v>1141070243</v>
      </c>
      <c r="AC53" s="27">
        <v>45525</v>
      </c>
      <c r="AD53" s="28" t="s">
        <v>46</v>
      </c>
      <c r="AE53" s="28">
        <v>0</v>
      </c>
      <c r="AF53" s="29" t="s">
        <v>879</v>
      </c>
      <c r="AG53" s="35">
        <v>22997</v>
      </c>
      <c r="AH53" s="31">
        <v>-0.24999999999636202</v>
      </c>
    </row>
    <row r="54" spans="1:34" x14ac:dyDescent="0.25">
      <c r="A54" s="19" t="s">
        <v>490</v>
      </c>
      <c r="B54" s="19" t="s">
        <v>886</v>
      </c>
      <c r="C54" s="20">
        <v>45474</v>
      </c>
      <c r="D54" s="19" t="s">
        <v>35</v>
      </c>
      <c r="E54" s="19" t="s">
        <v>887</v>
      </c>
      <c r="F54" s="21">
        <v>45502</v>
      </c>
      <c r="G54" s="21">
        <v>45866</v>
      </c>
      <c r="H54" s="22" t="s">
        <v>888</v>
      </c>
      <c r="I54" s="23">
        <v>3430225950547</v>
      </c>
      <c r="J54" s="22" t="s">
        <v>600</v>
      </c>
      <c r="K54" s="19" t="s">
        <v>889</v>
      </c>
      <c r="L54" s="19" t="s">
        <v>890</v>
      </c>
      <c r="M54" s="19" t="s">
        <v>891</v>
      </c>
      <c r="N54" s="19" t="s">
        <v>886</v>
      </c>
      <c r="O54" s="28" t="s">
        <v>54</v>
      </c>
      <c r="P54" s="19" t="s">
        <v>81</v>
      </c>
      <c r="Q54" s="19" t="s">
        <v>892</v>
      </c>
      <c r="R54" s="21">
        <v>44775</v>
      </c>
      <c r="S54" s="21">
        <v>46604</v>
      </c>
      <c r="T54" s="24">
        <v>1546000</v>
      </c>
      <c r="U54" s="19">
        <v>15</v>
      </c>
      <c r="V54" s="25">
        <v>231900</v>
      </c>
      <c r="W54" s="25">
        <v>1314100</v>
      </c>
      <c r="X54" s="26">
        <v>2.5</v>
      </c>
      <c r="Y54" s="25">
        <v>32852.5</v>
      </c>
      <c r="Z54" s="19"/>
      <c r="AA54" s="28" t="s">
        <v>45</v>
      </c>
      <c r="AB54" s="23">
        <v>1141070243</v>
      </c>
      <c r="AC54" s="27">
        <v>45525</v>
      </c>
      <c r="AD54" s="28" t="s">
        <v>46</v>
      </c>
      <c r="AE54" s="28">
        <v>9</v>
      </c>
      <c r="AF54" s="29" t="s">
        <v>887</v>
      </c>
      <c r="AG54" s="35">
        <v>32853</v>
      </c>
      <c r="AH54" s="31">
        <v>-0.5</v>
      </c>
    </row>
    <row r="55" spans="1:34" x14ac:dyDescent="0.25">
      <c r="A55" s="19" t="s">
        <v>490</v>
      </c>
      <c r="B55" s="19" t="s">
        <v>893</v>
      </c>
      <c r="C55" s="20">
        <v>45474</v>
      </c>
      <c r="D55" s="19" t="s">
        <v>35</v>
      </c>
      <c r="E55" s="19" t="s">
        <v>894</v>
      </c>
      <c r="F55" s="21">
        <v>45505</v>
      </c>
      <c r="G55" s="21">
        <v>45869</v>
      </c>
      <c r="H55" s="22" t="s">
        <v>895</v>
      </c>
      <c r="I55" s="23">
        <v>3120284780066</v>
      </c>
      <c r="J55" s="22" t="s">
        <v>846</v>
      </c>
      <c r="K55" s="19" t="s">
        <v>896</v>
      </c>
      <c r="L55" s="19">
        <v>242717</v>
      </c>
      <c r="M55" s="19" t="s">
        <v>897</v>
      </c>
      <c r="N55" s="19" t="s">
        <v>893</v>
      </c>
      <c r="O55" s="28" t="s">
        <v>54</v>
      </c>
      <c r="P55" s="19" t="s">
        <v>849</v>
      </c>
      <c r="Q55" s="19" t="s">
        <v>898</v>
      </c>
      <c r="R55" s="21">
        <v>44777</v>
      </c>
      <c r="S55" s="21">
        <v>46604</v>
      </c>
      <c r="T55" s="24">
        <v>1747000</v>
      </c>
      <c r="U55" s="19">
        <v>15</v>
      </c>
      <c r="V55" s="25">
        <v>262050</v>
      </c>
      <c r="W55" s="25">
        <v>1484950</v>
      </c>
      <c r="X55" s="26">
        <v>2.5</v>
      </c>
      <c r="Y55" s="25">
        <v>37123.75</v>
      </c>
      <c r="Z55" s="19"/>
      <c r="AA55" s="28" t="s">
        <v>45</v>
      </c>
      <c r="AB55" s="23">
        <v>1141070243</v>
      </c>
      <c r="AC55" s="27">
        <v>45525</v>
      </c>
      <c r="AD55" s="28" t="s">
        <v>46</v>
      </c>
      <c r="AE55" s="28">
        <v>0</v>
      </c>
      <c r="AF55" s="29" t="s">
        <v>894</v>
      </c>
      <c r="AG55" s="35">
        <v>37124</v>
      </c>
      <c r="AH55" s="31">
        <v>-0.25</v>
      </c>
    </row>
    <row r="56" spans="1:34" x14ac:dyDescent="0.25">
      <c r="A56" s="19" t="s">
        <v>490</v>
      </c>
      <c r="B56" s="19" t="s">
        <v>899</v>
      </c>
      <c r="C56" s="20">
        <v>45474</v>
      </c>
      <c r="D56" s="19" t="s">
        <v>35</v>
      </c>
      <c r="E56" s="19" t="s">
        <v>900</v>
      </c>
      <c r="F56" s="21">
        <v>45505</v>
      </c>
      <c r="G56" s="21">
        <v>45869</v>
      </c>
      <c r="H56" s="22" t="s">
        <v>901</v>
      </c>
      <c r="I56" s="23">
        <v>3520014032788</v>
      </c>
      <c r="J56" s="22" t="s">
        <v>279</v>
      </c>
      <c r="K56" s="19" t="s">
        <v>902</v>
      </c>
      <c r="L56" s="19">
        <v>81010917</v>
      </c>
      <c r="M56" s="19" t="s">
        <v>903</v>
      </c>
      <c r="N56" s="19" t="s">
        <v>899</v>
      </c>
      <c r="O56" s="28" t="s">
        <v>54</v>
      </c>
      <c r="P56" s="19" t="s">
        <v>81</v>
      </c>
      <c r="Q56" s="19" t="s">
        <v>904</v>
      </c>
      <c r="R56" s="21">
        <v>44783</v>
      </c>
      <c r="S56" s="21">
        <v>46604</v>
      </c>
      <c r="T56" s="24">
        <v>3793000</v>
      </c>
      <c r="U56" s="19">
        <v>15</v>
      </c>
      <c r="V56" s="25">
        <v>568950</v>
      </c>
      <c r="W56" s="25">
        <v>3224050</v>
      </c>
      <c r="X56" s="26">
        <v>1.75</v>
      </c>
      <c r="Y56" s="25">
        <v>56420.875000000007</v>
      </c>
      <c r="Z56" s="19"/>
      <c r="AA56" s="28" t="s">
        <v>45</v>
      </c>
      <c r="AB56" s="23">
        <v>1141070243</v>
      </c>
      <c r="AC56" s="27">
        <v>45525</v>
      </c>
      <c r="AD56" s="28" t="s">
        <v>46</v>
      </c>
      <c r="AE56" s="28">
        <v>9</v>
      </c>
      <c r="AF56" s="29" t="s">
        <v>900</v>
      </c>
      <c r="AG56" s="35">
        <v>56421</v>
      </c>
      <c r="AH56" s="31">
        <v>-0.12499999999272404</v>
      </c>
    </row>
    <row r="57" spans="1:34" x14ac:dyDescent="0.25">
      <c r="A57" s="19" t="s">
        <v>490</v>
      </c>
      <c r="B57" s="19" t="s">
        <v>905</v>
      </c>
      <c r="C57" s="20">
        <v>45474</v>
      </c>
      <c r="D57" s="19" t="s">
        <v>35</v>
      </c>
      <c r="E57" s="19" t="s">
        <v>906</v>
      </c>
      <c r="F57" s="21">
        <v>45477</v>
      </c>
      <c r="G57" s="21">
        <v>45841</v>
      </c>
      <c r="H57" s="22" t="s">
        <v>907</v>
      </c>
      <c r="I57" s="23">
        <v>3520227908746</v>
      </c>
      <c r="J57" s="22" t="s">
        <v>647</v>
      </c>
      <c r="K57" s="19" t="s">
        <v>908</v>
      </c>
      <c r="L57" s="19" t="s">
        <v>909</v>
      </c>
      <c r="M57" s="19" t="s">
        <v>910</v>
      </c>
      <c r="N57" s="19" t="s">
        <v>905</v>
      </c>
      <c r="O57" s="28" t="s">
        <v>54</v>
      </c>
      <c r="P57" s="19" t="s">
        <v>81</v>
      </c>
      <c r="Q57" s="19" t="s">
        <v>911</v>
      </c>
      <c r="R57" s="21">
        <v>44748</v>
      </c>
      <c r="S57" s="21">
        <v>46573</v>
      </c>
      <c r="T57" s="24">
        <v>2958000</v>
      </c>
      <c r="U57" s="19">
        <v>15</v>
      </c>
      <c r="V57" s="25">
        <v>443700</v>
      </c>
      <c r="W57" s="25">
        <v>2514300</v>
      </c>
      <c r="X57" s="26">
        <v>1.75</v>
      </c>
      <c r="Y57" s="25">
        <v>44000.250000000007</v>
      </c>
      <c r="Z57" s="19"/>
      <c r="AA57" s="28" t="s">
        <v>45</v>
      </c>
      <c r="AB57" s="23">
        <v>1141070243</v>
      </c>
      <c r="AC57" s="27">
        <v>45525</v>
      </c>
      <c r="AD57" s="28" t="s">
        <v>46</v>
      </c>
      <c r="AE57" s="28">
        <v>9</v>
      </c>
      <c r="AF57" s="29" t="s">
        <v>906</v>
      </c>
      <c r="AG57" s="35">
        <v>44000</v>
      </c>
      <c r="AH57" s="31">
        <v>0.25000000000727596</v>
      </c>
    </row>
    <row r="58" spans="1:34" x14ac:dyDescent="0.25">
      <c r="A58" s="19" t="s">
        <v>490</v>
      </c>
      <c r="B58" s="19" t="s">
        <v>912</v>
      </c>
      <c r="C58" s="20">
        <v>45474</v>
      </c>
      <c r="D58" s="19" t="s">
        <v>35</v>
      </c>
      <c r="E58" s="19" t="s">
        <v>913</v>
      </c>
      <c r="F58" s="21">
        <v>45492</v>
      </c>
      <c r="G58" s="21">
        <v>45856</v>
      </c>
      <c r="H58" s="22" t="s">
        <v>914</v>
      </c>
      <c r="I58" s="23">
        <v>3510212545307</v>
      </c>
      <c r="J58" s="22" t="s">
        <v>249</v>
      </c>
      <c r="K58" s="19" t="s">
        <v>915</v>
      </c>
      <c r="L58" s="19">
        <v>236734</v>
      </c>
      <c r="M58" s="19" t="s">
        <v>916</v>
      </c>
      <c r="N58" s="19" t="s">
        <v>912</v>
      </c>
      <c r="O58" s="28" t="s">
        <v>54</v>
      </c>
      <c r="P58" s="19" t="s">
        <v>81</v>
      </c>
      <c r="Q58" s="19" t="s">
        <v>917</v>
      </c>
      <c r="R58" s="21">
        <v>44763</v>
      </c>
      <c r="S58" s="21">
        <v>46604</v>
      </c>
      <c r="T58" s="24">
        <v>2158000</v>
      </c>
      <c r="U58" s="19">
        <v>15</v>
      </c>
      <c r="V58" s="25">
        <v>323700</v>
      </c>
      <c r="W58" s="25">
        <v>1834300</v>
      </c>
      <c r="X58" s="26">
        <v>1.5</v>
      </c>
      <c r="Y58" s="25">
        <v>27514.5</v>
      </c>
      <c r="Z58" s="19"/>
      <c r="AA58" s="28" t="s">
        <v>45</v>
      </c>
      <c r="AB58" s="23">
        <v>1141070243</v>
      </c>
      <c r="AC58" s="27">
        <v>45525</v>
      </c>
      <c r="AD58" s="28" t="s">
        <v>46</v>
      </c>
      <c r="AE58" s="28">
        <v>9</v>
      </c>
      <c r="AF58" s="29" t="s">
        <v>913</v>
      </c>
      <c r="AG58" s="35">
        <v>27515</v>
      </c>
      <c r="AH58" s="31">
        <v>-0.5</v>
      </c>
    </row>
    <row r="59" spans="1:34" x14ac:dyDescent="0.25">
      <c r="A59" s="19" t="s">
        <v>490</v>
      </c>
      <c r="B59" s="19" t="s">
        <v>918</v>
      </c>
      <c r="C59" s="20">
        <v>45474</v>
      </c>
      <c r="D59" s="19" t="s">
        <v>35</v>
      </c>
      <c r="E59" s="19" t="s">
        <v>919</v>
      </c>
      <c r="F59" s="21">
        <v>45505</v>
      </c>
      <c r="G59" s="21">
        <v>45869</v>
      </c>
      <c r="H59" s="22" t="s">
        <v>920</v>
      </c>
      <c r="I59" s="23">
        <v>3630352017019</v>
      </c>
      <c r="J59" s="22" t="s">
        <v>732</v>
      </c>
      <c r="K59" s="19" t="s">
        <v>921</v>
      </c>
      <c r="L59" s="19">
        <v>200767</v>
      </c>
      <c r="M59" s="19" t="s">
        <v>922</v>
      </c>
      <c r="N59" s="19" t="s">
        <v>918</v>
      </c>
      <c r="O59" s="28" t="s">
        <v>54</v>
      </c>
      <c r="P59" s="19" t="s">
        <v>152</v>
      </c>
      <c r="Q59" s="19" t="s">
        <v>923</v>
      </c>
      <c r="R59" s="21">
        <v>44784</v>
      </c>
      <c r="S59" s="21">
        <v>46604</v>
      </c>
      <c r="T59" s="24">
        <v>2474000</v>
      </c>
      <c r="U59" s="19">
        <v>15</v>
      </c>
      <c r="V59" s="25">
        <v>371100</v>
      </c>
      <c r="W59" s="25">
        <v>2102900</v>
      </c>
      <c r="X59" s="26">
        <v>2.5</v>
      </c>
      <c r="Y59" s="25">
        <v>52572.5</v>
      </c>
      <c r="Z59" s="19"/>
      <c r="AA59" s="28" t="s">
        <v>45</v>
      </c>
      <c r="AB59" s="23">
        <v>1141070243</v>
      </c>
      <c r="AC59" s="27">
        <v>45525</v>
      </c>
      <c r="AD59" s="28" t="s">
        <v>46</v>
      </c>
      <c r="AE59" s="28">
        <v>0</v>
      </c>
      <c r="AF59" s="29" t="s">
        <v>919</v>
      </c>
      <c r="AG59" s="35">
        <v>52573</v>
      </c>
      <c r="AH59" s="31">
        <v>-0.5</v>
      </c>
    </row>
    <row r="60" spans="1:34" x14ac:dyDescent="0.25">
      <c r="A60" s="19" t="s">
        <v>490</v>
      </c>
      <c r="B60" s="19" t="s">
        <v>924</v>
      </c>
      <c r="C60" s="20">
        <v>45474</v>
      </c>
      <c r="D60" s="19" t="s">
        <v>35</v>
      </c>
      <c r="E60" s="19" t="s">
        <v>925</v>
      </c>
      <c r="F60" s="21">
        <v>45503</v>
      </c>
      <c r="G60" s="21">
        <v>45867</v>
      </c>
      <c r="H60" s="22" t="s">
        <v>926</v>
      </c>
      <c r="I60" s="23">
        <v>3130390808849</v>
      </c>
      <c r="J60" s="22" t="s">
        <v>846</v>
      </c>
      <c r="K60" s="19" t="s">
        <v>927</v>
      </c>
      <c r="L60" s="19">
        <v>241691</v>
      </c>
      <c r="M60" s="19" t="s">
        <v>928</v>
      </c>
      <c r="N60" s="19" t="s">
        <v>924</v>
      </c>
      <c r="O60" s="28" t="s">
        <v>54</v>
      </c>
      <c r="P60" s="19" t="s">
        <v>72</v>
      </c>
      <c r="Q60" s="19" t="s">
        <v>929</v>
      </c>
      <c r="R60" s="21">
        <v>44777</v>
      </c>
      <c r="S60" s="21">
        <v>46604</v>
      </c>
      <c r="T60" s="24">
        <v>1546000</v>
      </c>
      <c r="U60" s="19">
        <v>15</v>
      </c>
      <c r="V60" s="25">
        <v>231900</v>
      </c>
      <c r="W60" s="25">
        <v>1314100</v>
      </c>
      <c r="X60" s="26">
        <v>2.5</v>
      </c>
      <c r="Y60" s="25">
        <v>32852.5</v>
      </c>
      <c r="Z60" s="19"/>
      <c r="AA60" s="28" t="s">
        <v>45</v>
      </c>
      <c r="AB60" s="23">
        <v>1141070243</v>
      </c>
      <c r="AC60" s="27">
        <v>45525</v>
      </c>
      <c r="AD60" s="28" t="s">
        <v>46</v>
      </c>
      <c r="AE60" s="28">
        <v>0</v>
      </c>
      <c r="AF60" s="29" t="s">
        <v>925</v>
      </c>
      <c r="AG60" s="35">
        <v>32853</v>
      </c>
      <c r="AH60" s="31">
        <v>-0.5</v>
      </c>
    </row>
    <row r="61" spans="1:34" x14ac:dyDescent="0.25">
      <c r="A61" s="19" t="s">
        <v>490</v>
      </c>
      <c r="B61" s="19" t="s">
        <v>930</v>
      </c>
      <c r="C61" s="20">
        <v>45474</v>
      </c>
      <c r="D61" s="19" t="s">
        <v>35</v>
      </c>
      <c r="E61" s="19" t="s">
        <v>931</v>
      </c>
      <c r="F61" s="21">
        <v>45503</v>
      </c>
      <c r="G61" s="21">
        <v>45867</v>
      </c>
      <c r="H61" s="22" t="s">
        <v>932</v>
      </c>
      <c r="I61" s="23">
        <v>3740605173547</v>
      </c>
      <c r="J61" s="22" t="s">
        <v>167</v>
      </c>
      <c r="K61" s="19" t="s">
        <v>933</v>
      </c>
      <c r="L61" s="19">
        <v>171073</v>
      </c>
      <c r="M61" s="19" t="s">
        <v>934</v>
      </c>
      <c r="N61" s="19" t="s">
        <v>930</v>
      </c>
      <c r="O61" s="19" t="s">
        <v>161</v>
      </c>
      <c r="P61" s="19" t="s">
        <v>935</v>
      </c>
      <c r="Q61" s="19" t="s">
        <v>936</v>
      </c>
      <c r="R61" s="21">
        <v>44774</v>
      </c>
      <c r="S61" s="21">
        <v>46604</v>
      </c>
      <c r="T61" s="24">
        <v>1800000</v>
      </c>
      <c r="U61" s="19">
        <v>15</v>
      </c>
      <c r="V61" s="25">
        <v>270000</v>
      </c>
      <c r="W61" s="25">
        <v>1530000</v>
      </c>
      <c r="X61" s="26">
        <v>2</v>
      </c>
      <c r="Y61" s="25">
        <v>30600</v>
      </c>
      <c r="Z61" s="19"/>
      <c r="AA61" s="28" t="s">
        <v>45</v>
      </c>
      <c r="AB61" s="23">
        <v>1141070243</v>
      </c>
      <c r="AC61" s="27">
        <v>45525</v>
      </c>
      <c r="AD61" s="28" t="s">
        <v>46</v>
      </c>
      <c r="AE61" s="28">
        <v>9</v>
      </c>
      <c r="AF61" s="29" t="s">
        <v>931</v>
      </c>
      <c r="AG61" s="35">
        <v>30600</v>
      </c>
      <c r="AH61" s="31">
        <v>0</v>
      </c>
    </row>
    <row r="62" spans="1:34" x14ac:dyDescent="0.25">
      <c r="A62" s="19" t="s">
        <v>490</v>
      </c>
      <c r="B62" s="19" t="s">
        <v>937</v>
      </c>
      <c r="C62" s="20">
        <v>45474</v>
      </c>
      <c r="D62" s="19" t="s">
        <v>35</v>
      </c>
      <c r="E62" s="19" t="s">
        <v>938</v>
      </c>
      <c r="F62" s="21">
        <v>45499</v>
      </c>
      <c r="G62" s="21">
        <v>45863</v>
      </c>
      <c r="H62" s="22" t="s">
        <v>585</v>
      </c>
      <c r="I62" s="23">
        <v>3520299567395</v>
      </c>
      <c r="J62" s="22" t="s">
        <v>50</v>
      </c>
      <c r="K62" s="19" t="s">
        <v>939</v>
      </c>
      <c r="L62" s="19">
        <v>1013449</v>
      </c>
      <c r="M62" s="19" t="s">
        <v>940</v>
      </c>
      <c r="N62" s="19" t="s">
        <v>937</v>
      </c>
      <c r="O62" s="28" t="s">
        <v>54</v>
      </c>
      <c r="P62" s="19" t="s">
        <v>81</v>
      </c>
      <c r="Q62" s="19" t="s">
        <v>941</v>
      </c>
      <c r="R62" s="21">
        <v>44770</v>
      </c>
      <c r="S62" s="21">
        <v>46604</v>
      </c>
      <c r="T62" s="24">
        <v>3136000</v>
      </c>
      <c r="U62" s="19">
        <v>15</v>
      </c>
      <c r="V62" s="25">
        <v>470400</v>
      </c>
      <c r="W62" s="25">
        <v>2665600</v>
      </c>
      <c r="X62" s="26">
        <v>2.5</v>
      </c>
      <c r="Y62" s="25">
        <v>66640</v>
      </c>
      <c r="Z62" s="19"/>
      <c r="AA62" s="28" t="s">
        <v>45</v>
      </c>
      <c r="AB62" s="23">
        <v>1141070243</v>
      </c>
      <c r="AC62" s="27">
        <v>45525</v>
      </c>
      <c r="AD62" s="28" t="s">
        <v>46</v>
      </c>
      <c r="AE62" s="28">
        <v>9</v>
      </c>
      <c r="AF62" s="29" t="s">
        <v>938</v>
      </c>
      <c r="AG62" s="35">
        <v>66640</v>
      </c>
      <c r="AH62" s="31">
        <v>0</v>
      </c>
    </row>
    <row r="63" spans="1:34" x14ac:dyDescent="0.25">
      <c r="A63" s="19" t="s">
        <v>490</v>
      </c>
      <c r="B63" s="19" t="s">
        <v>942</v>
      </c>
      <c r="C63" s="20">
        <v>45474</v>
      </c>
      <c r="D63" s="19" t="s">
        <v>35</v>
      </c>
      <c r="E63" s="19" t="s">
        <v>943</v>
      </c>
      <c r="F63" s="21">
        <v>45503</v>
      </c>
      <c r="G63" s="21">
        <v>45867</v>
      </c>
      <c r="H63" s="22" t="s">
        <v>944</v>
      </c>
      <c r="I63" s="23">
        <v>8220385094529</v>
      </c>
      <c r="J63" s="22" t="s">
        <v>945</v>
      </c>
      <c r="K63" s="19" t="s">
        <v>946</v>
      </c>
      <c r="L63" s="19">
        <v>133003</v>
      </c>
      <c r="M63" s="19" t="s">
        <v>947</v>
      </c>
      <c r="N63" s="19" t="s">
        <v>942</v>
      </c>
      <c r="O63" s="19" t="s">
        <v>161</v>
      </c>
      <c r="P63" s="19" t="s">
        <v>948</v>
      </c>
      <c r="Q63" s="19" t="s">
        <v>949</v>
      </c>
      <c r="R63" s="21">
        <v>44774</v>
      </c>
      <c r="S63" s="21">
        <v>46604</v>
      </c>
      <c r="T63" s="24">
        <v>2200000</v>
      </c>
      <c r="U63" s="19">
        <v>15</v>
      </c>
      <c r="V63" s="25">
        <v>330000</v>
      </c>
      <c r="W63" s="25">
        <v>1870000</v>
      </c>
      <c r="X63" s="26">
        <v>1.5</v>
      </c>
      <c r="Y63" s="25">
        <v>28050</v>
      </c>
      <c r="Z63" s="19"/>
      <c r="AA63" s="28" t="s">
        <v>45</v>
      </c>
      <c r="AB63" s="23">
        <v>1141070243</v>
      </c>
      <c r="AC63" s="27">
        <v>45525</v>
      </c>
      <c r="AD63" s="28" t="s">
        <v>46</v>
      </c>
      <c r="AE63" s="28">
        <v>9</v>
      </c>
      <c r="AF63" s="29" t="s">
        <v>943</v>
      </c>
      <c r="AG63" s="35">
        <v>28050</v>
      </c>
      <c r="AH63" s="31">
        <v>0</v>
      </c>
    </row>
    <row r="64" spans="1:34" x14ac:dyDescent="0.25">
      <c r="A64" s="19" t="s">
        <v>490</v>
      </c>
      <c r="B64" s="19" t="s">
        <v>950</v>
      </c>
      <c r="C64" s="20">
        <v>45474</v>
      </c>
      <c r="D64" s="19" t="s">
        <v>35</v>
      </c>
      <c r="E64" s="19" t="s">
        <v>951</v>
      </c>
      <c r="F64" s="21">
        <v>45495</v>
      </c>
      <c r="G64" s="21">
        <v>45859</v>
      </c>
      <c r="H64" s="22" t="s">
        <v>952</v>
      </c>
      <c r="I64" s="23">
        <v>3520138206031</v>
      </c>
      <c r="J64" s="22" t="s">
        <v>111</v>
      </c>
      <c r="K64" s="19" t="s">
        <v>953</v>
      </c>
      <c r="L64" s="19" t="s">
        <v>954</v>
      </c>
      <c r="M64" s="19" t="s">
        <v>955</v>
      </c>
      <c r="N64" s="19" t="s">
        <v>950</v>
      </c>
      <c r="O64" s="28" t="s">
        <v>54</v>
      </c>
      <c r="P64" s="19" t="s">
        <v>81</v>
      </c>
      <c r="Q64" s="19" t="s">
        <v>956</v>
      </c>
      <c r="R64" s="21">
        <v>44769</v>
      </c>
      <c r="S64" s="21">
        <v>46604</v>
      </c>
      <c r="T64" s="24">
        <v>1950000</v>
      </c>
      <c r="U64" s="19">
        <v>15</v>
      </c>
      <c r="V64" s="25">
        <v>292500</v>
      </c>
      <c r="W64" s="25">
        <v>1657500</v>
      </c>
      <c r="X64" s="26">
        <v>2</v>
      </c>
      <c r="Y64" s="25">
        <v>33150</v>
      </c>
      <c r="Z64" s="19"/>
      <c r="AA64" s="28" t="s">
        <v>45</v>
      </c>
      <c r="AB64" s="23">
        <v>1141070243</v>
      </c>
      <c r="AC64" s="27">
        <v>45525</v>
      </c>
      <c r="AD64" s="28" t="s">
        <v>46</v>
      </c>
      <c r="AE64" s="28">
        <v>9</v>
      </c>
      <c r="AF64" s="29" t="s">
        <v>951</v>
      </c>
      <c r="AG64" s="35">
        <v>33150</v>
      </c>
      <c r="AH64" s="31">
        <v>0</v>
      </c>
    </row>
    <row r="65" spans="1:34" x14ac:dyDescent="0.25">
      <c r="A65" s="19" t="s">
        <v>490</v>
      </c>
      <c r="B65" s="19" t="s">
        <v>957</v>
      </c>
      <c r="C65" s="20">
        <v>45474</v>
      </c>
      <c r="D65" s="19" t="s">
        <v>35</v>
      </c>
      <c r="E65" s="19" t="s">
        <v>958</v>
      </c>
      <c r="F65" s="21">
        <v>45499</v>
      </c>
      <c r="G65" s="21">
        <v>45863</v>
      </c>
      <c r="H65" s="22" t="s">
        <v>959</v>
      </c>
      <c r="I65" s="23">
        <v>3540175939381</v>
      </c>
      <c r="J65" s="22" t="s">
        <v>111</v>
      </c>
      <c r="K65" s="19" t="s">
        <v>960</v>
      </c>
      <c r="L65" s="19" t="s">
        <v>961</v>
      </c>
      <c r="M65" s="19" t="s">
        <v>962</v>
      </c>
      <c r="N65" s="19" t="s">
        <v>957</v>
      </c>
      <c r="O65" s="28" t="s">
        <v>54</v>
      </c>
      <c r="P65" s="19" t="s">
        <v>81</v>
      </c>
      <c r="Q65" s="19" t="s">
        <v>963</v>
      </c>
      <c r="R65" s="21">
        <v>45139</v>
      </c>
      <c r="S65" s="21">
        <v>46970</v>
      </c>
      <c r="T65" s="24">
        <v>2130000</v>
      </c>
      <c r="U65" s="19">
        <v>10</v>
      </c>
      <c r="V65" s="25">
        <v>213000</v>
      </c>
      <c r="W65" s="25">
        <v>1917000</v>
      </c>
      <c r="X65" s="26">
        <v>2</v>
      </c>
      <c r="Y65" s="25">
        <v>38340</v>
      </c>
      <c r="Z65" s="19"/>
      <c r="AA65" s="28" t="s">
        <v>45</v>
      </c>
      <c r="AB65" s="23">
        <v>1141070243</v>
      </c>
      <c r="AC65" s="27">
        <v>45525</v>
      </c>
      <c r="AD65" s="28" t="s">
        <v>46</v>
      </c>
      <c r="AE65" s="28">
        <v>0</v>
      </c>
      <c r="AF65" s="29" t="s">
        <v>958</v>
      </c>
      <c r="AG65" s="35">
        <v>38340</v>
      </c>
      <c r="AH65" s="31">
        <v>0</v>
      </c>
    </row>
    <row r="66" spans="1:34" x14ac:dyDescent="0.25">
      <c r="A66" s="19" t="s">
        <v>490</v>
      </c>
      <c r="B66" s="19" t="s">
        <v>964</v>
      </c>
      <c r="C66" s="20">
        <v>45474</v>
      </c>
      <c r="D66" s="19" t="s">
        <v>35</v>
      </c>
      <c r="E66" s="19" t="s">
        <v>965</v>
      </c>
      <c r="F66" s="21">
        <v>45497</v>
      </c>
      <c r="G66" s="21">
        <v>45861</v>
      </c>
      <c r="H66" s="22" t="s">
        <v>966</v>
      </c>
      <c r="I66" s="23">
        <v>3520230160183</v>
      </c>
      <c r="J66" s="22" t="s">
        <v>967</v>
      </c>
      <c r="K66" s="19" t="s">
        <v>968</v>
      </c>
      <c r="L66" s="19" t="s">
        <v>969</v>
      </c>
      <c r="M66" s="19" t="s">
        <v>970</v>
      </c>
      <c r="N66" s="19" t="s">
        <v>964</v>
      </c>
      <c r="O66" s="28" t="s">
        <v>54</v>
      </c>
      <c r="P66" s="19" t="s">
        <v>971</v>
      </c>
      <c r="Q66" s="19" t="s">
        <v>972</v>
      </c>
      <c r="R66" s="21">
        <v>45132</v>
      </c>
      <c r="S66" s="21">
        <v>46239</v>
      </c>
      <c r="T66" s="24">
        <v>5276000</v>
      </c>
      <c r="U66" s="19">
        <v>10</v>
      </c>
      <c r="V66" s="25">
        <v>527600</v>
      </c>
      <c r="W66" s="25">
        <v>4748400</v>
      </c>
      <c r="X66" s="26">
        <v>1.5</v>
      </c>
      <c r="Y66" s="25">
        <v>71226</v>
      </c>
      <c r="Z66" s="19"/>
      <c r="AA66" s="28" t="s">
        <v>45</v>
      </c>
      <c r="AB66" s="23">
        <v>1141070243</v>
      </c>
      <c r="AC66" s="27">
        <v>45525</v>
      </c>
      <c r="AD66" s="28" t="s">
        <v>46</v>
      </c>
      <c r="AE66" s="28">
        <v>0</v>
      </c>
      <c r="AF66" s="29" t="s">
        <v>965</v>
      </c>
      <c r="AG66" s="35">
        <v>71226</v>
      </c>
      <c r="AH66" s="31">
        <v>0</v>
      </c>
    </row>
    <row r="67" spans="1:34" x14ac:dyDescent="0.25">
      <c r="A67" s="19" t="s">
        <v>490</v>
      </c>
      <c r="B67" s="19" t="s">
        <v>973</v>
      </c>
      <c r="C67" s="20">
        <v>45474</v>
      </c>
      <c r="D67" s="19" t="s">
        <v>35</v>
      </c>
      <c r="E67" s="19" t="s">
        <v>974</v>
      </c>
      <c r="F67" s="21">
        <v>45489</v>
      </c>
      <c r="G67" s="21">
        <v>45853</v>
      </c>
      <c r="H67" s="22" t="s">
        <v>975</v>
      </c>
      <c r="I67" s="23">
        <v>3740594850053</v>
      </c>
      <c r="J67" s="22" t="s">
        <v>976</v>
      </c>
      <c r="K67" s="19" t="s">
        <v>977</v>
      </c>
      <c r="L67" s="19">
        <v>290854</v>
      </c>
      <c r="M67" s="19" t="s">
        <v>978</v>
      </c>
      <c r="N67" s="19" t="s">
        <v>973</v>
      </c>
      <c r="O67" s="19" t="s">
        <v>161</v>
      </c>
      <c r="P67" s="19" t="s">
        <v>162</v>
      </c>
      <c r="Q67" s="19" t="s">
        <v>979</v>
      </c>
      <c r="R67" s="21">
        <v>44036</v>
      </c>
      <c r="S67" s="21">
        <v>45874</v>
      </c>
      <c r="T67" s="24">
        <v>2900000</v>
      </c>
      <c r="U67" s="19">
        <v>25</v>
      </c>
      <c r="V67" s="25">
        <v>725000</v>
      </c>
      <c r="W67" s="25">
        <v>2175000</v>
      </c>
      <c r="X67" s="26">
        <v>3.5</v>
      </c>
      <c r="Y67" s="25">
        <v>76125</v>
      </c>
      <c r="Z67" s="19"/>
      <c r="AA67" s="28" t="s">
        <v>45</v>
      </c>
      <c r="AB67" s="23">
        <v>1141070243</v>
      </c>
      <c r="AC67" s="27">
        <v>45525</v>
      </c>
      <c r="AD67" s="28" t="s">
        <v>46</v>
      </c>
      <c r="AE67" s="28">
        <v>0</v>
      </c>
      <c r="AF67" s="29" t="s">
        <v>974</v>
      </c>
      <c r="AG67" s="35">
        <v>76125</v>
      </c>
      <c r="AH67" s="31">
        <v>0</v>
      </c>
    </row>
    <row r="68" spans="1:34" x14ac:dyDescent="0.25">
      <c r="A68" s="19" t="s">
        <v>490</v>
      </c>
      <c r="B68" s="19" t="s">
        <v>980</v>
      </c>
      <c r="C68" s="20">
        <v>45474</v>
      </c>
      <c r="D68" s="19" t="s">
        <v>35</v>
      </c>
      <c r="E68" s="19" t="s">
        <v>981</v>
      </c>
      <c r="F68" s="21">
        <v>45502</v>
      </c>
      <c r="G68" s="21">
        <v>45866</v>
      </c>
      <c r="H68" s="22" t="s">
        <v>982</v>
      </c>
      <c r="I68" s="23">
        <v>3740540527249</v>
      </c>
      <c r="J68" s="22" t="s">
        <v>983</v>
      </c>
      <c r="K68" s="19" t="s">
        <v>984</v>
      </c>
      <c r="L68" s="19">
        <v>6912047</v>
      </c>
      <c r="M68" s="19" t="s">
        <v>985</v>
      </c>
      <c r="N68" s="19" t="s">
        <v>980</v>
      </c>
      <c r="O68" s="28" t="s">
        <v>54</v>
      </c>
      <c r="P68" s="19" t="s">
        <v>152</v>
      </c>
      <c r="Q68" s="19" t="s">
        <v>986</v>
      </c>
      <c r="R68" s="21">
        <v>44046</v>
      </c>
      <c r="S68" s="21">
        <v>45874</v>
      </c>
      <c r="T68" s="24">
        <v>4054500</v>
      </c>
      <c r="U68" s="19">
        <v>25</v>
      </c>
      <c r="V68" s="25">
        <v>1013625</v>
      </c>
      <c r="W68" s="25">
        <v>3040875</v>
      </c>
      <c r="X68" s="26">
        <v>1.5</v>
      </c>
      <c r="Y68" s="25">
        <v>45613.125</v>
      </c>
      <c r="Z68" s="19"/>
      <c r="AA68" s="28" t="s">
        <v>45</v>
      </c>
      <c r="AB68" s="23">
        <v>1141070243</v>
      </c>
      <c r="AC68" s="27">
        <v>45525</v>
      </c>
      <c r="AD68" s="28" t="s">
        <v>46</v>
      </c>
      <c r="AE68" s="28">
        <v>9</v>
      </c>
      <c r="AF68" s="29" t="s">
        <v>981</v>
      </c>
      <c r="AG68" s="35">
        <v>45613</v>
      </c>
      <c r="AH68" s="31">
        <v>0.125</v>
      </c>
    </row>
    <row r="69" spans="1:34" x14ac:dyDescent="0.25">
      <c r="A69" s="19" t="s">
        <v>490</v>
      </c>
      <c r="B69" s="19" t="s">
        <v>987</v>
      </c>
      <c r="C69" s="20">
        <v>45474</v>
      </c>
      <c r="D69" s="19" t="s">
        <v>35</v>
      </c>
      <c r="E69" s="19" t="s">
        <v>988</v>
      </c>
      <c r="F69" s="21">
        <v>45503</v>
      </c>
      <c r="G69" s="21">
        <v>45867</v>
      </c>
      <c r="H69" s="22" t="s">
        <v>989</v>
      </c>
      <c r="I69" s="23">
        <v>3410158356205</v>
      </c>
      <c r="J69" s="22" t="s">
        <v>990</v>
      </c>
      <c r="K69" s="19" t="s">
        <v>991</v>
      </c>
      <c r="L69" s="19">
        <v>159194</v>
      </c>
      <c r="M69" s="19" t="s">
        <v>992</v>
      </c>
      <c r="N69" s="19" t="s">
        <v>987</v>
      </c>
      <c r="O69" s="28" t="s">
        <v>54</v>
      </c>
      <c r="P69" s="19" t="s">
        <v>993</v>
      </c>
      <c r="Q69" s="19" t="s">
        <v>994</v>
      </c>
      <c r="R69" s="21">
        <v>44047</v>
      </c>
      <c r="S69" s="21">
        <v>45874</v>
      </c>
      <c r="T69" s="24">
        <v>1985000</v>
      </c>
      <c r="U69" s="19">
        <v>25</v>
      </c>
      <c r="V69" s="25">
        <v>496250</v>
      </c>
      <c r="W69" s="25">
        <v>1488750</v>
      </c>
      <c r="X69" s="26">
        <v>3.75</v>
      </c>
      <c r="Y69" s="25">
        <v>55828.125</v>
      </c>
      <c r="Z69" s="19"/>
      <c r="AA69" s="28" t="s">
        <v>45</v>
      </c>
      <c r="AB69" s="23">
        <v>1141070243</v>
      </c>
      <c r="AC69" s="27">
        <v>45525</v>
      </c>
      <c r="AD69" s="28" t="s">
        <v>46</v>
      </c>
      <c r="AE69" s="28">
        <v>9</v>
      </c>
      <c r="AF69" s="29" t="s">
        <v>988</v>
      </c>
      <c r="AG69" s="35">
        <v>55828</v>
      </c>
      <c r="AH69" s="31">
        <v>0.125</v>
      </c>
    </row>
    <row r="70" spans="1:34" x14ac:dyDescent="0.25">
      <c r="A70" s="19" t="s">
        <v>490</v>
      </c>
      <c r="B70" s="19" t="s">
        <v>995</v>
      </c>
      <c r="C70" s="20">
        <v>45474</v>
      </c>
      <c r="D70" s="19" t="s">
        <v>35</v>
      </c>
      <c r="E70" s="19" t="s">
        <v>996</v>
      </c>
      <c r="F70" s="21">
        <v>45502</v>
      </c>
      <c r="G70" s="21">
        <v>45866</v>
      </c>
      <c r="H70" s="22" t="s">
        <v>997</v>
      </c>
      <c r="I70" s="23" t="s">
        <v>998</v>
      </c>
      <c r="J70" s="22" t="s">
        <v>999</v>
      </c>
      <c r="K70" s="19" t="s">
        <v>1000</v>
      </c>
      <c r="L70" s="19">
        <v>8701674</v>
      </c>
      <c r="M70" s="19" t="s">
        <v>1001</v>
      </c>
      <c r="N70" s="19" t="s">
        <v>995</v>
      </c>
      <c r="O70" s="19" t="s">
        <v>161</v>
      </c>
      <c r="P70" s="19" t="s">
        <v>162</v>
      </c>
      <c r="Q70" s="19" t="s">
        <v>1002</v>
      </c>
      <c r="R70" s="21">
        <v>44047</v>
      </c>
      <c r="S70" s="21">
        <v>45874</v>
      </c>
      <c r="T70" s="24">
        <v>1309000</v>
      </c>
      <c r="U70" s="19">
        <v>25</v>
      </c>
      <c r="V70" s="25">
        <v>327250</v>
      </c>
      <c r="W70" s="25">
        <v>981750</v>
      </c>
      <c r="X70" s="26">
        <v>3.5</v>
      </c>
      <c r="Y70" s="25">
        <v>34361.25</v>
      </c>
      <c r="Z70" s="19"/>
      <c r="AA70" s="28" t="s">
        <v>45</v>
      </c>
      <c r="AB70" s="23">
        <v>1141070243</v>
      </c>
      <c r="AC70" s="27">
        <v>45525</v>
      </c>
      <c r="AD70" s="28" t="s">
        <v>46</v>
      </c>
      <c r="AE70" s="28">
        <v>0</v>
      </c>
      <c r="AF70" s="29" t="s">
        <v>996</v>
      </c>
      <c r="AG70" s="35">
        <v>34361</v>
      </c>
      <c r="AH70" s="31">
        <v>0.25</v>
      </c>
    </row>
    <row r="71" spans="1:34" x14ac:dyDescent="0.25">
      <c r="A71" s="19" t="s">
        <v>490</v>
      </c>
      <c r="B71" s="19" t="s">
        <v>1003</v>
      </c>
      <c r="C71" s="20">
        <v>45474</v>
      </c>
      <c r="D71" s="19" t="s">
        <v>35</v>
      </c>
      <c r="E71" s="19" t="s">
        <v>1004</v>
      </c>
      <c r="F71" s="21">
        <v>45491</v>
      </c>
      <c r="G71" s="21">
        <v>45855</v>
      </c>
      <c r="H71" s="22" t="s">
        <v>1005</v>
      </c>
      <c r="I71" s="23">
        <v>1530724258177</v>
      </c>
      <c r="J71" s="22" t="s">
        <v>1006</v>
      </c>
      <c r="K71" s="19" t="s">
        <v>1007</v>
      </c>
      <c r="L71" s="19">
        <v>3882668</v>
      </c>
      <c r="M71" s="19" t="s">
        <v>1008</v>
      </c>
      <c r="N71" s="19" t="s">
        <v>1003</v>
      </c>
      <c r="O71" s="19" t="s">
        <v>161</v>
      </c>
      <c r="P71" s="19" t="s">
        <v>162</v>
      </c>
      <c r="Q71" s="19" t="s">
        <v>1009</v>
      </c>
      <c r="R71" s="21">
        <v>44763</v>
      </c>
      <c r="S71" s="21">
        <v>46239</v>
      </c>
      <c r="T71" s="24">
        <v>3800000</v>
      </c>
      <c r="U71" s="19">
        <v>15</v>
      </c>
      <c r="V71" s="25">
        <v>570000</v>
      </c>
      <c r="W71" s="25">
        <v>3230000</v>
      </c>
      <c r="X71" s="26">
        <v>1.5</v>
      </c>
      <c r="Y71" s="25">
        <v>48450</v>
      </c>
      <c r="Z71" s="19"/>
      <c r="AA71" s="28" t="s">
        <v>45</v>
      </c>
      <c r="AB71" s="23">
        <v>1141070243</v>
      </c>
      <c r="AC71" s="27">
        <v>45525</v>
      </c>
      <c r="AD71" s="28" t="s">
        <v>46</v>
      </c>
      <c r="AE71" s="28">
        <v>9</v>
      </c>
      <c r="AF71" s="29" t="s">
        <v>1004</v>
      </c>
      <c r="AG71" s="35">
        <v>48450</v>
      </c>
      <c r="AH71" s="31">
        <v>0</v>
      </c>
    </row>
    <row r="72" spans="1:34" x14ac:dyDescent="0.25">
      <c r="A72" s="19" t="s">
        <v>490</v>
      </c>
      <c r="B72" s="19" t="s">
        <v>1010</v>
      </c>
      <c r="C72" s="20">
        <v>45474</v>
      </c>
      <c r="D72" s="19" t="s">
        <v>35</v>
      </c>
      <c r="E72" s="19" t="s">
        <v>1011</v>
      </c>
      <c r="F72" s="21">
        <v>45489</v>
      </c>
      <c r="G72" s="21">
        <v>45853</v>
      </c>
      <c r="H72" s="22" t="s">
        <v>1012</v>
      </c>
      <c r="I72" s="23">
        <v>3520014434085</v>
      </c>
      <c r="J72" s="22" t="s">
        <v>525</v>
      </c>
      <c r="K72" s="19" t="s">
        <v>1013</v>
      </c>
      <c r="L72" s="19">
        <v>6923702</v>
      </c>
      <c r="M72" s="19" t="s">
        <v>1014</v>
      </c>
      <c r="N72" s="19" t="s">
        <v>1010</v>
      </c>
      <c r="O72" s="28" t="s">
        <v>54</v>
      </c>
      <c r="P72" s="19" t="s">
        <v>81</v>
      </c>
      <c r="Q72" s="19" t="s">
        <v>1015</v>
      </c>
      <c r="R72" s="21">
        <v>44400</v>
      </c>
      <c r="S72" s="21">
        <v>46970</v>
      </c>
      <c r="T72" s="24">
        <v>4019500</v>
      </c>
      <c r="U72" s="19">
        <v>20</v>
      </c>
      <c r="V72" s="25">
        <v>803900</v>
      </c>
      <c r="W72" s="25">
        <v>3215600</v>
      </c>
      <c r="X72" s="26">
        <v>1.5</v>
      </c>
      <c r="Y72" s="25">
        <v>48234</v>
      </c>
      <c r="Z72" s="19"/>
      <c r="AA72" s="28" t="s">
        <v>45</v>
      </c>
      <c r="AB72" s="23">
        <v>1141070243</v>
      </c>
      <c r="AC72" s="27">
        <v>45525</v>
      </c>
      <c r="AD72" s="28" t="s">
        <v>46</v>
      </c>
      <c r="AE72" s="28">
        <v>0</v>
      </c>
      <c r="AF72" s="29" t="s">
        <v>1011</v>
      </c>
      <c r="AG72" s="35">
        <v>48234</v>
      </c>
      <c r="AH72" s="31">
        <v>0</v>
      </c>
    </row>
    <row r="73" spans="1:34" x14ac:dyDescent="0.25">
      <c r="A73" s="19" t="s">
        <v>490</v>
      </c>
      <c r="B73" s="19" t="s">
        <v>1016</v>
      </c>
      <c r="C73" s="20">
        <v>45474</v>
      </c>
      <c r="D73" s="19" t="s">
        <v>35</v>
      </c>
      <c r="E73" s="19" t="s">
        <v>1017</v>
      </c>
      <c r="F73" s="21">
        <v>45503</v>
      </c>
      <c r="G73" s="21">
        <v>45867</v>
      </c>
      <c r="H73" s="22" t="s">
        <v>1018</v>
      </c>
      <c r="I73" s="23">
        <v>1610135007951</v>
      </c>
      <c r="J73" s="22" t="s">
        <v>104</v>
      </c>
      <c r="K73" s="19" t="s">
        <v>1019</v>
      </c>
      <c r="L73" s="19">
        <v>212326</v>
      </c>
      <c r="M73" s="19" t="s">
        <v>1020</v>
      </c>
      <c r="N73" s="19" t="s">
        <v>1016</v>
      </c>
      <c r="O73" s="19" t="s">
        <v>161</v>
      </c>
      <c r="P73" s="19" t="s">
        <v>162</v>
      </c>
      <c r="Q73" s="19" t="s">
        <v>1021</v>
      </c>
      <c r="R73" s="21">
        <v>44412</v>
      </c>
      <c r="S73" s="21">
        <v>46239</v>
      </c>
      <c r="T73" s="24">
        <v>1640000</v>
      </c>
      <c r="U73" s="19">
        <v>20</v>
      </c>
      <c r="V73" s="25">
        <v>328000</v>
      </c>
      <c r="W73" s="25">
        <v>1312000</v>
      </c>
      <c r="X73" s="26">
        <v>2.5</v>
      </c>
      <c r="Y73" s="25">
        <v>32800</v>
      </c>
      <c r="Z73" s="19"/>
      <c r="AA73" s="28" t="s">
        <v>45</v>
      </c>
      <c r="AB73" s="23">
        <v>1141070243</v>
      </c>
      <c r="AC73" s="27">
        <v>45525</v>
      </c>
      <c r="AD73" s="28" t="s">
        <v>46</v>
      </c>
      <c r="AE73" s="28">
        <v>9</v>
      </c>
      <c r="AF73" s="29" t="s">
        <v>1017</v>
      </c>
      <c r="AG73" s="35">
        <v>32800</v>
      </c>
      <c r="AH73" s="31">
        <v>0</v>
      </c>
    </row>
    <row r="74" spans="1:34" x14ac:dyDescent="0.25">
      <c r="A74" s="19" t="s">
        <v>490</v>
      </c>
      <c r="B74" s="19" t="s">
        <v>1022</v>
      </c>
      <c r="C74" s="20">
        <v>45474</v>
      </c>
      <c r="D74" s="19" t="s">
        <v>35</v>
      </c>
      <c r="E74" s="19" t="s">
        <v>1023</v>
      </c>
      <c r="F74" s="21">
        <v>45501</v>
      </c>
      <c r="G74" s="21">
        <v>45865</v>
      </c>
      <c r="H74" s="22" t="s">
        <v>1024</v>
      </c>
      <c r="I74" s="23">
        <v>6110132345973</v>
      </c>
      <c r="J74" s="22" t="s">
        <v>1025</v>
      </c>
      <c r="K74" s="19" t="s">
        <v>1026</v>
      </c>
      <c r="L74" s="19">
        <v>4806286</v>
      </c>
      <c r="M74" s="19" t="s">
        <v>1027</v>
      </c>
      <c r="N74" s="19" t="s">
        <v>1022</v>
      </c>
      <c r="O74" s="19" t="s">
        <v>161</v>
      </c>
      <c r="P74" s="19" t="s">
        <v>1028</v>
      </c>
      <c r="Q74" s="19" t="s">
        <v>1029</v>
      </c>
      <c r="R74" s="21">
        <v>44410</v>
      </c>
      <c r="S74" s="21">
        <v>46239</v>
      </c>
      <c r="T74" s="24">
        <v>3390000</v>
      </c>
      <c r="U74" s="19">
        <v>20</v>
      </c>
      <c r="V74" s="25">
        <v>678000</v>
      </c>
      <c r="W74" s="25">
        <v>2712000</v>
      </c>
      <c r="X74" s="26">
        <v>2.5</v>
      </c>
      <c r="Y74" s="25">
        <v>67800</v>
      </c>
      <c r="Z74" s="19"/>
      <c r="AA74" s="28" t="s">
        <v>45</v>
      </c>
      <c r="AB74" s="23">
        <v>1141070243</v>
      </c>
      <c r="AC74" s="27">
        <v>45525</v>
      </c>
      <c r="AD74" s="28" t="s">
        <v>46</v>
      </c>
      <c r="AE74" s="28">
        <v>0</v>
      </c>
      <c r="AF74" s="29" t="s">
        <v>1023</v>
      </c>
      <c r="AG74" s="35">
        <v>67800</v>
      </c>
      <c r="AH74" s="31">
        <v>0</v>
      </c>
    </row>
    <row r="75" spans="1:34" x14ac:dyDescent="0.25">
      <c r="A75" s="19" t="s">
        <v>490</v>
      </c>
      <c r="B75" s="28" t="s">
        <v>1030</v>
      </c>
      <c r="C75" s="20">
        <v>45474</v>
      </c>
      <c r="D75" s="19" t="s">
        <v>35</v>
      </c>
      <c r="E75" s="19" t="s">
        <v>1031</v>
      </c>
      <c r="F75" s="21">
        <v>45503</v>
      </c>
      <c r="G75" s="21">
        <v>45867</v>
      </c>
      <c r="H75" s="22" t="s">
        <v>1032</v>
      </c>
      <c r="I75" s="23">
        <v>1730148948745</v>
      </c>
      <c r="J75" s="22" t="s">
        <v>1033</v>
      </c>
      <c r="K75" s="19" t="s">
        <v>1034</v>
      </c>
      <c r="L75" s="19">
        <v>547784</v>
      </c>
      <c r="M75" s="19" t="s">
        <v>1035</v>
      </c>
      <c r="N75" s="28" t="s">
        <v>1030</v>
      </c>
      <c r="O75" s="19" t="s">
        <v>161</v>
      </c>
      <c r="P75" s="19" t="s">
        <v>1036</v>
      </c>
      <c r="Q75" s="19" t="s">
        <v>1037</v>
      </c>
      <c r="R75" s="21">
        <v>44414</v>
      </c>
      <c r="S75" s="21">
        <v>46239</v>
      </c>
      <c r="T75" s="24">
        <v>1500000</v>
      </c>
      <c r="U75" s="19">
        <v>20</v>
      </c>
      <c r="V75" s="25">
        <v>300000</v>
      </c>
      <c r="W75" s="25">
        <v>1200000</v>
      </c>
      <c r="X75" s="26">
        <v>2.5</v>
      </c>
      <c r="Y75" s="25">
        <v>30000</v>
      </c>
      <c r="Z75" s="19"/>
      <c r="AA75" s="28" t="s">
        <v>45</v>
      </c>
      <c r="AB75" s="23">
        <v>1141070243</v>
      </c>
      <c r="AC75" s="27">
        <v>45525</v>
      </c>
      <c r="AD75" s="28" t="s">
        <v>46</v>
      </c>
      <c r="AE75" s="28">
        <v>9</v>
      </c>
      <c r="AF75" s="29" t="s">
        <v>1031</v>
      </c>
      <c r="AG75" s="35">
        <v>30000</v>
      </c>
      <c r="AH75" s="31">
        <v>0</v>
      </c>
    </row>
    <row r="76" spans="1:34" x14ac:dyDescent="0.25">
      <c r="A76" s="19" t="s">
        <v>490</v>
      </c>
      <c r="B76" s="19" t="s">
        <v>1038</v>
      </c>
      <c r="C76" s="20">
        <v>45474</v>
      </c>
      <c r="D76" s="19" t="s">
        <v>35</v>
      </c>
      <c r="E76" s="19" t="s">
        <v>1039</v>
      </c>
      <c r="F76" s="21">
        <v>45487</v>
      </c>
      <c r="G76" s="21">
        <v>45851</v>
      </c>
      <c r="H76" s="22" t="s">
        <v>1040</v>
      </c>
      <c r="I76" s="23">
        <v>3550301035458</v>
      </c>
      <c r="J76" s="22" t="s">
        <v>525</v>
      </c>
      <c r="K76" s="19" t="s">
        <v>1041</v>
      </c>
      <c r="L76" s="19" t="s">
        <v>1042</v>
      </c>
      <c r="M76" s="19" t="s">
        <v>1043</v>
      </c>
      <c r="N76" s="19" t="s">
        <v>1038</v>
      </c>
      <c r="O76" s="28" t="s">
        <v>54</v>
      </c>
      <c r="P76" s="19" t="s">
        <v>55</v>
      </c>
      <c r="Q76" s="19" t="s">
        <v>1044</v>
      </c>
      <c r="R76" s="21">
        <v>44396</v>
      </c>
      <c r="S76" s="21">
        <v>46604</v>
      </c>
      <c r="T76" s="24">
        <v>4133500</v>
      </c>
      <c r="U76" s="19">
        <v>20</v>
      </c>
      <c r="V76" s="25">
        <v>826700</v>
      </c>
      <c r="W76" s="25">
        <v>3306800</v>
      </c>
      <c r="X76" s="26">
        <v>1.5</v>
      </c>
      <c r="Y76" s="25">
        <v>49602</v>
      </c>
      <c r="Z76" s="19"/>
      <c r="AA76" s="28" t="s">
        <v>45</v>
      </c>
      <c r="AB76" s="23">
        <v>1141070243</v>
      </c>
      <c r="AC76" s="27">
        <v>45525</v>
      </c>
      <c r="AD76" s="28" t="s">
        <v>46</v>
      </c>
      <c r="AE76" s="28">
        <v>9</v>
      </c>
      <c r="AF76" s="29" t="s">
        <v>1039</v>
      </c>
      <c r="AG76" s="35">
        <v>49602</v>
      </c>
      <c r="AH76" s="31">
        <v>0</v>
      </c>
    </row>
    <row r="77" spans="1:34" x14ac:dyDescent="0.25">
      <c r="A77" s="19" t="s">
        <v>490</v>
      </c>
      <c r="B77" s="19" t="s">
        <v>1045</v>
      </c>
      <c r="C77" s="20">
        <v>45474</v>
      </c>
      <c r="D77" s="19" t="s">
        <v>35</v>
      </c>
      <c r="E77" s="19" t="s">
        <v>1046</v>
      </c>
      <c r="F77" s="21">
        <v>45502</v>
      </c>
      <c r="G77" s="21">
        <v>45866</v>
      </c>
      <c r="H77" s="22" t="s">
        <v>1047</v>
      </c>
      <c r="I77" s="23">
        <v>3310051509716</v>
      </c>
      <c r="J77" s="22" t="s">
        <v>1048</v>
      </c>
      <c r="K77" s="19" t="s">
        <v>1049</v>
      </c>
      <c r="L77" s="19" t="s">
        <v>1050</v>
      </c>
      <c r="M77" s="19" t="s">
        <v>1051</v>
      </c>
      <c r="N77" s="19" t="s">
        <v>1045</v>
      </c>
      <c r="O77" s="28" t="s">
        <v>54</v>
      </c>
      <c r="P77" s="19" t="s">
        <v>55</v>
      </c>
      <c r="Q77" s="19" t="s">
        <v>1052</v>
      </c>
      <c r="R77" s="21">
        <v>44774</v>
      </c>
      <c r="S77" s="21">
        <v>46604</v>
      </c>
      <c r="T77" s="24">
        <v>3090000</v>
      </c>
      <c r="U77" s="19">
        <v>15</v>
      </c>
      <c r="V77" s="25">
        <v>463500</v>
      </c>
      <c r="W77" s="25">
        <v>2626500</v>
      </c>
      <c r="X77" s="26">
        <v>2</v>
      </c>
      <c r="Y77" s="25">
        <v>52530</v>
      </c>
      <c r="Z77" s="19"/>
      <c r="AA77" s="28" t="s">
        <v>45</v>
      </c>
      <c r="AB77" s="23">
        <v>1141070243</v>
      </c>
      <c r="AC77" s="27">
        <v>45525</v>
      </c>
      <c r="AD77" s="28" t="s">
        <v>46</v>
      </c>
      <c r="AE77" s="28">
        <v>9</v>
      </c>
      <c r="AF77" s="29" t="s">
        <v>1046</v>
      </c>
      <c r="AG77" s="35">
        <v>52530</v>
      </c>
      <c r="AH77" s="31">
        <v>0</v>
      </c>
    </row>
    <row r="78" spans="1:34" x14ac:dyDescent="0.25">
      <c r="A78" s="19" t="s">
        <v>490</v>
      </c>
      <c r="B78" s="19" t="s">
        <v>1053</v>
      </c>
      <c r="C78" s="20">
        <v>45474</v>
      </c>
      <c r="D78" s="19" t="s">
        <v>35</v>
      </c>
      <c r="E78" s="19" t="s">
        <v>1054</v>
      </c>
      <c r="F78" s="21">
        <v>45489</v>
      </c>
      <c r="G78" s="21">
        <v>45853</v>
      </c>
      <c r="H78" s="22" t="s">
        <v>1055</v>
      </c>
      <c r="I78" s="23">
        <v>3130221625201</v>
      </c>
      <c r="J78" s="22" t="s">
        <v>1056</v>
      </c>
      <c r="K78" s="19" t="s">
        <v>1057</v>
      </c>
      <c r="L78" s="19" t="s">
        <v>1058</v>
      </c>
      <c r="M78" s="19" t="s">
        <v>1059</v>
      </c>
      <c r="N78" s="19" t="s">
        <v>1053</v>
      </c>
      <c r="O78" s="28" t="s">
        <v>54</v>
      </c>
      <c r="P78" s="19" t="s">
        <v>81</v>
      </c>
      <c r="Q78" s="19" t="s">
        <v>1060</v>
      </c>
      <c r="R78" s="21">
        <v>44403</v>
      </c>
      <c r="S78" s="21">
        <v>46239</v>
      </c>
      <c r="T78" s="24">
        <v>6286000</v>
      </c>
      <c r="U78" s="19">
        <v>20</v>
      </c>
      <c r="V78" s="25">
        <v>1257200</v>
      </c>
      <c r="W78" s="25">
        <v>5028800</v>
      </c>
      <c r="X78" s="26">
        <v>1.5</v>
      </c>
      <c r="Y78" s="25">
        <v>75432</v>
      </c>
      <c r="Z78" s="19"/>
      <c r="AA78" s="28" t="s">
        <v>45</v>
      </c>
      <c r="AB78" s="23">
        <v>1141070243</v>
      </c>
      <c r="AC78" s="27">
        <v>45525</v>
      </c>
      <c r="AD78" s="28" t="s">
        <v>46</v>
      </c>
      <c r="AE78" s="28">
        <v>9</v>
      </c>
      <c r="AF78" s="29" t="s">
        <v>1054</v>
      </c>
      <c r="AG78" s="35">
        <v>75432</v>
      </c>
      <c r="AH78" s="31">
        <v>0</v>
      </c>
    </row>
    <row r="79" spans="1:34" x14ac:dyDescent="0.25">
      <c r="A79" s="19" t="s">
        <v>490</v>
      </c>
      <c r="B79" s="19" t="s">
        <v>1061</v>
      </c>
      <c r="C79" s="20">
        <v>45474</v>
      </c>
      <c r="D79" s="19" t="s">
        <v>35</v>
      </c>
      <c r="E79" s="19" t="s">
        <v>1062</v>
      </c>
      <c r="F79" s="21">
        <v>45477</v>
      </c>
      <c r="G79" s="21">
        <v>45841</v>
      </c>
      <c r="H79" s="22" t="s">
        <v>1063</v>
      </c>
      <c r="I79" s="23">
        <v>6110124354151</v>
      </c>
      <c r="J79" s="22" t="s">
        <v>846</v>
      </c>
      <c r="K79" s="19" t="s">
        <v>1064</v>
      </c>
      <c r="L79" s="19">
        <v>240700</v>
      </c>
      <c r="M79" s="19" t="s">
        <v>1065</v>
      </c>
      <c r="N79" s="19" t="s">
        <v>1061</v>
      </c>
      <c r="O79" s="19" t="s">
        <v>161</v>
      </c>
      <c r="P79" s="19" t="s">
        <v>162</v>
      </c>
      <c r="Q79" s="19" t="s">
        <v>1066</v>
      </c>
      <c r="R79" s="21">
        <v>44760</v>
      </c>
      <c r="S79" s="21">
        <v>46604</v>
      </c>
      <c r="T79" s="24">
        <v>1546000</v>
      </c>
      <c r="U79" s="19">
        <v>15</v>
      </c>
      <c r="V79" s="25">
        <v>231900</v>
      </c>
      <c r="W79" s="25">
        <v>1314100</v>
      </c>
      <c r="X79" s="26">
        <v>2.5</v>
      </c>
      <c r="Y79" s="25">
        <v>32852.5</v>
      </c>
      <c r="Z79" s="19"/>
      <c r="AA79" s="28" t="s">
        <v>45</v>
      </c>
      <c r="AB79" s="23">
        <v>1141070243</v>
      </c>
      <c r="AC79" s="27">
        <v>45525</v>
      </c>
      <c r="AD79" s="28" t="s">
        <v>46</v>
      </c>
      <c r="AE79" s="28">
        <v>0</v>
      </c>
      <c r="AF79" s="29" t="s">
        <v>1062</v>
      </c>
      <c r="AG79" s="35">
        <v>32853</v>
      </c>
      <c r="AH79" s="31">
        <v>-0.5</v>
      </c>
    </row>
    <row r="80" spans="1:34" x14ac:dyDescent="0.25">
      <c r="A80" s="19" t="s">
        <v>490</v>
      </c>
      <c r="B80" s="19" t="s">
        <v>1067</v>
      </c>
      <c r="C80" s="20">
        <v>45474</v>
      </c>
      <c r="D80" s="19" t="s">
        <v>35</v>
      </c>
      <c r="E80" s="19" t="s">
        <v>1068</v>
      </c>
      <c r="F80" s="21">
        <v>45493</v>
      </c>
      <c r="G80" s="21">
        <v>45857</v>
      </c>
      <c r="H80" s="22" t="s">
        <v>1069</v>
      </c>
      <c r="I80" s="23">
        <v>3840409658873</v>
      </c>
      <c r="J80" s="22" t="s">
        <v>846</v>
      </c>
      <c r="K80" s="19" t="s">
        <v>1070</v>
      </c>
      <c r="L80" s="19">
        <v>243141</v>
      </c>
      <c r="M80" s="19" t="s">
        <v>1071</v>
      </c>
      <c r="N80" s="19" t="s">
        <v>1067</v>
      </c>
      <c r="O80" s="19" t="s">
        <v>161</v>
      </c>
      <c r="P80" s="19" t="s">
        <v>162</v>
      </c>
      <c r="Q80" s="19" t="s">
        <v>1072</v>
      </c>
      <c r="R80" s="21">
        <v>44775</v>
      </c>
      <c r="S80" s="21">
        <v>46604</v>
      </c>
      <c r="T80" s="24">
        <v>1546000</v>
      </c>
      <c r="U80" s="19">
        <v>15</v>
      </c>
      <c r="V80" s="25">
        <v>231900</v>
      </c>
      <c r="W80" s="25">
        <v>1314100</v>
      </c>
      <c r="X80" s="26">
        <v>2.5</v>
      </c>
      <c r="Y80" s="25">
        <v>32852.5</v>
      </c>
      <c r="Z80" s="19"/>
      <c r="AA80" s="28" t="s">
        <v>45</v>
      </c>
      <c r="AB80" s="23">
        <v>1141070243</v>
      </c>
      <c r="AC80" s="27">
        <v>45525</v>
      </c>
      <c r="AD80" s="28" t="s">
        <v>46</v>
      </c>
      <c r="AE80" s="28">
        <v>0</v>
      </c>
      <c r="AF80" s="29" t="s">
        <v>1068</v>
      </c>
      <c r="AG80" s="35">
        <v>32853</v>
      </c>
      <c r="AH80" s="31">
        <v>-0.5</v>
      </c>
    </row>
    <row r="81" spans="1:34" x14ac:dyDescent="0.25">
      <c r="A81" s="19" t="s">
        <v>490</v>
      </c>
      <c r="B81" s="19" t="s">
        <v>1073</v>
      </c>
      <c r="C81" s="20">
        <v>45474</v>
      </c>
      <c r="D81" s="19" t="s">
        <v>35</v>
      </c>
      <c r="E81" s="19" t="s">
        <v>1074</v>
      </c>
      <c r="F81" s="21">
        <v>45499</v>
      </c>
      <c r="G81" s="21">
        <v>45863</v>
      </c>
      <c r="H81" s="22" t="s">
        <v>1075</v>
      </c>
      <c r="I81" s="23">
        <v>6110101303253</v>
      </c>
      <c r="J81" s="22" t="s">
        <v>1076</v>
      </c>
      <c r="K81" s="19" t="s">
        <v>1077</v>
      </c>
      <c r="L81" s="19">
        <v>244526</v>
      </c>
      <c r="M81" s="19" t="s">
        <v>1078</v>
      </c>
      <c r="N81" s="19" t="s">
        <v>1073</v>
      </c>
      <c r="O81" s="19" t="s">
        <v>161</v>
      </c>
      <c r="P81" s="19" t="s">
        <v>162</v>
      </c>
      <c r="Q81" s="19" t="s">
        <v>1079</v>
      </c>
      <c r="R81" s="21">
        <v>44775</v>
      </c>
      <c r="S81" s="21">
        <v>46604</v>
      </c>
      <c r="T81" s="24">
        <v>1306000</v>
      </c>
      <c r="U81" s="19">
        <v>15</v>
      </c>
      <c r="V81" s="25">
        <v>195900</v>
      </c>
      <c r="W81" s="25">
        <v>1110100</v>
      </c>
      <c r="X81" s="26">
        <v>1.75</v>
      </c>
      <c r="Y81" s="25">
        <v>19426.750000000004</v>
      </c>
      <c r="Z81" s="19"/>
      <c r="AA81" s="28" t="s">
        <v>45</v>
      </c>
      <c r="AB81" s="23">
        <v>1141070243</v>
      </c>
      <c r="AC81" s="27">
        <v>45525</v>
      </c>
      <c r="AD81" s="28" t="s">
        <v>46</v>
      </c>
      <c r="AE81" s="28">
        <v>0</v>
      </c>
      <c r="AF81" s="29" t="s">
        <v>1074</v>
      </c>
      <c r="AG81" s="35">
        <v>19427</v>
      </c>
      <c r="AH81" s="31">
        <v>-0.24999999999636202</v>
      </c>
    </row>
    <row r="82" spans="1:34" x14ac:dyDescent="0.25">
      <c r="A82" s="19" t="s">
        <v>490</v>
      </c>
      <c r="B82" s="19" t="s">
        <v>1080</v>
      </c>
      <c r="C82" s="20">
        <v>45474</v>
      </c>
      <c r="D82" s="19" t="s">
        <v>35</v>
      </c>
      <c r="E82" s="19" t="s">
        <v>1081</v>
      </c>
      <c r="F82" s="21">
        <v>45499</v>
      </c>
      <c r="G82" s="21">
        <v>45863</v>
      </c>
      <c r="H82" s="22" t="s">
        <v>1082</v>
      </c>
      <c r="I82" s="23">
        <v>4250166238766</v>
      </c>
      <c r="J82" s="22" t="s">
        <v>219</v>
      </c>
      <c r="K82" s="19" t="s">
        <v>1083</v>
      </c>
      <c r="L82" s="19">
        <v>243927</v>
      </c>
      <c r="M82" s="19" t="s">
        <v>1084</v>
      </c>
      <c r="N82" s="19" t="s">
        <v>1080</v>
      </c>
      <c r="O82" s="19" t="s">
        <v>161</v>
      </c>
      <c r="P82" s="19" t="s">
        <v>162</v>
      </c>
      <c r="Q82" s="19" t="s">
        <v>1085</v>
      </c>
      <c r="R82" s="21">
        <v>44778</v>
      </c>
      <c r="S82" s="21">
        <v>47336</v>
      </c>
      <c r="T82" s="24">
        <v>1747000</v>
      </c>
      <c r="U82" s="19">
        <v>15</v>
      </c>
      <c r="V82" s="25">
        <v>262050</v>
      </c>
      <c r="W82" s="25">
        <v>1484950</v>
      </c>
      <c r="X82" s="26">
        <v>2.5</v>
      </c>
      <c r="Y82" s="25">
        <v>37123.75</v>
      </c>
      <c r="Z82" s="19"/>
      <c r="AA82" s="28" t="s">
        <v>45</v>
      </c>
      <c r="AB82" s="23">
        <v>1141070243</v>
      </c>
      <c r="AC82" s="27">
        <v>45525</v>
      </c>
      <c r="AD82" s="28" t="s">
        <v>46</v>
      </c>
      <c r="AE82" s="28">
        <v>0</v>
      </c>
      <c r="AF82" s="29" t="s">
        <v>1081</v>
      </c>
      <c r="AG82" s="35">
        <v>37124</v>
      </c>
      <c r="AH82" s="31">
        <v>-0.25</v>
      </c>
    </row>
    <row r="83" spans="1:34" x14ac:dyDescent="0.25">
      <c r="A83" s="19" t="s">
        <v>490</v>
      </c>
      <c r="B83" s="19" t="s">
        <v>1086</v>
      </c>
      <c r="C83" s="20">
        <v>45474</v>
      </c>
      <c r="D83" s="19" t="s">
        <v>35</v>
      </c>
      <c r="E83" s="19" t="s">
        <v>1087</v>
      </c>
      <c r="F83" s="21">
        <v>45493</v>
      </c>
      <c r="G83" s="21">
        <v>45857</v>
      </c>
      <c r="H83" s="22" t="s">
        <v>1088</v>
      </c>
      <c r="I83" s="23">
        <v>4210186331269</v>
      </c>
      <c r="J83" s="22" t="s">
        <v>1089</v>
      </c>
      <c r="K83" s="19" t="s">
        <v>1090</v>
      </c>
      <c r="L83" s="19">
        <v>42698</v>
      </c>
      <c r="M83" s="19" t="s">
        <v>1091</v>
      </c>
      <c r="N83" s="19" t="s">
        <v>1086</v>
      </c>
      <c r="O83" s="19" t="s">
        <v>42</v>
      </c>
      <c r="P83" s="19" t="s">
        <v>98</v>
      </c>
      <c r="Q83" s="19" t="s">
        <v>1092</v>
      </c>
      <c r="R83" s="21">
        <v>44034</v>
      </c>
      <c r="S83" s="21">
        <v>45874</v>
      </c>
      <c r="T83" s="24">
        <v>1540000</v>
      </c>
      <c r="U83" s="19">
        <v>25</v>
      </c>
      <c r="V83" s="25">
        <v>385000</v>
      </c>
      <c r="W83" s="25">
        <v>1155000</v>
      </c>
      <c r="X83" s="26">
        <v>3.75</v>
      </c>
      <c r="Y83" s="25">
        <v>43312.5</v>
      </c>
      <c r="Z83" s="19"/>
      <c r="AA83" s="28" t="s">
        <v>45</v>
      </c>
      <c r="AB83" s="23">
        <v>1141070243</v>
      </c>
      <c r="AC83" s="27">
        <v>45525</v>
      </c>
      <c r="AD83" s="28" t="s">
        <v>46</v>
      </c>
      <c r="AE83" s="28">
        <v>9</v>
      </c>
      <c r="AF83" s="29" t="s">
        <v>1087</v>
      </c>
      <c r="AG83" s="35">
        <v>43313</v>
      </c>
      <c r="AH83" s="31">
        <v>-0.5</v>
      </c>
    </row>
    <row r="84" spans="1:34" x14ac:dyDescent="0.25">
      <c r="A84" s="19" t="s">
        <v>490</v>
      </c>
      <c r="B84" s="28" t="s">
        <v>1093</v>
      </c>
      <c r="C84" s="20">
        <v>45474</v>
      </c>
      <c r="D84" s="19" t="s">
        <v>35</v>
      </c>
      <c r="E84" s="19" t="s">
        <v>1094</v>
      </c>
      <c r="F84" s="21">
        <v>45503</v>
      </c>
      <c r="G84" s="21">
        <v>45867</v>
      </c>
      <c r="H84" s="22" t="s">
        <v>1095</v>
      </c>
      <c r="I84" s="23">
        <v>4210175752049</v>
      </c>
      <c r="J84" s="22" t="s">
        <v>320</v>
      </c>
      <c r="K84" s="19" t="s">
        <v>1096</v>
      </c>
      <c r="L84" s="19" t="s">
        <v>1097</v>
      </c>
      <c r="M84" s="19" t="s">
        <v>1098</v>
      </c>
      <c r="N84" s="28" t="s">
        <v>1093</v>
      </c>
      <c r="O84" s="19" t="s">
        <v>42</v>
      </c>
      <c r="P84" s="19" t="s">
        <v>98</v>
      </c>
      <c r="Q84" s="19" t="s">
        <v>1099</v>
      </c>
      <c r="R84" s="21">
        <v>44774</v>
      </c>
      <c r="S84" s="21">
        <v>46239</v>
      </c>
      <c r="T84" s="24">
        <v>3000000</v>
      </c>
      <c r="U84" s="19">
        <v>15</v>
      </c>
      <c r="V84" s="25">
        <v>450000</v>
      </c>
      <c r="W84" s="25">
        <v>2550000</v>
      </c>
      <c r="X84" s="26">
        <v>1.5</v>
      </c>
      <c r="Y84" s="25">
        <v>38250</v>
      </c>
      <c r="Z84" s="19"/>
      <c r="AA84" s="28" t="s">
        <v>45</v>
      </c>
      <c r="AB84" s="23">
        <v>1141070243</v>
      </c>
      <c r="AC84" s="27">
        <v>45525</v>
      </c>
      <c r="AD84" s="28" t="s">
        <v>46</v>
      </c>
      <c r="AE84" s="28">
        <v>9</v>
      </c>
      <c r="AF84" s="29" t="s">
        <v>1094</v>
      </c>
      <c r="AG84" s="35">
        <v>38250</v>
      </c>
      <c r="AH84" s="31">
        <v>0</v>
      </c>
    </row>
    <row r="85" spans="1:34" x14ac:dyDescent="0.25">
      <c r="A85" s="19" t="s">
        <v>490</v>
      </c>
      <c r="B85" s="19" t="s">
        <v>1100</v>
      </c>
      <c r="C85" s="20">
        <v>45474</v>
      </c>
      <c r="D85" s="19" t="s">
        <v>35</v>
      </c>
      <c r="E85" s="19" t="s">
        <v>1101</v>
      </c>
      <c r="F85" s="21">
        <v>45504</v>
      </c>
      <c r="G85" s="21">
        <v>45868</v>
      </c>
      <c r="H85" s="22" t="s">
        <v>1102</v>
      </c>
      <c r="I85" s="23">
        <v>4220166726199</v>
      </c>
      <c r="J85" s="22" t="s">
        <v>157</v>
      </c>
      <c r="K85" s="19" t="s">
        <v>1103</v>
      </c>
      <c r="L85" s="19">
        <v>13508117</v>
      </c>
      <c r="M85" s="19" t="s">
        <v>1104</v>
      </c>
      <c r="N85" s="19" t="s">
        <v>1100</v>
      </c>
      <c r="O85" s="19" t="s">
        <v>42</v>
      </c>
      <c r="P85" s="19" t="s">
        <v>43</v>
      </c>
      <c r="Q85" s="19" t="s">
        <v>1105</v>
      </c>
      <c r="R85" s="21">
        <v>45139</v>
      </c>
      <c r="S85" s="21">
        <v>46239</v>
      </c>
      <c r="T85" s="24">
        <v>4000000</v>
      </c>
      <c r="U85" s="19">
        <v>10</v>
      </c>
      <c r="V85" s="25">
        <v>400000</v>
      </c>
      <c r="W85" s="25">
        <v>3600000</v>
      </c>
      <c r="X85" s="26">
        <v>1.5</v>
      </c>
      <c r="Y85" s="25">
        <v>54000</v>
      </c>
      <c r="Z85" s="19"/>
      <c r="AA85" s="28" t="s">
        <v>45</v>
      </c>
      <c r="AB85" s="23">
        <v>1141070243</v>
      </c>
      <c r="AC85" s="27">
        <v>45525</v>
      </c>
      <c r="AD85" s="28" t="s">
        <v>46</v>
      </c>
      <c r="AE85" s="28">
        <v>9</v>
      </c>
      <c r="AF85" s="29" t="s">
        <v>1101</v>
      </c>
      <c r="AG85" s="35">
        <v>54000</v>
      </c>
      <c r="AH85" s="31">
        <v>0</v>
      </c>
    </row>
    <row r="86" spans="1:34" x14ac:dyDescent="0.25">
      <c r="A86" s="19" t="s">
        <v>490</v>
      </c>
      <c r="B86" s="19" t="s">
        <v>1106</v>
      </c>
      <c r="C86" s="20">
        <v>45474</v>
      </c>
      <c r="D86" s="19" t="s">
        <v>35</v>
      </c>
      <c r="E86" s="19" t="s">
        <v>1107</v>
      </c>
      <c r="F86" s="21">
        <v>45500</v>
      </c>
      <c r="G86" s="21">
        <v>45864</v>
      </c>
      <c r="H86" s="22" t="s">
        <v>1108</v>
      </c>
      <c r="I86" s="23">
        <v>4210119368747</v>
      </c>
      <c r="J86" s="22" t="s">
        <v>1109</v>
      </c>
      <c r="K86" s="19" t="s">
        <v>1110</v>
      </c>
      <c r="L86" s="19">
        <v>626098</v>
      </c>
      <c r="M86" s="19" t="s">
        <v>1111</v>
      </c>
      <c r="N86" s="19" t="s">
        <v>1106</v>
      </c>
      <c r="O86" s="19" t="s">
        <v>42</v>
      </c>
      <c r="P86" s="19" t="s">
        <v>43</v>
      </c>
      <c r="Q86" s="19" t="s">
        <v>1112</v>
      </c>
      <c r="R86" s="21">
        <v>45138</v>
      </c>
      <c r="S86" s="21">
        <v>46604</v>
      </c>
      <c r="T86" s="24">
        <v>1450000</v>
      </c>
      <c r="U86" s="19">
        <v>10</v>
      </c>
      <c r="V86" s="25">
        <v>145000</v>
      </c>
      <c r="W86" s="25">
        <v>1305000</v>
      </c>
      <c r="X86" s="26">
        <v>2</v>
      </c>
      <c r="Y86" s="25">
        <v>26100</v>
      </c>
      <c r="Z86" s="19"/>
      <c r="AA86" s="28" t="s">
        <v>45</v>
      </c>
      <c r="AB86" s="23">
        <v>1141070243</v>
      </c>
      <c r="AC86" s="27">
        <v>45525</v>
      </c>
      <c r="AD86" s="28" t="s">
        <v>46</v>
      </c>
      <c r="AE86" s="28">
        <v>9</v>
      </c>
      <c r="AF86" s="29" t="s">
        <v>1107</v>
      </c>
      <c r="AG86" s="35">
        <v>26100</v>
      </c>
      <c r="AH86" s="31">
        <v>0</v>
      </c>
    </row>
    <row r="87" spans="1:34" x14ac:dyDescent="0.25">
      <c r="A87" s="19" t="s">
        <v>490</v>
      </c>
      <c r="B87" s="19" t="s">
        <v>1113</v>
      </c>
      <c r="C87" s="20">
        <v>45474</v>
      </c>
      <c r="D87" s="19" t="s">
        <v>35</v>
      </c>
      <c r="E87" s="19" t="s">
        <v>1114</v>
      </c>
      <c r="F87" s="21">
        <v>45481</v>
      </c>
      <c r="G87" s="21">
        <v>45845</v>
      </c>
      <c r="H87" s="22" t="s">
        <v>1115</v>
      </c>
      <c r="I87" s="23">
        <v>4220166721782</v>
      </c>
      <c r="J87" s="22" t="s">
        <v>814</v>
      </c>
      <c r="K87" s="19" t="s">
        <v>1116</v>
      </c>
      <c r="L87" s="19">
        <v>636460</v>
      </c>
      <c r="M87" s="19" t="s">
        <v>1117</v>
      </c>
      <c r="N87" s="19" t="s">
        <v>1113</v>
      </c>
      <c r="O87" s="19" t="s">
        <v>42</v>
      </c>
      <c r="P87" s="19" t="s">
        <v>98</v>
      </c>
      <c r="Q87" s="19" t="s">
        <v>1118</v>
      </c>
      <c r="R87" s="21">
        <v>44386</v>
      </c>
      <c r="S87" s="21">
        <v>46209</v>
      </c>
      <c r="T87" s="24">
        <v>1250000</v>
      </c>
      <c r="U87" s="19">
        <v>20</v>
      </c>
      <c r="V87" s="25">
        <v>250000</v>
      </c>
      <c r="W87" s="25">
        <v>1000000</v>
      </c>
      <c r="X87" s="26">
        <v>2.5</v>
      </c>
      <c r="Y87" s="25">
        <v>25000</v>
      </c>
      <c r="Z87" s="19"/>
      <c r="AA87" s="28" t="s">
        <v>45</v>
      </c>
      <c r="AB87" s="23">
        <v>1141070243</v>
      </c>
      <c r="AC87" s="27">
        <v>45525</v>
      </c>
      <c r="AD87" s="28" t="s">
        <v>46</v>
      </c>
      <c r="AE87" s="28">
        <v>0</v>
      </c>
      <c r="AF87" s="29" t="s">
        <v>1114</v>
      </c>
      <c r="AG87" s="35">
        <v>25000</v>
      </c>
      <c r="AH87" s="31">
        <v>0</v>
      </c>
    </row>
    <row r="88" spans="1:34" x14ac:dyDescent="0.25">
      <c r="A88" s="19" t="s">
        <v>490</v>
      </c>
      <c r="B88" s="19" t="s">
        <v>1119</v>
      </c>
      <c r="C88" s="20">
        <v>45474</v>
      </c>
      <c r="D88" s="19" t="s">
        <v>35</v>
      </c>
      <c r="E88" s="19" t="s">
        <v>1120</v>
      </c>
      <c r="F88" s="21">
        <v>45502</v>
      </c>
      <c r="G88" s="21">
        <v>45866</v>
      </c>
      <c r="H88" s="22" t="s">
        <v>1121</v>
      </c>
      <c r="I88" s="23">
        <v>3610207627097</v>
      </c>
      <c r="J88" s="22" t="s">
        <v>1089</v>
      </c>
      <c r="K88" s="19" t="s">
        <v>1122</v>
      </c>
      <c r="L88" s="19" t="s">
        <v>1123</v>
      </c>
      <c r="M88" s="19" t="s">
        <v>1124</v>
      </c>
      <c r="N88" s="19" t="s">
        <v>1119</v>
      </c>
      <c r="O88" s="28" t="s">
        <v>54</v>
      </c>
      <c r="P88" s="19" t="s">
        <v>1125</v>
      </c>
      <c r="Q88" s="19" t="s">
        <v>1126</v>
      </c>
      <c r="R88" s="21">
        <v>44047</v>
      </c>
      <c r="S88" s="21">
        <v>45874</v>
      </c>
      <c r="T88" s="24">
        <v>2000000</v>
      </c>
      <c r="U88" s="19">
        <v>25</v>
      </c>
      <c r="V88" s="25">
        <v>500000</v>
      </c>
      <c r="W88" s="25">
        <v>1500000</v>
      </c>
      <c r="X88" s="26">
        <v>3.75</v>
      </c>
      <c r="Y88" s="25">
        <v>56250</v>
      </c>
      <c r="Z88" s="19"/>
      <c r="AA88" s="28" t="s">
        <v>45</v>
      </c>
      <c r="AB88" s="23">
        <v>1141070243</v>
      </c>
      <c r="AC88" s="27">
        <v>45525</v>
      </c>
      <c r="AD88" s="28" t="s">
        <v>46</v>
      </c>
      <c r="AE88" s="28">
        <v>0</v>
      </c>
      <c r="AF88" s="29" t="s">
        <v>1120</v>
      </c>
      <c r="AG88" s="35">
        <v>56250</v>
      </c>
      <c r="AH88" s="31">
        <v>0</v>
      </c>
    </row>
    <row r="89" spans="1:34" x14ac:dyDescent="0.25">
      <c r="A89" s="19" t="s">
        <v>490</v>
      </c>
      <c r="B89" s="19" t="s">
        <v>1127</v>
      </c>
      <c r="C89" s="20">
        <v>45474</v>
      </c>
      <c r="D89" s="19" t="s">
        <v>35</v>
      </c>
      <c r="E89" s="19" t="s">
        <v>1128</v>
      </c>
      <c r="F89" s="21">
        <v>45487</v>
      </c>
      <c r="G89" s="21">
        <v>45851</v>
      </c>
      <c r="H89" s="22" t="s">
        <v>1129</v>
      </c>
      <c r="I89" s="23" t="s">
        <v>1130</v>
      </c>
      <c r="J89" s="22" t="s">
        <v>1131</v>
      </c>
      <c r="K89" s="19" t="s">
        <v>1132</v>
      </c>
      <c r="L89" s="19" t="s">
        <v>1133</v>
      </c>
      <c r="M89" s="19" t="s">
        <v>1134</v>
      </c>
      <c r="N89" s="19" t="s">
        <v>1127</v>
      </c>
      <c r="O89" s="19" t="s">
        <v>42</v>
      </c>
      <c r="P89" s="19" t="s">
        <v>1135</v>
      </c>
      <c r="Q89" s="19" t="s">
        <v>1136</v>
      </c>
      <c r="R89" s="21">
        <v>44403</v>
      </c>
      <c r="S89" s="21">
        <v>46239</v>
      </c>
      <c r="T89" s="24">
        <v>50000000</v>
      </c>
      <c r="U89" s="19">
        <v>20</v>
      </c>
      <c r="V89" s="25">
        <v>10000000</v>
      </c>
      <c r="W89" s="25">
        <v>40000000</v>
      </c>
      <c r="X89" s="26">
        <v>1</v>
      </c>
      <c r="Y89" s="25">
        <v>400000</v>
      </c>
      <c r="Z89" s="19"/>
      <c r="AA89" s="28" t="s">
        <v>45</v>
      </c>
      <c r="AB89" s="23">
        <v>1141070243</v>
      </c>
      <c r="AC89" s="27">
        <v>45525</v>
      </c>
      <c r="AD89" s="28" t="s">
        <v>46</v>
      </c>
      <c r="AE89" s="28">
        <v>0</v>
      </c>
      <c r="AF89" s="29" t="s">
        <v>1128</v>
      </c>
      <c r="AG89" s="35">
        <v>400000</v>
      </c>
      <c r="AH89" s="31">
        <v>0</v>
      </c>
    </row>
    <row r="90" spans="1:34" x14ac:dyDescent="0.25">
      <c r="A90" s="19" t="s">
        <v>490</v>
      </c>
      <c r="B90" s="19" t="s">
        <v>1137</v>
      </c>
      <c r="C90" s="20">
        <v>45474</v>
      </c>
      <c r="D90" s="19" t="s">
        <v>35</v>
      </c>
      <c r="E90" s="19" t="s">
        <v>1138</v>
      </c>
      <c r="F90" s="21">
        <v>45486</v>
      </c>
      <c r="G90" s="21">
        <v>45850</v>
      </c>
      <c r="H90" s="22" t="s">
        <v>1139</v>
      </c>
      <c r="I90" s="23">
        <v>4510242802085</v>
      </c>
      <c r="J90" s="22" t="s">
        <v>333</v>
      </c>
      <c r="K90" s="19" t="s">
        <v>1140</v>
      </c>
      <c r="L90" s="19">
        <v>539026</v>
      </c>
      <c r="M90" s="19" t="s">
        <v>1141</v>
      </c>
      <c r="N90" s="19" t="s">
        <v>1137</v>
      </c>
      <c r="O90" s="19" t="s">
        <v>42</v>
      </c>
      <c r="P90" s="19" t="s">
        <v>98</v>
      </c>
      <c r="Q90" s="19" t="s">
        <v>1142</v>
      </c>
      <c r="R90" s="21">
        <v>44032</v>
      </c>
      <c r="S90" s="21">
        <v>45874</v>
      </c>
      <c r="T90" s="24">
        <v>2750000</v>
      </c>
      <c r="U90" s="19">
        <v>25</v>
      </c>
      <c r="V90" s="25">
        <v>687500</v>
      </c>
      <c r="W90" s="25">
        <v>2062500</v>
      </c>
      <c r="X90" s="26">
        <v>3.75</v>
      </c>
      <c r="Y90" s="25">
        <v>77343.75</v>
      </c>
      <c r="Z90" s="19"/>
      <c r="AA90" s="28" t="s">
        <v>45</v>
      </c>
      <c r="AB90" s="23">
        <v>1141070243</v>
      </c>
      <c r="AC90" s="27">
        <v>45525</v>
      </c>
      <c r="AD90" s="28" t="s">
        <v>46</v>
      </c>
      <c r="AE90" s="28">
        <v>9</v>
      </c>
      <c r="AF90" s="29" t="s">
        <v>1138</v>
      </c>
      <c r="AG90" s="35">
        <v>77344</v>
      </c>
      <c r="AH90" s="31">
        <v>-0.25</v>
      </c>
    </row>
    <row r="91" spans="1:34" x14ac:dyDescent="0.25">
      <c r="A91" s="19" t="s">
        <v>490</v>
      </c>
      <c r="B91" s="19" t="s">
        <v>1143</v>
      </c>
      <c r="C91" s="20">
        <v>45474</v>
      </c>
      <c r="D91" s="19" t="s">
        <v>35</v>
      </c>
      <c r="E91" s="19" t="s">
        <v>1144</v>
      </c>
      <c r="F91" s="21">
        <v>45501</v>
      </c>
      <c r="G91" s="21">
        <v>45865</v>
      </c>
      <c r="H91" s="22" t="s">
        <v>1145</v>
      </c>
      <c r="I91" s="23">
        <v>4220169777231</v>
      </c>
      <c r="J91" s="22" t="s">
        <v>104</v>
      </c>
      <c r="K91" s="19" t="s">
        <v>1146</v>
      </c>
      <c r="L91" s="19">
        <v>187266</v>
      </c>
      <c r="M91" s="19" t="s">
        <v>1147</v>
      </c>
      <c r="N91" s="19" t="s">
        <v>1143</v>
      </c>
      <c r="O91" s="28" t="s">
        <v>54</v>
      </c>
      <c r="P91" s="19" t="s">
        <v>81</v>
      </c>
      <c r="Q91" s="19" t="s">
        <v>1148</v>
      </c>
      <c r="R91" s="21">
        <v>44771</v>
      </c>
      <c r="S91" s="21">
        <v>46239</v>
      </c>
      <c r="T91" s="24">
        <v>1975000</v>
      </c>
      <c r="U91" s="19">
        <v>15</v>
      </c>
      <c r="V91" s="25">
        <v>296250</v>
      </c>
      <c r="W91" s="25">
        <v>1678750</v>
      </c>
      <c r="X91" s="26">
        <v>2</v>
      </c>
      <c r="Y91" s="25">
        <v>33575</v>
      </c>
      <c r="Z91" s="19"/>
      <c r="AA91" s="28" t="s">
        <v>45</v>
      </c>
      <c r="AB91" s="23">
        <v>1141070243</v>
      </c>
      <c r="AC91" s="27">
        <v>45525</v>
      </c>
      <c r="AD91" s="28" t="s">
        <v>46</v>
      </c>
      <c r="AE91" s="28">
        <v>0</v>
      </c>
      <c r="AF91" s="29" t="s">
        <v>1144</v>
      </c>
      <c r="AG91" s="35">
        <v>33575</v>
      </c>
      <c r="AH91" s="31">
        <v>0</v>
      </c>
    </row>
    <row r="92" spans="1:34" x14ac:dyDescent="0.25">
      <c r="A92" s="19" t="s">
        <v>490</v>
      </c>
      <c r="B92" s="19" t="s">
        <v>1149</v>
      </c>
      <c r="C92" s="20">
        <v>45474</v>
      </c>
      <c r="D92" s="19" t="s">
        <v>35</v>
      </c>
      <c r="E92" s="19" t="s">
        <v>1150</v>
      </c>
      <c r="F92" s="21">
        <v>45492</v>
      </c>
      <c r="G92" s="21">
        <v>45856</v>
      </c>
      <c r="H92" s="22" t="s">
        <v>1151</v>
      </c>
      <c r="I92" s="23">
        <v>4220136105791</v>
      </c>
      <c r="J92" s="22" t="s">
        <v>732</v>
      </c>
      <c r="K92" s="19" t="s">
        <v>1152</v>
      </c>
      <c r="L92" s="19">
        <v>116171</v>
      </c>
      <c r="M92" s="19" t="s">
        <v>1153</v>
      </c>
      <c r="N92" s="19" t="s">
        <v>1149</v>
      </c>
      <c r="O92" s="19" t="s">
        <v>42</v>
      </c>
      <c r="P92" s="19" t="s">
        <v>98</v>
      </c>
      <c r="Q92" s="19" t="s">
        <v>1154</v>
      </c>
      <c r="R92" s="21">
        <v>44764</v>
      </c>
      <c r="S92" s="21">
        <v>46239</v>
      </c>
      <c r="T92" s="24">
        <v>1950000</v>
      </c>
      <c r="U92" s="19">
        <v>15</v>
      </c>
      <c r="V92" s="25">
        <v>292500</v>
      </c>
      <c r="W92" s="25">
        <v>1657500</v>
      </c>
      <c r="X92" s="26">
        <v>2</v>
      </c>
      <c r="Y92" s="25">
        <v>33150</v>
      </c>
      <c r="Z92" s="19"/>
      <c r="AA92" s="28" t="s">
        <v>45</v>
      </c>
      <c r="AB92" s="23">
        <v>1141070243</v>
      </c>
      <c r="AC92" s="27">
        <v>45525</v>
      </c>
      <c r="AD92" s="28" t="s">
        <v>46</v>
      </c>
      <c r="AE92" s="28">
        <v>9</v>
      </c>
      <c r="AF92" s="29" t="s">
        <v>1150</v>
      </c>
      <c r="AG92" s="35">
        <v>33150</v>
      </c>
      <c r="AH92" s="31">
        <v>0</v>
      </c>
    </row>
    <row r="93" spans="1:34" x14ac:dyDescent="0.25">
      <c r="A93" s="19" t="s">
        <v>490</v>
      </c>
      <c r="B93" s="19" t="s">
        <v>1155</v>
      </c>
      <c r="C93" s="20">
        <v>45474</v>
      </c>
      <c r="D93" s="19" t="s">
        <v>35</v>
      </c>
      <c r="E93" s="19" t="s">
        <v>1156</v>
      </c>
      <c r="F93" s="21">
        <v>45500</v>
      </c>
      <c r="G93" s="21">
        <v>45864</v>
      </c>
      <c r="H93" s="22" t="s">
        <v>1157</v>
      </c>
      <c r="I93" s="23">
        <v>4210197995249</v>
      </c>
      <c r="J93" s="22" t="s">
        <v>1158</v>
      </c>
      <c r="K93" s="19" t="s">
        <v>1159</v>
      </c>
      <c r="L93" s="19" t="s">
        <v>1160</v>
      </c>
      <c r="M93" s="19" t="s">
        <v>1161</v>
      </c>
      <c r="N93" s="19" t="s">
        <v>1155</v>
      </c>
      <c r="O93" s="19" t="s">
        <v>42</v>
      </c>
      <c r="P93" s="19" t="s">
        <v>98</v>
      </c>
      <c r="Q93" s="19" t="s">
        <v>1162</v>
      </c>
      <c r="R93" s="21">
        <v>44040</v>
      </c>
      <c r="S93" s="21">
        <v>45874</v>
      </c>
      <c r="T93" s="24">
        <v>1625000</v>
      </c>
      <c r="U93" s="19">
        <v>25</v>
      </c>
      <c r="V93" s="25">
        <v>406250</v>
      </c>
      <c r="W93" s="25">
        <v>1218750</v>
      </c>
      <c r="X93" s="26">
        <v>3.5</v>
      </c>
      <c r="Y93" s="25">
        <v>42656.250000000007</v>
      </c>
      <c r="Z93" s="19"/>
      <c r="AA93" s="28" t="s">
        <v>45</v>
      </c>
      <c r="AB93" s="23">
        <v>1141070243</v>
      </c>
      <c r="AC93" s="27">
        <v>45525</v>
      </c>
      <c r="AD93" s="28" t="s">
        <v>46</v>
      </c>
      <c r="AE93" s="28">
        <v>9</v>
      </c>
      <c r="AF93" s="29" t="s">
        <v>1156</v>
      </c>
      <c r="AG93" s="35">
        <v>42656</v>
      </c>
      <c r="AH93" s="31">
        <v>0.25000000000727596</v>
      </c>
    </row>
    <row r="94" spans="1:34" x14ac:dyDescent="0.25">
      <c r="A94" s="19" t="s">
        <v>490</v>
      </c>
      <c r="B94" s="19" t="s">
        <v>1163</v>
      </c>
      <c r="C94" s="20">
        <v>45474</v>
      </c>
      <c r="D94" s="19" t="s">
        <v>35</v>
      </c>
      <c r="E94" s="19" t="s">
        <v>1164</v>
      </c>
      <c r="F94" s="21">
        <v>45490</v>
      </c>
      <c r="G94" s="21">
        <v>45854</v>
      </c>
      <c r="H94" s="22" t="s">
        <v>1165</v>
      </c>
      <c r="I94" s="23">
        <v>4250156743149</v>
      </c>
      <c r="J94" s="22" t="s">
        <v>227</v>
      </c>
      <c r="K94" s="19" t="s">
        <v>1166</v>
      </c>
      <c r="L94" s="19">
        <v>137918</v>
      </c>
      <c r="M94" s="19" t="s">
        <v>1167</v>
      </c>
      <c r="N94" s="19" t="s">
        <v>1163</v>
      </c>
      <c r="O94" s="19" t="s">
        <v>42</v>
      </c>
      <c r="P94" s="19" t="s">
        <v>1168</v>
      </c>
      <c r="Q94" s="19" t="s">
        <v>1169</v>
      </c>
      <c r="R94" s="21">
        <v>44035</v>
      </c>
      <c r="S94" s="21">
        <v>45874</v>
      </c>
      <c r="T94" s="24">
        <v>1135000</v>
      </c>
      <c r="U94" s="19">
        <v>25</v>
      </c>
      <c r="V94" s="25">
        <v>283750</v>
      </c>
      <c r="W94" s="25">
        <v>851250</v>
      </c>
      <c r="X94" s="26">
        <v>2.75</v>
      </c>
      <c r="Y94" s="25">
        <v>23409.375</v>
      </c>
      <c r="Z94" s="19"/>
      <c r="AA94" s="28" t="s">
        <v>45</v>
      </c>
      <c r="AB94" s="23">
        <v>1141070243</v>
      </c>
      <c r="AC94" s="27">
        <v>45525</v>
      </c>
      <c r="AD94" s="28" t="s">
        <v>46</v>
      </c>
      <c r="AE94" s="28">
        <v>0</v>
      </c>
      <c r="AF94" s="29" t="s">
        <v>1164</v>
      </c>
      <c r="AG94" s="35">
        <v>23409</v>
      </c>
      <c r="AH94" s="31">
        <v>0.375</v>
      </c>
    </row>
    <row r="95" spans="1:34" x14ac:dyDescent="0.25">
      <c r="A95" s="19" t="s">
        <v>490</v>
      </c>
      <c r="B95" s="19" t="s">
        <v>1170</v>
      </c>
      <c r="C95" s="20">
        <v>45474</v>
      </c>
      <c r="D95" s="19" t="s">
        <v>35</v>
      </c>
      <c r="E95" s="19" t="s">
        <v>1171</v>
      </c>
      <c r="F95" s="21">
        <v>45500</v>
      </c>
      <c r="G95" s="21">
        <v>45864</v>
      </c>
      <c r="H95" s="22" t="s">
        <v>1172</v>
      </c>
      <c r="I95" s="23">
        <v>4220151736597</v>
      </c>
      <c r="J95" s="22" t="s">
        <v>1173</v>
      </c>
      <c r="K95" s="19" t="s">
        <v>1174</v>
      </c>
      <c r="L95" s="19">
        <v>204744</v>
      </c>
      <c r="M95" s="19" t="s">
        <v>1175</v>
      </c>
      <c r="N95" s="19" t="s">
        <v>1170</v>
      </c>
      <c r="O95" s="19" t="s">
        <v>42</v>
      </c>
      <c r="P95" s="19" t="s">
        <v>43</v>
      </c>
      <c r="Q95" s="19" t="s">
        <v>1176</v>
      </c>
      <c r="R95" s="21">
        <v>44042</v>
      </c>
      <c r="S95" s="21">
        <v>45874</v>
      </c>
      <c r="T95" s="24">
        <v>1695000</v>
      </c>
      <c r="U95" s="19">
        <v>25</v>
      </c>
      <c r="V95" s="25">
        <v>423750</v>
      </c>
      <c r="W95" s="25">
        <v>1271250</v>
      </c>
      <c r="X95" s="26">
        <v>3.75</v>
      </c>
      <c r="Y95" s="25">
        <v>47671.875</v>
      </c>
      <c r="Z95" s="19"/>
      <c r="AA95" s="28" t="s">
        <v>45</v>
      </c>
      <c r="AB95" s="23">
        <v>1141070243</v>
      </c>
      <c r="AC95" s="27">
        <v>45525</v>
      </c>
      <c r="AD95" s="28" t="s">
        <v>46</v>
      </c>
      <c r="AE95" s="28">
        <v>9</v>
      </c>
      <c r="AF95" s="29" t="s">
        <v>1171</v>
      </c>
      <c r="AG95" s="35">
        <v>47672</v>
      </c>
      <c r="AH95" s="31">
        <v>-0.125</v>
      </c>
    </row>
    <row r="96" spans="1:34" x14ac:dyDescent="0.25">
      <c r="A96" s="19" t="s">
        <v>490</v>
      </c>
      <c r="B96" s="19" t="s">
        <v>1177</v>
      </c>
      <c r="C96" s="20">
        <v>45474</v>
      </c>
      <c r="D96" s="19" t="s">
        <v>35</v>
      </c>
      <c r="E96" s="19" t="s">
        <v>1178</v>
      </c>
      <c r="F96" s="21">
        <v>45502</v>
      </c>
      <c r="G96" s="21">
        <v>45866</v>
      </c>
      <c r="H96" s="22" t="s">
        <v>1179</v>
      </c>
      <c r="I96" s="23">
        <v>4220104963985</v>
      </c>
      <c r="J96" s="22" t="s">
        <v>732</v>
      </c>
      <c r="K96" s="19" t="s">
        <v>1180</v>
      </c>
      <c r="L96" s="19">
        <v>127907</v>
      </c>
      <c r="M96" s="19" t="s">
        <v>1181</v>
      </c>
      <c r="N96" s="19" t="s">
        <v>1177</v>
      </c>
      <c r="O96" s="19" t="s">
        <v>42</v>
      </c>
      <c r="P96" s="19" t="s">
        <v>43</v>
      </c>
      <c r="Q96" s="19" t="s">
        <v>1182</v>
      </c>
      <c r="R96" s="21">
        <v>44046</v>
      </c>
      <c r="S96" s="21">
        <v>45874</v>
      </c>
      <c r="T96" s="24">
        <v>1598000</v>
      </c>
      <c r="U96" s="19">
        <v>25</v>
      </c>
      <c r="V96" s="25">
        <v>399500</v>
      </c>
      <c r="W96" s="25">
        <v>1198500</v>
      </c>
      <c r="X96" s="26">
        <v>3.75</v>
      </c>
      <c r="Y96" s="25">
        <v>44943.75</v>
      </c>
      <c r="Z96" s="19"/>
      <c r="AA96" s="28" t="s">
        <v>45</v>
      </c>
      <c r="AB96" s="23">
        <v>1141070243</v>
      </c>
      <c r="AC96" s="27">
        <v>45525</v>
      </c>
      <c r="AD96" s="28" t="s">
        <v>46</v>
      </c>
      <c r="AE96" s="28">
        <v>9</v>
      </c>
      <c r="AF96" s="29" t="s">
        <v>1178</v>
      </c>
      <c r="AG96" s="35">
        <v>44944</v>
      </c>
      <c r="AH96" s="31">
        <v>-0.25</v>
      </c>
    </row>
    <row r="97" spans="1:34" x14ac:dyDescent="0.25">
      <c r="A97" s="19" t="s">
        <v>490</v>
      </c>
      <c r="B97" s="19" t="s">
        <v>1183</v>
      </c>
      <c r="C97" s="20">
        <v>45474</v>
      </c>
      <c r="D97" s="19" t="s">
        <v>35</v>
      </c>
      <c r="E97" s="19" t="s">
        <v>1184</v>
      </c>
      <c r="F97" s="21">
        <v>45498</v>
      </c>
      <c r="G97" s="21">
        <v>45862</v>
      </c>
      <c r="H97" s="22" t="s">
        <v>1185</v>
      </c>
      <c r="I97" s="23">
        <v>4220186042222</v>
      </c>
      <c r="J97" s="22" t="s">
        <v>111</v>
      </c>
      <c r="K97" s="19" t="s">
        <v>1186</v>
      </c>
      <c r="L97" s="19">
        <v>136086</v>
      </c>
      <c r="M97" s="19" t="s">
        <v>1187</v>
      </c>
      <c r="N97" s="19" t="s">
        <v>1183</v>
      </c>
      <c r="O97" s="19" t="s">
        <v>42</v>
      </c>
      <c r="P97" s="19" t="s">
        <v>1188</v>
      </c>
      <c r="Q97" s="19" t="s">
        <v>1189</v>
      </c>
      <c r="R97" s="21">
        <v>44040</v>
      </c>
      <c r="S97" s="21">
        <v>45874</v>
      </c>
      <c r="T97" s="24">
        <v>1398000</v>
      </c>
      <c r="U97" s="19">
        <v>25</v>
      </c>
      <c r="V97" s="25">
        <v>349500</v>
      </c>
      <c r="W97" s="25">
        <v>1048500</v>
      </c>
      <c r="X97" s="26">
        <v>3.75</v>
      </c>
      <c r="Y97" s="25">
        <v>39318.75</v>
      </c>
      <c r="Z97" s="19"/>
      <c r="AA97" s="28" t="s">
        <v>45</v>
      </c>
      <c r="AB97" s="23">
        <v>1141070243</v>
      </c>
      <c r="AC97" s="27">
        <v>45525</v>
      </c>
      <c r="AD97" s="28" t="s">
        <v>46</v>
      </c>
      <c r="AE97" s="28">
        <v>9</v>
      </c>
      <c r="AF97" s="29" t="s">
        <v>1184</v>
      </c>
      <c r="AG97" s="35">
        <v>39319</v>
      </c>
      <c r="AH97" s="31">
        <v>-0.25</v>
      </c>
    </row>
    <row r="98" spans="1:34" x14ac:dyDescent="0.25">
      <c r="A98" s="19" t="s">
        <v>490</v>
      </c>
      <c r="B98" s="19" t="s">
        <v>1190</v>
      </c>
      <c r="C98" s="20">
        <v>45474</v>
      </c>
      <c r="D98" s="19" t="s">
        <v>35</v>
      </c>
      <c r="E98" s="19" t="s">
        <v>1191</v>
      </c>
      <c r="F98" s="21">
        <v>45479</v>
      </c>
      <c r="G98" s="21">
        <v>45843</v>
      </c>
      <c r="H98" s="22" t="s">
        <v>1192</v>
      </c>
      <c r="I98" s="23">
        <v>8120250234515</v>
      </c>
      <c r="J98" s="22" t="s">
        <v>1193</v>
      </c>
      <c r="K98" s="19" t="s">
        <v>1194</v>
      </c>
      <c r="L98" s="19">
        <v>507904</v>
      </c>
      <c r="M98" s="19" t="s">
        <v>1195</v>
      </c>
      <c r="N98" s="19" t="s">
        <v>1190</v>
      </c>
      <c r="O98" s="19" t="s">
        <v>161</v>
      </c>
      <c r="P98" s="19" t="s">
        <v>1196</v>
      </c>
      <c r="Q98" s="19" t="s">
        <v>1197</v>
      </c>
      <c r="R98" s="21">
        <v>44756</v>
      </c>
      <c r="S98" s="21">
        <v>46573</v>
      </c>
      <c r="T98" s="24">
        <v>3219000</v>
      </c>
      <c r="U98" s="19">
        <v>15</v>
      </c>
      <c r="V98" s="25">
        <v>482850</v>
      </c>
      <c r="W98" s="25">
        <v>2736150</v>
      </c>
      <c r="X98" s="26">
        <v>2.5</v>
      </c>
      <c r="Y98" s="25">
        <v>68403.75</v>
      </c>
      <c r="Z98" s="19"/>
      <c r="AA98" s="28" t="s">
        <v>45</v>
      </c>
      <c r="AB98" s="23">
        <v>1141070243</v>
      </c>
      <c r="AC98" s="27">
        <v>45525</v>
      </c>
      <c r="AD98" s="28" t="s">
        <v>46</v>
      </c>
      <c r="AE98" s="28">
        <v>0</v>
      </c>
      <c r="AF98" s="29" t="s">
        <v>1191</v>
      </c>
      <c r="AG98" s="35">
        <v>68404</v>
      </c>
      <c r="AH98" s="31">
        <v>-0.25</v>
      </c>
    </row>
    <row r="99" spans="1:34" x14ac:dyDescent="0.25">
      <c r="A99" s="19" t="s">
        <v>490</v>
      </c>
      <c r="B99" s="19" t="s">
        <v>1198</v>
      </c>
      <c r="C99" s="20">
        <v>45474</v>
      </c>
      <c r="D99" s="19" t="s">
        <v>35</v>
      </c>
      <c r="E99" s="19" t="s">
        <v>1199</v>
      </c>
      <c r="F99" s="21">
        <v>45478</v>
      </c>
      <c r="G99" s="21">
        <v>45842</v>
      </c>
      <c r="H99" s="22" t="s">
        <v>1200</v>
      </c>
      <c r="I99" s="23">
        <v>4220118528859</v>
      </c>
      <c r="J99" s="22" t="s">
        <v>533</v>
      </c>
      <c r="K99" s="19" t="s">
        <v>1201</v>
      </c>
      <c r="L99" s="19" t="s">
        <v>1202</v>
      </c>
      <c r="M99" s="19" t="s">
        <v>1203</v>
      </c>
      <c r="N99" s="19" t="s">
        <v>1198</v>
      </c>
      <c r="O99" s="19" t="s">
        <v>42</v>
      </c>
      <c r="P99" s="19" t="s">
        <v>43</v>
      </c>
      <c r="Q99" s="19" t="s">
        <v>1204</v>
      </c>
      <c r="R99" s="21">
        <v>44384</v>
      </c>
      <c r="S99" s="21">
        <v>46209</v>
      </c>
      <c r="T99" s="24">
        <v>3375000</v>
      </c>
      <c r="U99" s="19">
        <v>20</v>
      </c>
      <c r="V99" s="25">
        <v>675000</v>
      </c>
      <c r="W99" s="25">
        <v>2700000</v>
      </c>
      <c r="X99" s="26">
        <v>2.5</v>
      </c>
      <c r="Y99" s="25">
        <v>67500</v>
      </c>
      <c r="Z99" s="19"/>
      <c r="AA99" s="28" t="s">
        <v>45</v>
      </c>
      <c r="AB99" s="23">
        <v>1141070243</v>
      </c>
      <c r="AC99" s="27">
        <v>45525</v>
      </c>
      <c r="AD99" s="28" t="s">
        <v>46</v>
      </c>
      <c r="AE99" s="28">
        <v>0</v>
      </c>
      <c r="AF99" s="29" t="s">
        <v>1199</v>
      </c>
      <c r="AG99" s="35">
        <v>67500</v>
      </c>
      <c r="AH99" s="31">
        <v>0</v>
      </c>
    </row>
    <row r="100" spans="1:34" x14ac:dyDescent="0.25">
      <c r="A100" s="19" t="s">
        <v>490</v>
      </c>
      <c r="B100" s="19" t="s">
        <v>1205</v>
      </c>
      <c r="C100" s="20">
        <v>45474</v>
      </c>
      <c r="D100" s="19" t="s">
        <v>35</v>
      </c>
      <c r="E100" s="19" t="s">
        <v>1206</v>
      </c>
      <c r="F100" s="21">
        <v>45485</v>
      </c>
      <c r="G100" s="21">
        <v>45849</v>
      </c>
      <c r="H100" s="22" t="s">
        <v>1207</v>
      </c>
      <c r="I100" s="23">
        <v>4540262044603</v>
      </c>
      <c r="J100" s="22" t="s">
        <v>1208</v>
      </c>
      <c r="K100" s="19" t="s">
        <v>1209</v>
      </c>
      <c r="L100" s="19">
        <v>50863</v>
      </c>
      <c r="M100" s="19" t="s">
        <v>1210</v>
      </c>
      <c r="N100" s="19" t="s">
        <v>1205</v>
      </c>
      <c r="O100" s="19" t="s">
        <v>42</v>
      </c>
      <c r="P100" s="19" t="s">
        <v>98</v>
      </c>
      <c r="Q100" s="19" t="s">
        <v>1211</v>
      </c>
      <c r="R100" s="21">
        <v>44393</v>
      </c>
      <c r="S100" s="21">
        <v>46239</v>
      </c>
      <c r="T100" s="24">
        <v>2054000</v>
      </c>
      <c r="U100" s="19">
        <v>20</v>
      </c>
      <c r="V100" s="25">
        <v>410800</v>
      </c>
      <c r="W100" s="25">
        <v>1643200</v>
      </c>
      <c r="X100" s="26">
        <v>2</v>
      </c>
      <c r="Y100" s="25">
        <v>32864</v>
      </c>
      <c r="Z100" s="19"/>
      <c r="AA100" s="28" t="s">
        <v>45</v>
      </c>
      <c r="AB100" s="23">
        <v>1141070243</v>
      </c>
      <c r="AC100" s="27">
        <v>45525</v>
      </c>
      <c r="AD100" s="28" t="s">
        <v>46</v>
      </c>
      <c r="AE100" s="28">
        <v>0</v>
      </c>
      <c r="AF100" s="29" t="s">
        <v>1206</v>
      </c>
      <c r="AG100" s="35">
        <v>32864</v>
      </c>
      <c r="AH100" s="31">
        <v>0</v>
      </c>
    </row>
    <row r="101" spans="1:34" x14ac:dyDescent="0.25">
      <c r="A101" s="19" t="s">
        <v>490</v>
      </c>
      <c r="B101" s="19" t="s">
        <v>1212</v>
      </c>
      <c r="C101" s="20">
        <v>45474</v>
      </c>
      <c r="D101" s="19" t="s">
        <v>35</v>
      </c>
      <c r="E101" s="19" t="s">
        <v>1213</v>
      </c>
      <c r="F101" s="21">
        <v>45499</v>
      </c>
      <c r="G101" s="21">
        <v>45863</v>
      </c>
      <c r="H101" s="22" t="s">
        <v>1214</v>
      </c>
      <c r="I101" s="23">
        <v>4240103706403</v>
      </c>
      <c r="J101" s="22" t="s">
        <v>1215</v>
      </c>
      <c r="K101" s="19" t="s">
        <v>1216</v>
      </c>
      <c r="L101" s="19">
        <v>603782</v>
      </c>
      <c r="M101" s="19" t="s">
        <v>1217</v>
      </c>
      <c r="N101" s="19" t="s">
        <v>1212</v>
      </c>
      <c r="O101" s="19" t="s">
        <v>42</v>
      </c>
      <c r="P101" s="19" t="s">
        <v>43</v>
      </c>
      <c r="Q101" s="19" t="s">
        <v>1218</v>
      </c>
      <c r="R101" s="21">
        <v>45139</v>
      </c>
      <c r="S101" s="21">
        <v>46604</v>
      </c>
      <c r="T101" s="24">
        <v>3000000</v>
      </c>
      <c r="U101" s="19">
        <v>10</v>
      </c>
      <c r="V101" s="25">
        <v>300000</v>
      </c>
      <c r="W101" s="25">
        <v>2700000</v>
      </c>
      <c r="X101" s="26">
        <v>2</v>
      </c>
      <c r="Y101" s="25">
        <v>54000</v>
      </c>
      <c r="Z101" s="19"/>
      <c r="AA101" s="28" t="s">
        <v>45</v>
      </c>
      <c r="AB101" s="23">
        <v>1141070243</v>
      </c>
      <c r="AC101" s="27">
        <v>45525</v>
      </c>
      <c r="AD101" s="28" t="s">
        <v>46</v>
      </c>
      <c r="AE101" s="28">
        <v>9</v>
      </c>
      <c r="AF101" s="29" t="s">
        <v>1213</v>
      </c>
      <c r="AG101" s="35">
        <v>54000</v>
      </c>
      <c r="AH101" s="31">
        <v>0</v>
      </c>
    </row>
    <row r="102" spans="1:34" x14ac:dyDescent="0.25">
      <c r="A102" s="19" t="s">
        <v>490</v>
      </c>
      <c r="B102" s="19" t="s">
        <v>1219</v>
      </c>
      <c r="C102" s="20">
        <v>45474</v>
      </c>
      <c r="D102" s="19" t="s">
        <v>35</v>
      </c>
      <c r="E102" s="19" t="s">
        <v>1220</v>
      </c>
      <c r="F102" s="21">
        <v>45479</v>
      </c>
      <c r="G102" s="21">
        <v>45843</v>
      </c>
      <c r="H102" s="22" t="s">
        <v>1221</v>
      </c>
      <c r="I102" s="23">
        <v>4210159288885</v>
      </c>
      <c r="J102" s="22" t="s">
        <v>1222</v>
      </c>
      <c r="K102" s="19" t="s">
        <v>1223</v>
      </c>
      <c r="L102" s="19">
        <v>633703</v>
      </c>
      <c r="M102" s="19" t="s">
        <v>1224</v>
      </c>
      <c r="N102" s="19" t="s">
        <v>1219</v>
      </c>
      <c r="O102" s="19" t="s">
        <v>42</v>
      </c>
      <c r="P102" s="19" t="s">
        <v>98</v>
      </c>
      <c r="Q102" s="19" t="s">
        <v>1225</v>
      </c>
      <c r="R102" s="21">
        <v>44748</v>
      </c>
      <c r="S102" s="21">
        <v>46573</v>
      </c>
      <c r="T102" s="24">
        <v>4417400</v>
      </c>
      <c r="U102" s="19">
        <v>15</v>
      </c>
      <c r="V102" s="25">
        <v>662610</v>
      </c>
      <c r="W102" s="25">
        <v>3754790</v>
      </c>
      <c r="X102" s="26">
        <v>1.25</v>
      </c>
      <c r="Y102" s="25">
        <v>46934.875</v>
      </c>
      <c r="Z102" s="19"/>
      <c r="AA102" s="28" t="s">
        <v>45</v>
      </c>
      <c r="AB102" s="23">
        <v>1141070243</v>
      </c>
      <c r="AC102" s="27">
        <v>45525</v>
      </c>
      <c r="AD102" s="28" t="s">
        <v>46</v>
      </c>
      <c r="AE102" s="28">
        <v>0</v>
      </c>
      <c r="AF102" s="29" t="s">
        <v>1220</v>
      </c>
      <c r="AG102" s="35">
        <v>46935</v>
      </c>
      <c r="AH102" s="31">
        <v>-0.125</v>
      </c>
    </row>
    <row r="103" spans="1:34" x14ac:dyDescent="0.25">
      <c r="A103" s="19" t="s">
        <v>490</v>
      </c>
      <c r="B103" s="19" t="s">
        <v>1226</v>
      </c>
      <c r="C103" s="20">
        <v>45474</v>
      </c>
      <c r="D103" s="19" t="s">
        <v>35</v>
      </c>
      <c r="E103" s="19" t="s">
        <v>1227</v>
      </c>
      <c r="F103" s="21">
        <v>45499</v>
      </c>
      <c r="G103" s="21">
        <v>45863</v>
      </c>
      <c r="H103" s="22" t="s">
        <v>1228</v>
      </c>
      <c r="I103" s="23">
        <v>4230179076087</v>
      </c>
      <c r="J103" s="22" t="s">
        <v>286</v>
      </c>
      <c r="K103" s="19" t="s">
        <v>1229</v>
      </c>
      <c r="L103" s="19" t="s">
        <v>1230</v>
      </c>
      <c r="M103" s="19" t="s">
        <v>1231</v>
      </c>
      <c r="N103" s="19" t="s">
        <v>1226</v>
      </c>
      <c r="O103" s="19" t="s">
        <v>42</v>
      </c>
      <c r="P103" s="19" t="s">
        <v>43</v>
      </c>
      <c r="Q103" s="19" t="s">
        <v>1232</v>
      </c>
      <c r="R103" s="21">
        <v>44775</v>
      </c>
      <c r="S103" s="21">
        <v>46604</v>
      </c>
      <c r="T103" s="24">
        <v>3942420</v>
      </c>
      <c r="U103" s="19">
        <v>15</v>
      </c>
      <c r="V103" s="25">
        <v>591363</v>
      </c>
      <c r="W103" s="25">
        <v>3351057</v>
      </c>
      <c r="X103" s="26">
        <v>1.5</v>
      </c>
      <c r="Y103" s="25">
        <v>50265.854999999996</v>
      </c>
      <c r="Z103" s="19"/>
      <c r="AA103" s="28" t="s">
        <v>45</v>
      </c>
      <c r="AB103" s="23">
        <v>1141070243</v>
      </c>
      <c r="AC103" s="27">
        <v>45525</v>
      </c>
      <c r="AD103" s="28" t="s">
        <v>46</v>
      </c>
      <c r="AE103" s="28">
        <v>9</v>
      </c>
      <c r="AF103" s="29" t="s">
        <v>1227</v>
      </c>
      <c r="AG103" s="35">
        <v>50266</v>
      </c>
      <c r="AH103" s="31">
        <v>-0.14500000000407454</v>
      </c>
    </row>
    <row r="104" spans="1:34" x14ac:dyDescent="0.25">
      <c r="A104" s="19" t="s">
        <v>490</v>
      </c>
      <c r="B104" s="19" t="s">
        <v>1233</v>
      </c>
      <c r="C104" s="20">
        <v>45474</v>
      </c>
      <c r="D104" s="19" t="s">
        <v>35</v>
      </c>
      <c r="E104" s="19" t="s">
        <v>1234</v>
      </c>
      <c r="F104" s="21">
        <v>45492</v>
      </c>
      <c r="G104" s="21">
        <v>45856</v>
      </c>
      <c r="H104" s="22" t="s">
        <v>1235</v>
      </c>
      <c r="I104" s="23">
        <v>2110622666435</v>
      </c>
      <c r="J104" s="22" t="s">
        <v>533</v>
      </c>
      <c r="K104" s="19" t="s">
        <v>1236</v>
      </c>
      <c r="L104" s="19" t="s">
        <v>1237</v>
      </c>
      <c r="M104" s="19" t="s">
        <v>1238</v>
      </c>
      <c r="N104" s="19" t="s">
        <v>1233</v>
      </c>
      <c r="O104" s="19" t="s">
        <v>42</v>
      </c>
      <c r="P104" s="19" t="s">
        <v>1239</v>
      </c>
      <c r="Q104" s="19" t="s">
        <v>1240</v>
      </c>
      <c r="R104" s="21">
        <v>45134</v>
      </c>
      <c r="S104" s="21">
        <v>45874</v>
      </c>
      <c r="T104" s="24">
        <v>5280000</v>
      </c>
      <c r="U104" s="19">
        <v>10</v>
      </c>
      <c r="V104" s="25">
        <v>528000</v>
      </c>
      <c r="W104" s="25">
        <v>4752000</v>
      </c>
      <c r="X104" s="26">
        <v>1.25</v>
      </c>
      <c r="Y104" s="25">
        <v>59400</v>
      </c>
      <c r="Z104" s="19"/>
      <c r="AA104" s="28" t="s">
        <v>45</v>
      </c>
      <c r="AB104" s="23">
        <v>1141070243</v>
      </c>
      <c r="AC104" s="27">
        <v>45525</v>
      </c>
      <c r="AD104" s="28" t="s">
        <v>46</v>
      </c>
      <c r="AE104" s="28">
        <v>9</v>
      </c>
      <c r="AF104" s="29" t="s">
        <v>1234</v>
      </c>
      <c r="AG104" s="35">
        <v>59400</v>
      </c>
      <c r="AH104" s="31">
        <v>0</v>
      </c>
    </row>
    <row r="105" spans="1:34" x14ac:dyDescent="0.25">
      <c r="A105" s="19" t="s">
        <v>490</v>
      </c>
      <c r="B105" s="19" t="s">
        <v>1241</v>
      </c>
      <c r="C105" s="20">
        <v>45474</v>
      </c>
      <c r="D105" s="19" t="s">
        <v>35</v>
      </c>
      <c r="E105" s="19" t="s">
        <v>1242</v>
      </c>
      <c r="F105" s="21">
        <v>45500</v>
      </c>
      <c r="G105" s="21">
        <v>45864</v>
      </c>
      <c r="H105" s="22" t="s">
        <v>1243</v>
      </c>
      <c r="I105" s="23" t="s">
        <v>1244</v>
      </c>
      <c r="J105" s="22" t="s">
        <v>1245</v>
      </c>
      <c r="K105" s="19" t="s">
        <v>1246</v>
      </c>
      <c r="L105" s="19">
        <v>371929</v>
      </c>
      <c r="M105" s="19" t="s">
        <v>1247</v>
      </c>
      <c r="N105" s="19" t="s">
        <v>1241</v>
      </c>
      <c r="O105" s="28" t="s">
        <v>54</v>
      </c>
      <c r="P105" s="19" t="s">
        <v>81</v>
      </c>
      <c r="Q105" s="19" t="s">
        <v>1248</v>
      </c>
      <c r="R105" s="21">
        <v>44412</v>
      </c>
      <c r="S105" s="21">
        <v>46239</v>
      </c>
      <c r="T105" s="24">
        <v>1034000</v>
      </c>
      <c r="U105" s="19">
        <v>20</v>
      </c>
      <c r="V105" s="25">
        <v>206800</v>
      </c>
      <c r="W105" s="25">
        <v>827200</v>
      </c>
      <c r="X105" s="26">
        <v>2.5</v>
      </c>
      <c r="Y105" s="25">
        <v>20680</v>
      </c>
      <c r="Z105" s="19"/>
      <c r="AA105" s="28" t="s">
        <v>45</v>
      </c>
      <c r="AB105" s="23">
        <v>1141070243</v>
      </c>
      <c r="AC105" s="27">
        <v>45525</v>
      </c>
      <c r="AD105" s="28" t="s">
        <v>46</v>
      </c>
      <c r="AE105" s="28">
        <v>0</v>
      </c>
      <c r="AF105" s="29" t="s">
        <v>1242</v>
      </c>
      <c r="AG105" s="35">
        <v>20680</v>
      </c>
      <c r="AH105" s="31">
        <v>0</v>
      </c>
    </row>
    <row r="106" spans="1:34" x14ac:dyDescent="0.25">
      <c r="A106" s="19" t="s">
        <v>490</v>
      </c>
      <c r="B106" s="19" t="s">
        <v>1249</v>
      </c>
      <c r="C106" s="20">
        <v>45474</v>
      </c>
      <c r="D106" s="19" t="s">
        <v>35</v>
      </c>
      <c r="E106" s="19" t="s">
        <v>1250</v>
      </c>
      <c r="F106" s="21">
        <v>45503</v>
      </c>
      <c r="G106" s="21">
        <v>45867</v>
      </c>
      <c r="H106" s="22" t="s">
        <v>1251</v>
      </c>
      <c r="I106" s="23">
        <v>3310074604127</v>
      </c>
      <c r="J106" s="22" t="s">
        <v>68</v>
      </c>
      <c r="K106" s="19" t="s">
        <v>1252</v>
      </c>
      <c r="L106" s="19" t="s">
        <v>1253</v>
      </c>
      <c r="M106" s="19" t="s">
        <v>1254</v>
      </c>
      <c r="N106" s="19" t="s">
        <v>1249</v>
      </c>
      <c r="O106" s="28" t="s">
        <v>54</v>
      </c>
      <c r="P106" s="19" t="s">
        <v>55</v>
      </c>
      <c r="Q106" s="19" t="s">
        <v>1255</v>
      </c>
      <c r="R106" s="21">
        <v>44774</v>
      </c>
      <c r="S106" s="21">
        <v>46604</v>
      </c>
      <c r="T106" s="24">
        <v>850000</v>
      </c>
      <c r="U106" s="19">
        <v>15</v>
      </c>
      <c r="V106" s="25">
        <v>127500</v>
      </c>
      <c r="W106" s="25">
        <v>722500</v>
      </c>
      <c r="X106" s="26">
        <v>2</v>
      </c>
      <c r="Y106" s="25">
        <v>14450</v>
      </c>
      <c r="Z106" s="19"/>
      <c r="AA106" s="28" t="s">
        <v>45</v>
      </c>
      <c r="AB106" s="23">
        <v>1141070243</v>
      </c>
      <c r="AC106" s="27">
        <v>45525</v>
      </c>
      <c r="AD106" s="28" t="s">
        <v>46</v>
      </c>
      <c r="AE106" s="28">
        <v>9</v>
      </c>
      <c r="AF106" s="29" t="s">
        <v>1250</v>
      </c>
      <c r="AG106" s="35">
        <v>14450</v>
      </c>
      <c r="AH106" s="31">
        <v>0</v>
      </c>
    </row>
    <row r="107" spans="1:34" x14ac:dyDescent="0.25">
      <c r="A107" s="19" t="s">
        <v>490</v>
      </c>
      <c r="B107" s="19" t="s">
        <v>1256</v>
      </c>
      <c r="C107" s="20">
        <v>45474</v>
      </c>
      <c r="D107" s="19" t="s">
        <v>35</v>
      </c>
      <c r="E107" s="19" t="s">
        <v>1257</v>
      </c>
      <c r="F107" s="21">
        <v>45502</v>
      </c>
      <c r="G107" s="21">
        <v>45866</v>
      </c>
      <c r="H107" s="22" t="s">
        <v>1258</v>
      </c>
      <c r="I107" s="23">
        <v>3130292274765</v>
      </c>
      <c r="J107" s="22" t="s">
        <v>1259</v>
      </c>
      <c r="K107" s="19" t="s">
        <v>1260</v>
      </c>
      <c r="L107" s="19">
        <v>524982</v>
      </c>
      <c r="M107" s="19" t="s">
        <v>1261</v>
      </c>
      <c r="N107" s="19" t="s">
        <v>1256</v>
      </c>
      <c r="O107" s="28" t="s">
        <v>54</v>
      </c>
      <c r="P107" s="19" t="s">
        <v>152</v>
      </c>
      <c r="Q107" s="19" t="s">
        <v>1262</v>
      </c>
      <c r="R107" s="21">
        <v>44411</v>
      </c>
      <c r="S107" s="21">
        <v>46239</v>
      </c>
      <c r="T107" s="24">
        <v>6500000</v>
      </c>
      <c r="U107" s="19">
        <v>20</v>
      </c>
      <c r="V107" s="25">
        <v>1300000</v>
      </c>
      <c r="W107" s="25">
        <v>5200000</v>
      </c>
      <c r="X107" s="26">
        <v>1.5</v>
      </c>
      <c r="Y107" s="25">
        <v>78000</v>
      </c>
      <c r="Z107" s="19"/>
      <c r="AA107" s="28" t="s">
        <v>45</v>
      </c>
      <c r="AB107" s="23">
        <v>1141070243</v>
      </c>
      <c r="AC107" s="27">
        <v>45525</v>
      </c>
      <c r="AD107" s="28" t="s">
        <v>46</v>
      </c>
      <c r="AE107" s="28">
        <v>0</v>
      </c>
      <c r="AF107" s="29" t="s">
        <v>1257</v>
      </c>
      <c r="AG107" s="35">
        <v>78000</v>
      </c>
      <c r="AH107" s="31">
        <v>0</v>
      </c>
    </row>
    <row r="108" spans="1:34" x14ac:dyDescent="0.25">
      <c r="A108" s="19" t="s">
        <v>490</v>
      </c>
      <c r="B108" s="19" t="s">
        <v>1263</v>
      </c>
      <c r="C108" s="20">
        <v>45474</v>
      </c>
      <c r="D108" s="19" t="s">
        <v>35</v>
      </c>
      <c r="E108" s="19" t="s">
        <v>1264</v>
      </c>
      <c r="F108" s="21">
        <v>45502</v>
      </c>
      <c r="G108" s="21">
        <v>45866</v>
      </c>
      <c r="H108" s="22" t="s">
        <v>1265</v>
      </c>
      <c r="I108" s="23">
        <v>4220159674977</v>
      </c>
      <c r="J108" s="22" t="s">
        <v>1245</v>
      </c>
      <c r="K108" s="19" t="s">
        <v>1266</v>
      </c>
      <c r="L108" s="19">
        <v>385912</v>
      </c>
      <c r="M108" s="19" t="s">
        <v>1267</v>
      </c>
      <c r="N108" s="19" t="s">
        <v>1263</v>
      </c>
      <c r="O108" s="19" t="s">
        <v>42</v>
      </c>
      <c r="P108" s="19" t="s">
        <v>43</v>
      </c>
      <c r="Q108" s="19" t="s">
        <v>1268</v>
      </c>
      <c r="R108" s="21">
        <v>44774</v>
      </c>
      <c r="S108" s="21">
        <v>45874</v>
      </c>
      <c r="T108" s="24">
        <v>1256000</v>
      </c>
      <c r="U108" s="19">
        <v>15</v>
      </c>
      <c r="V108" s="25">
        <v>188400</v>
      </c>
      <c r="W108" s="25">
        <v>1067600</v>
      </c>
      <c r="X108" s="26">
        <v>2</v>
      </c>
      <c r="Y108" s="25">
        <v>21352</v>
      </c>
      <c r="Z108" s="19"/>
      <c r="AA108" s="28" t="s">
        <v>45</v>
      </c>
      <c r="AB108" s="23">
        <v>1141070243</v>
      </c>
      <c r="AC108" s="27">
        <v>45525</v>
      </c>
      <c r="AD108" s="28" t="s">
        <v>46</v>
      </c>
      <c r="AE108" s="28">
        <v>9</v>
      </c>
      <c r="AF108" s="29" t="s">
        <v>1264</v>
      </c>
      <c r="AG108" s="35">
        <v>21352</v>
      </c>
      <c r="AH108" s="31">
        <v>0</v>
      </c>
    </row>
    <row r="109" spans="1:34" x14ac:dyDescent="0.25">
      <c r="A109" s="19" t="s">
        <v>490</v>
      </c>
      <c r="B109" s="19" t="s">
        <v>1269</v>
      </c>
      <c r="C109" s="20">
        <v>45474</v>
      </c>
      <c r="D109" s="19" t="s">
        <v>35</v>
      </c>
      <c r="E109" s="19" t="s">
        <v>1270</v>
      </c>
      <c r="F109" s="21">
        <v>45496</v>
      </c>
      <c r="G109" s="21">
        <v>45860</v>
      </c>
      <c r="H109" s="22" t="s">
        <v>1271</v>
      </c>
      <c r="I109" s="23">
        <v>8110324656345</v>
      </c>
      <c r="J109" s="22" t="s">
        <v>525</v>
      </c>
      <c r="K109" s="19" t="s">
        <v>1272</v>
      </c>
      <c r="L109" s="19">
        <v>12743080</v>
      </c>
      <c r="M109" s="19" t="s">
        <v>1273</v>
      </c>
      <c r="N109" s="19" t="s">
        <v>1269</v>
      </c>
      <c r="O109" s="28" t="s">
        <v>54</v>
      </c>
      <c r="P109" s="19" t="s">
        <v>81</v>
      </c>
      <c r="Q109" s="19" t="s">
        <v>1274</v>
      </c>
      <c r="R109" s="21">
        <v>44040</v>
      </c>
      <c r="S109" s="21">
        <v>45874</v>
      </c>
      <c r="T109" s="24">
        <v>2350000</v>
      </c>
      <c r="U109" s="19">
        <v>25</v>
      </c>
      <c r="V109" s="25">
        <v>587500</v>
      </c>
      <c r="W109" s="25">
        <v>1762500</v>
      </c>
      <c r="X109" s="26">
        <v>3.3</v>
      </c>
      <c r="Y109" s="25">
        <v>58162.5</v>
      </c>
      <c r="Z109" s="19"/>
      <c r="AA109" s="28" t="s">
        <v>45</v>
      </c>
      <c r="AB109" s="23">
        <v>1141070243</v>
      </c>
      <c r="AC109" s="27">
        <v>45525</v>
      </c>
      <c r="AD109" s="28" t="s">
        <v>46</v>
      </c>
      <c r="AE109" s="28">
        <v>0</v>
      </c>
      <c r="AF109" s="29" t="s">
        <v>1270</v>
      </c>
      <c r="AG109" s="35">
        <v>58163</v>
      </c>
      <c r="AH109" s="31">
        <v>-0.5</v>
      </c>
    </row>
    <row r="110" spans="1:34" x14ac:dyDescent="0.25">
      <c r="A110" s="19" t="s">
        <v>490</v>
      </c>
      <c r="B110" s="19" t="s">
        <v>1275</v>
      </c>
      <c r="C110" s="20">
        <v>45474</v>
      </c>
      <c r="D110" s="19" t="s">
        <v>35</v>
      </c>
      <c r="E110" s="19" t="s">
        <v>1276</v>
      </c>
      <c r="F110" s="21">
        <v>45487</v>
      </c>
      <c r="G110" s="21">
        <v>45851</v>
      </c>
      <c r="H110" s="22" t="s">
        <v>1277</v>
      </c>
      <c r="I110" s="23">
        <v>3310345334453</v>
      </c>
      <c r="J110" s="22" t="s">
        <v>104</v>
      </c>
      <c r="K110" s="19" t="s">
        <v>1278</v>
      </c>
      <c r="L110" s="19" t="s">
        <v>1279</v>
      </c>
      <c r="M110" s="19" t="s">
        <v>1280</v>
      </c>
      <c r="N110" s="19" t="s">
        <v>1275</v>
      </c>
      <c r="O110" s="28" t="s">
        <v>54</v>
      </c>
      <c r="P110" s="19" t="s">
        <v>55</v>
      </c>
      <c r="Q110" s="19" t="s">
        <v>1281</v>
      </c>
      <c r="R110" s="21">
        <v>44035</v>
      </c>
      <c r="S110" s="21">
        <v>46604</v>
      </c>
      <c r="T110" s="24">
        <v>1480000</v>
      </c>
      <c r="U110" s="19">
        <v>25</v>
      </c>
      <c r="V110" s="25">
        <v>370000</v>
      </c>
      <c r="W110" s="25">
        <v>1110000</v>
      </c>
      <c r="X110" s="26">
        <v>3.75</v>
      </c>
      <c r="Y110" s="25">
        <v>41625</v>
      </c>
      <c r="Z110" s="19"/>
      <c r="AA110" s="28" t="s">
        <v>45</v>
      </c>
      <c r="AB110" s="23">
        <v>1141070243</v>
      </c>
      <c r="AC110" s="27">
        <v>45525</v>
      </c>
      <c r="AD110" s="28" t="s">
        <v>46</v>
      </c>
      <c r="AE110" s="28">
        <v>9</v>
      </c>
      <c r="AF110" s="29" t="s">
        <v>1276</v>
      </c>
      <c r="AG110" s="35">
        <v>41625</v>
      </c>
      <c r="AH110" s="31">
        <v>0</v>
      </c>
    </row>
    <row r="111" spans="1:34" x14ac:dyDescent="0.25">
      <c r="A111" s="19" t="s">
        <v>490</v>
      </c>
      <c r="B111" s="19" t="s">
        <v>1282</v>
      </c>
      <c r="C111" s="20">
        <v>45474</v>
      </c>
      <c r="D111" s="19" t="s">
        <v>35</v>
      </c>
      <c r="E111" s="19" t="s">
        <v>1283</v>
      </c>
      <c r="F111" s="21">
        <v>45502</v>
      </c>
      <c r="G111" s="21">
        <v>45866</v>
      </c>
      <c r="H111" s="22" t="s">
        <v>1284</v>
      </c>
      <c r="I111" s="23">
        <v>3410157040123</v>
      </c>
      <c r="J111" s="22" t="s">
        <v>1285</v>
      </c>
      <c r="K111" s="19" t="s">
        <v>1286</v>
      </c>
      <c r="L111" s="19" t="s">
        <v>1287</v>
      </c>
      <c r="M111" s="19" t="s">
        <v>1288</v>
      </c>
      <c r="N111" s="19" t="s">
        <v>1282</v>
      </c>
      <c r="O111" s="28" t="s">
        <v>54</v>
      </c>
      <c r="P111" s="19" t="s">
        <v>993</v>
      </c>
      <c r="Q111" s="19" t="s">
        <v>1289</v>
      </c>
      <c r="R111" s="21">
        <v>44042</v>
      </c>
      <c r="S111" s="21">
        <v>45874</v>
      </c>
      <c r="T111" s="24">
        <v>3000000</v>
      </c>
      <c r="U111" s="19">
        <v>25</v>
      </c>
      <c r="V111" s="25">
        <v>750000</v>
      </c>
      <c r="W111" s="25">
        <v>2250000</v>
      </c>
      <c r="X111" s="26">
        <v>3.3</v>
      </c>
      <c r="Y111" s="25">
        <v>74250</v>
      </c>
      <c r="Z111" s="19"/>
      <c r="AA111" s="28" t="s">
        <v>45</v>
      </c>
      <c r="AB111" s="23">
        <v>1141070243</v>
      </c>
      <c r="AC111" s="27">
        <v>45525</v>
      </c>
      <c r="AD111" s="28" t="s">
        <v>46</v>
      </c>
      <c r="AE111" s="28">
        <v>9</v>
      </c>
      <c r="AF111" s="29" t="s">
        <v>1283</v>
      </c>
      <c r="AG111" s="35">
        <v>74250</v>
      </c>
      <c r="AH111" s="31">
        <v>0</v>
      </c>
    </row>
    <row r="112" spans="1:34" x14ac:dyDescent="0.25">
      <c r="A112" s="19" t="s">
        <v>490</v>
      </c>
      <c r="B112" s="19" t="s">
        <v>1290</v>
      </c>
      <c r="C112" s="20">
        <v>45474</v>
      </c>
      <c r="D112" s="19" t="s">
        <v>35</v>
      </c>
      <c r="E112" s="19" t="s">
        <v>1291</v>
      </c>
      <c r="F112" s="21">
        <v>45496</v>
      </c>
      <c r="G112" s="21">
        <v>45860</v>
      </c>
      <c r="H112" s="22" t="s">
        <v>1292</v>
      </c>
      <c r="I112" s="23">
        <v>3520255451943</v>
      </c>
      <c r="J112" s="22" t="s">
        <v>1293</v>
      </c>
      <c r="K112" s="19" t="s">
        <v>1294</v>
      </c>
      <c r="L112" s="19">
        <v>3511654</v>
      </c>
      <c r="M112" s="19" t="s">
        <v>1295</v>
      </c>
      <c r="N112" s="19" t="s">
        <v>1290</v>
      </c>
      <c r="O112" s="28" t="s">
        <v>54</v>
      </c>
      <c r="P112" s="19" t="s">
        <v>1296</v>
      </c>
      <c r="Q112" s="19" t="s">
        <v>1297</v>
      </c>
      <c r="R112" s="21">
        <v>43314</v>
      </c>
      <c r="S112" s="21">
        <v>45874</v>
      </c>
      <c r="T112" s="24">
        <v>2388000</v>
      </c>
      <c r="U112" s="19">
        <v>35</v>
      </c>
      <c r="V112" s="25">
        <v>835800</v>
      </c>
      <c r="W112" s="25">
        <v>1552200</v>
      </c>
      <c r="X112" s="26">
        <v>3.4</v>
      </c>
      <c r="Y112" s="25">
        <v>52774.8</v>
      </c>
      <c r="Z112" s="19"/>
      <c r="AA112" s="28" t="s">
        <v>45</v>
      </c>
      <c r="AB112" s="23">
        <v>1141070243</v>
      </c>
      <c r="AC112" s="27">
        <v>45525</v>
      </c>
      <c r="AD112" s="28" t="s">
        <v>46</v>
      </c>
      <c r="AE112" s="28">
        <v>9</v>
      </c>
      <c r="AF112" s="29" t="s">
        <v>1291</v>
      </c>
      <c r="AG112" s="35">
        <v>52775</v>
      </c>
      <c r="AH112" s="31">
        <v>-0.19999999999708962</v>
      </c>
    </row>
    <row r="113" spans="1:34" x14ac:dyDescent="0.25">
      <c r="A113" s="19" t="s">
        <v>490</v>
      </c>
      <c r="B113" s="19" t="s">
        <v>1298</v>
      </c>
      <c r="C113" s="20">
        <v>45474</v>
      </c>
      <c r="D113" s="19" t="s">
        <v>35</v>
      </c>
      <c r="E113" s="19" t="s">
        <v>1299</v>
      </c>
      <c r="F113" s="21">
        <v>45486</v>
      </c>
      <c r="G113" s="21">
        <v>45850</v>
      </c>
      <c r="H113" s="22" t="s">
        <v>1300</v>
      </c>
      <c r="I113" s="23">
        <v>3410150031445</v>
      </c>
      <c r="J113" s="22" t="s">
        <v>104</v>
      </c>
      <c r="K113" s="19" t="s">
        <v>1301</v>
      </c>
      <c r="L113" s="19" t="s">
        <v>1302</v>
      </c>
      <c r="M113" s="19" t="s">
        <v>1303</v>
      </c>
      <c r="N113" s="19" t="s">
        <v>1298</v>
      </c>
      <c r="O113" s="28" t="s">
        <v>54</v>
      </c>
      <c r="P113" s="19" t="s">
        <v>81</v>
      </c>
      <c r="Q113" s="19" t="s">
        <v>1304</v>
      </c>
      <c r="R113" s="21">
        <v>44392</v>
      </c>
      <c r="S113" s="21">
        <v>46209</v>
      </c>
      <c r="T113" s="24">
        <v>1600000</v>
      </c>
      <c r="U113" s="19">
        <v>20</v>
      </c>
      <c r="V113" s="25">
        <v>320000</v>
      </c>
      <c r="W113" s="25">
        <v>1280000</v>
      </c>
      <c r="X113" s="26">
        <v>2.5</v>
      </c>
      <c r="Y113" s="25">
        <v>32000</v>
      </c>
      <c r="Z113" s="19"/>
      <c r="AA113" s="28" t="s">
        <v>45</v>
      </c>
      <c r="AB113" s="23">
        <v>1141070243</v>
      </c>
      <c r="AC113" s="27">
        <v>45525</v>
      </c>
      <c r="AD113" s="28" t="s">
        <v>46</v>
      </c>
      <c r="AE113" s="28">
        <v>9</v>
      </c>
      <c r="AF113" s="29" t="s">
        <v>1299</v>
      </c>
      <c r="AG113" s="35">
        <v>32000</v>
      </c>
      <c r="AH113" s="31">
        <v>0</v>
      </c>
    </row>
    <row r="114" spans="1:34" x14ac:dyDescent="0.25">
      <c r="A114" s="19" t="s">
        <v>490</v>
      </c>
      <c r="B114" s="19" t="s">
        <v>1305</v>
      </c>
      <c r="C114" s="20">
        <v>45474</v>
      </c>
      <c r="D114" s="19" t="s">
        <v>35</v>
      </c>
      <c r="E114" s="19" t="s">
        <v>1306</v>
      </c>
      <c r="F114" s="21">
        <v>45504</v>
      </c>
      <c r="G114" s="21">
        <v>45868</v>
      </c>
      <c r="H114" s="22" t="s">
        <v>1307</v>
      </c>
      <c r="I114" s="23">
        <v>3310076442013</v>
      </c>
      <c r="J114" s="22" t="s">
        <v>854</v>
      </c>
      <c r="K114" s="19" t="s">
        <v>1308</v>
      </c>
      <c r="L114" s="19" t="s">
        <v>1309</v>
      </c>
      <c r="M114" s="19" t="s">
        <v>1310</v>
      </c>
      <c r="N114" s="19" t="s">
        <v>1305</v>
      </c>
      <c r="O114" s="28" t="s">
        <v>54</v>
      </c>
      <c r="P114" s="19" t="s">
        <v>55</v>
      </c>
      <c r="Q114" s="19" t="s">
        <v>1311</v>
      </c>
      <c r="R114" s="21">
        <v>45139</v>
      </c>
      <c r="S114" s="21">
        <v>46970</v>
      </c>
      <c r="T114" s="24">
        <v>1000000</v>
      </c>
      <c r="U114" s="19">
        <v>10</v>
      </c>
      <c r="V114" s="25">
        <v>100000</v>
      </c>
      <c r="W114" s="25">
        <v>900000</v>
      </c>
      <c r="X114" s="26">
        <v>2</v>
      </c>
      <c r="Y114" s="25">
        <v>18000</v>
      </c>
      <c r="Z114" s="19"/>
      <c r="AA114" s="28" t="s">
        <v>45</v>
      </c>
      <c r="AB114" s="23">
        <v>1141070243</v>
      </c>
      <c r="AC114" s="27">
        <v>45525</v>
      </c>
      <c r="AD114" s="28" t="s">
        <v>46</v>
      </c>
      <c r="AE114" s="28">
        <v>0</v>
      </c>
      <c r="AF114" s="29" t="s">
        <v>1306</v>
      </c>
      <c r="AG114" s="35">
        <v>18000</v>
      </c>
      <c r="AH114" s="31">
        <v>0</v>
      </c>
    </row>
    <row r="115" spans="1:34" x14ac:dyDescent="0.25">
      <c r="A115" s="19" t="s">
        <v>490</v>
      </c>
      <c r="B115" s="28" t="s">
        <v>1312</v>
      </c>
      <c r="C115" s="20">
        <v>45474</v>
      </c>
      <c r="D115" s="19" t="s">
        <v>35</v>
      </c>
      <c r="E115" s="19" t="s">
        <v>1313</v>
      </c>
      <c r="F115" s="21">
        <v>45502</v>
      </c>
      <c r="G115" s="21">
        <v>45866</v>
      </c>
      <c r="H115" s="22" t="s">
        <v>1314</v>
      </c>
      <c r="I115" s="23">
        <v>3660116237353</v>
      </c>
      <c r="J115" s="22" t="s">
        <v>1315</v>
      </c>
      <c r="K115" s="19" t="s">
        <v>1316</v>
      </c>
      <c r="L115" s="19" t="s">
        <v>1317</v>
      </c>
      <c r="M115" s="19" t="s">
        <v>1318</v>
      </c>
      <c r="N115" s="28" t="s">
        <v>1312</v>
      </c>
      <c r="O115" s="28" t="s">
        <v>54</v>
      </c>
      <c r="P115" s="19" t="s">
        <v>876</v>
      </c>
      <c r="Q115" s="19" t="s">
        <v>1319</v>
      </c>
      <c r="R115" s="21">
        <v>44047</v>
      </c>
      <c r="S115" s="21">
        <v>45874</v>
      </c>
      <c r="T115" s="24">
        <v>2350000</v>
      </c>
      <c r="U115" s="19">
        <v>25</v>
      </c>
      <c r="V115" s="25">
        <v>587500</v>
      </c>
      <c r="W115" s="25">
        <v>1762500</v>
      </c>
      <c r="X115" s="26">
        <v>3.75</v>
      </c>
      <c r="Y115" s="25">
        <v>66093.75</v>
      </c>
      <c r="Z115" s="19"/>
      <c r="AA115" s="28" t="s">
        <v>45</v>
      </c>
      <c r="AB115" s="23">
        <v>1141070243</v>
      </c>
      <c r="AC115" s="27">
        <v>45525</v>
      </c>
      <c r="AD115" s="28" t="s">
        <v>46</v>
      </c>
      <c r="AE115" s="28">
        <v>9</v>
      </c>
      <c r="AF115" s="29" t="s">
        <v>1313</v>
      </c>
      <c r="AG115" s="35">
        <v>66094</v>
      </c>
      <c r="AH115" s="31">
        <v>-0.25</v>
      </c>
    </row>
    <row r="116" spans="1:34" x14ac:dyDescent="0.25">
      <c r="A116" s="19" t="s">
        <v>490</v>
      </c>
      <c r="B116" s="19" t="s">
        <v>1320</v>
      </c>
      <c r="C116" s="20">
        <v>45474</v>
      </c>
      <c r="D116" s="19" t="s">
        <v>35</v>
      </c>
      <c r="E116" s="19" t="s">
        <v>1321</v>
      </c>
      <c r="F116" s="21">
        <v>45489</v>
      </c>
      <c r="G116" s="21">
        <v>45853</v>
      </c>
      <c r="H116" s="22" t="s">
        <v>1322</v>
      </c>
      <c r="I116" s="23">
        <v>3520290988987</v>
      </c>
      <c r="J116" s="22" t="s">
        <v>1323</v>
      </c>
      <c r="K116" s="19" t="s">
        <v>1324</v>
      </c>
      <c r="L116" s="19" t="s">
        <v>1325</v>
      </c>
      <c r="M116" s="19" t="s">
        <v>1326</v>
      </c>
      <c r="N116" s="19" t="s">
        <v>1320</v>
      </c>
      <c r="O116" s="28" t="s">
        <v>54</v>
      </c>
      <c r="P116" s="19" t="s">
        <v>81</v>
      </c>
      <c r="Q116" s="19" t="s">
        <v>1327</v>
      </c>
      <c r="R116" s="21">
        <v>44029</v>
      </c>
      <c r="S116" s="21">
        <v>45874</v>
      </c>
      <c r="T116" s="24">
        <v>1600000</v>
      </c>
      <c r="U116" s="19">
        <v>25</v>
      </c>
      <c r="V116" s="25">
        <v>400000</v>
      </c>
      <c r="W116" s="25">
        <v>1200000</v>
      </c>
      <c r="X116" s="26">
        <v>3.5</v>
      </c>
      <c r="Y116" s="25">
        <v>42000.000000000007</v>
      </c>
      <c r="Z116" s="19"/>
      <c r="AA116" s="28" t="s">
        <v>45</v>
      </c>
      <c r="AB116" s="23">
        <v>1141070243</v>
      </c>
      <c r="AC116" s="27">
        <v>45525</v>
      </c>
      <c r="AD116" s="28" t="s">
        <v>46</v>
      </c>
      <c r="AE116" s="28">
        <v>9</v>
      </c>
      <c r="AF116" s="29" t="s">
        <v>1321</v>
      </c>
      <c r="AG116" s="35">
        <v>42000</v>
      </c>
      <c r="AH116" s="31">
        <v>0</v>
      </c>
    </row>
    <row r="117" spans="1:34" x14ac:dyDescent="0.25">
      <c r="A117" s="19" t="s">
        <v>490</v>
      </c>
      <c r="B117" s="28" t="s">
        <v>1328</v>
      </c>
      <c r="C117" s="20">
        <v>45474</v>
      </c>
      <c r="D117" s="19" t="s">
        <v>35</v>
      </c>
      <c r="E117" s="19" t="s">
        <v>1329</v>
      </c>
      <c r="F117" s="21">
        <v>45503</v>
      </c>
      <c r="G117" s="21">
        <v>45867</v>
      </c>
      <c r="H117" s="22" t="s">
        <v>1330</v>
      </c>
      <c r="I117" s="23">
        <v>3230109193653</v>
      </c>
      <c r="J117" s="22" t="s">
        <v>1331</v>
      </c>
      <c r="K117" s="19" t="s">
        <v>1332</v>
      </c>
      <c r="L117" s="19" t="s">
        <v>1333</v>
      </c>
      <c r="M117" s="19" t="s">
        <v>1334</v>
      </c>
      <c r="N117" s="28" t="s">
        <v>1328</v>
      </c>
      <c r="O117" s="28" t="s">
        <v>54</v>
      </c>
      <c r="P117" s="19" t="s">
        <v>81</v>
      </c>
      <c r="Q117" s="19" t="s">
        <v>1335</v>
      </c>
      <c r="R117" s="21">
        <v>44046</v>
      </c>
      <c r="S117" s="21">
        <v>45874</v>
      </c>
      <c r="T117" s="24">
        <v>2100000</v>
      </c>
      <c r="U117" s="19">
        <v>25</v>
      </c>
      <c r="V117" s="25">
        <v>525000</v>
      </c>
      <c r="W117" s="25">
        <v>1575000</v>
      </c>
      <c r="X117" s="26">
        <v>3.75</v>
      </c>
      <c r="Y117" s="25">
        <v>59062.5</v>
      </c>
      <c r="Z117" s="19"/>
      <c r="AA117" s="28" t="s">
        <v>45</v>
      </c>
      <c r="AB117" s="23">
        <v>1141070243</v>
      </c>
      <c r="AC117" s="27">
        <v>45525</v>
      </c>
      <c r="AD117" s="28" t="s">
        <v>46</v>
      </c>
      <c r="AE117" s="28">
        <v>0</v>
      </c>
      <c r="AF117" s="29" t="s">
        <v>1329</v>
      </c>
      <c r="AG117" s="35">
        <v>59063</v>
      </c>
      <c r="AH117" s="31">
        <v>-0.5</v>
      </c>
    </row>
    <row r="118" spans="1:34" x14ac:dyDescent="0.25">
      <c r="A118" s="19" t="s">
        <v>490</v>
      </c>
      <c r="B118" s="19" t="s">
        <v>1336</v>
      </c>
      <c r="C118" s="20">
        <v>45474</v>
      </c>
      <c r="D118" s="19" t="s">
        <v>35</v>
      </c>
      <c r="E118" s="19" t="s">
        <v>1337</v>
      </c>
      <c r="F118" s="21">
        <v>45500</v>
      </c>
      <c r="G118" s="21">
        <v>45864</v>
      </c>
      <c r="H118" s="22" t="s">
        <v>1338</v>
      </c>
      <c r="I118" s="23">
        <v>3520303485823</v>
      </c>
      <c r="J118" s="22" t="s">
        <v>1339</v>
      </c>
      <c r="K118" s="19" t="s">
        <v>1340</v>
      </c>
      <c r="L118" s="19">
        <v>610439</v>
      </c>
      <c r="M118" s="19" t="s">
        <v>1341</v>
      </c>
      <c r="N118" s="19" t="s">
        <v>1336</v>
      </c>
      <c r="O118" s="28" t="s">
        <v>54</v>
      </c>
      <c r="P118" s="19" t="s">
        <v>81</v>
      </c>
      <c r="Q118" s="19" t="s">
        <v>1342</v>
      </c>
      <c r="R118" s="21">
        <v>45138</v>
      </c>
      <c r="S118" s="21">
        <v>46239</v>
      </c>
      <c r="T118" s="24">
        <v>965000</v>
      </c>
      <c r="U118" s="19">
        <v>10</v>
      </c>
      <c r="V118" s="25">
        <v>96500</v>
      </c>
      <c r="W118" s="25">
        <v>868500</v>
      </c>
      <c r="X118" s="26">
        <v>2</v>
      </c>
      <c r="Y118" s="25">
        <v>17370</v>
      </c>
      <c r="Z118" s="19"/>
      <c r="AA118" s="28" t="s">
        <v>45</v>
      </c>
      <c r="AB118" s="23">
        <v>1141070243</v>
      </c>
      <c r="AC118" s="27">
        <v>45525</v>
      </c>
      <c r="AD118" s="28" t="s">
        <v>46</v>
      </c>
      <c r="AE118" s="28">
        <v>0</v>
      </c>
      <c r="AF118" s="29" t="s">
        <v>1337</v>
      </c>
      <c r="AG118" s="35">
        <v>17370</v>
      </c>
      <c r="AH118" s="31">
        <v>0</v>
      </c>
    </row>
    <row r="119" spans="1:34" x14ac:dyDescent="0.25">
      <c r="A119" s="19" t="s">
        <v>490</v>
      </c>
      <c r="B119" s="19" t="s">
        <v>1343</v>
      </c>
      <c r="C119" s="20">
        <v>45474</v>
      </c>
      <c r="D119" s="19" t="s">
        <v>35</v>
      </c>
      <c r="E119" s="19" t="s">
        <v>1344</v>
      </c>
      <c r="F119" s="21">
        <v>45496</v>
      </c>
      <c r="G119" s="21">
        <v>45860</v>
      </c>
      <c r="H119" s="22" t="s">
        <v>1345</v>
      </c>
      <c r="I119" s="23">
        <v>3510134277533</v>
      </c>
      <c r="J119" s="22" t="s">
        <v>1346</v>
      </c>
      <c r="K119" s="19" t="s">
        <v>1347</v>
      </c>
      <c r="L119" s="19">
        <v>79753978</v>
      </c>
      <c r="M119" s="19" t="s">
        <v>1348</v>
      </c>
      <c r="N119" s="19" t="s">
        <v>1343</v>
      </c>
      <c r="O119" s="28" t="s">
        <v>54</v>
      </c>
      <c r="P119" s="19" t="s">
        <v>81</v>
      </c>
      <c r="Q119" s="19" t="s">
        <v>1349</v>
      </c>
      <c r="R119" s="21">
        <v>44047</v>
      </c>
      <c r="S119" s="21">
        <v>45874</v>
      </c>
      <c r="T119" s="24">
        <v>2000000</v>
      </c>
      <c r="U119" s="19">
        <v>25</v>
      </c>
      <c r="V119" s="25">
        <v>500000</v>
      </c>
      <c r="W119" s="25">
        <v>1500000</v>
      </c>
      <c r="X119" s="26">
        <v>3.3</v>
      </c>
      <c r="Y119" s="25">
        <v>49500</v>
      </c>
      <c r="Z119" s="19"/>
      <c r="AA119" s="28" t="s">
        <v>45</v>
      </c>
      <c r="AB119" s="23">
        <v>1141070243</v>
      </c>
      <c r="AC119" s="27">
        <v>45525</v>
      </c>
      <c r="AD119" s="28" t="s">
        <v>46</v>
      </c>
      <c r="AE119" s="28">
        <v>0</v>
      </c>
      <c r="AF119" s="29" t="s">
        <v>1344</v>
      </c>
      <c r="AG119" s="35">
        <v>49500</v>
      </c>
      <c r="AH119" s="31">
        <v>0</v>
      </c>
    </row>
    <row r="120" spans="1:34" x14ac:dyDescent="0.25">
      <c r="A120" s="19" t="s">
        <v>490</v>
      </c>
      <c r="B120" s="28" t="s">
        <v>1350</v>
      </c>
      <c r="C120" s="20">
        <v>45474</v>
      </c>
      <c r="D120" s="19" t="s">
        <v>35</v>
      </c>
      <c r="E120" s="19" t="s">
        <v>1351</v>
      </c>
      <c r="F120" s="21">
        <v>45504</v>
      </c>
      <c r="G120" s="21">
        <v>45868</v>
      </c>
      <c r="H120" s="22" t="s">
        <v>1352</v>
      </c>
      <c r="I120" s="23">
        <v>3520224804153</v>
      </c>
      <c r="J120" s="22" t="s">
        <v>1353</v>
      </c>
      <c r="K120" s="19" t="s">
        <v>1354</v>
      </c>
      <c r="L120" s="19">
        <v>7444145</v>
      </c>
      <c r="M120" s="19" t="s">
        <v>1355</v>
      </c>
      <c r="N120" s="28" t="s">
        <v>1350</v>
      </c>
      <c r="O120" s="28" t="s">
        <v>54</v>
      </c>
      <c r="P120" s="19" t="s">
        <v>1356</v>
      </c>
      <c r="Q120" s="19" t="s">
        <v>1357</v>
      </c>
      <c r="R120" s="21">
        <v>44049</v>
      </c>
      <c r="S120" s="21">
        <v>45874</v>
      </c>
      <c r="T120" s="24">
        <v>1600000</v>
      </c>
      <c r="U120" s="19">
        <v>25</v>
      </c>
      <c r="V120" s="25">
        <v>400000</v>
      </c>
      <c r="W120" s="25">
        <v>1200000</v>
      </c>
      <c r="X120" s="26">
        <v>3.3</v>
      </c>
      <c r="Y120" s="25">
        <v>39600</v>
      </c>
      <c r="Z120" s="19"/>
      <c r="AA120" s="28" t="s">
        <v>45</v>
      </c>
      <c r="AB120" s="23">
        <v>1141070243</v>
      </c>
      <c r="AC120" s="27">
        <v>45525</v>
      </c>
      <c r="AD120" s="28" t="s">
        <v>46</v>
      </c>
      <c r="AE120" s="28">
        <v>0</v>
      </c>
      <c r="AF120" s="29" t="s">
        <v>1351</v>
      </c>
      <c r="AG120" s="35">
        <v>39600</v>
      </c>
      <c r="AH120" s="31">
        <v>0</v>
      </c>
    </row>
    <row r="121" spans="1:34" x14ac:dyDescent="0.25">
      <c r="A121" s="19" t="s">
        <v>490</v>
      </c>
      <c r="B121" s="19" t="s">
        <v>1358</v>
      </c>
      <c r="C121" s="20">
        <v>45474</v>
      </c>
      <c r="D121" s="19" t="s">
        <v>35</v>
      </c>
      <c r="E121" s="19" t="s">
        <v>1359</v>
      </c>
      <c r="F121" s="21">
        <v>45504</v>
      </c>
      <c r="G121" s="21">
        <v>45868</v>
      </c>
      <c r="H121" s="22" t="s">
        <v>1360</v>
      </c>
      <c r="I121" s="23">
        <v>3520250915793</v>
      </c>
      <c r="J121" s="22" t="s">
        <v>1315</v>
      </c>
      <c r="K121" s="19" t="s">
        <v>1361</v>
      </c>
      <c r="L121" s="19">
        <v>521977</v>
      </c>
      <c r="M121" s="19" t="s">
        <v>1362</v>
      </c>
      <c r="N121" s="19" t="s">
        <v>1358</v>
      </c>
      <c r="O121" s="28" t="s">
        <v>54</v>
      </c>
      <c r="P121" s="19" t="s">
        <v>81</v>
      </c>
      <c r="Q121" s="19" t="s">
        <v>1363</v>
      </c>
      <c r="R121" s="21">
        <v>45139</v>
      </c>
      <c r="S121" s="21">
        <v>46239</v>
      </c>
      <c r="T121" s="24">
        <v>3500000</v>
      </c>
      <c r="U121" s="19">
        <v>10</v>
      </c>
      <c r="V121" s="25">
        <v>350000</v>
      </c>
      <c r="W121" s="25">
        <v>3150000</v>
      </c>
      <c r="X121" s="26">
        <v>1.5</v>
      </c>
      <c r="Y121" s="25">
        <v>47250</v>
      </c>
      <c r="Z121" s="19"/>
      <c r="AA121" s="28" t="s">
        <v>45</v>
      </c>
      <c r="AB121" s="23">
        <v>1141070243</v>
      </c>
      <c r="AC121" s="27">
        <v>45525</v>
      </c>
      <c r="AD121" s="28" t="s">
        <v>46</v>
      </c>
      <c r="AE121" s="28">
        <v>9</v>
      </c>
      <c r="AF121" s="29" t="s">
        <v>1359</v>
      </c>
      <c r="AG121" s="35">
        <v>47250</v>
      </c>
      <c r="AH121" s="31">
        <v>0</v>
      </c>
    </row>
    <row r="122" spans="1:34" x14ac:dyDescent="0.25">
      <c r="A122" s="19" t="s">
        <v>490</v>
      </c>
      <c r="B122" s="19" t="s">
        <v>1364</v>
      </c>
      <c r="C122" s="20">
        <v>45474</v>
      </c>
      <c r="D122" s="19" t="s">
        <v>35</v>
      </c>
      <c r="E122" s="19" t="s">
        <v>1365</v>
      </c>
      <c r="F122" s="21">
        <v>45504</v>
      </c>
      <c r="G122" s="21">
        <v>45868</v>
      </c>
      <c r="H122" s="22" t="s">
        <v>1366</v>
      </c>
      <c r="I122" s="23">
        <v>3520164274229</v>
      </c>
      <c r="J122" s="22" t="s">
        <v>405</v>
      </c>
      <c r="K122" s="19" t="s">
        <v>1367</v>
      </c>
      <c r="L122" s="19">
        <v>146701</v>
      </c>
      <c r="M122" s="19" t="s">
        <v>1368</v>
      </c>
      <c r="N122" s="19" t="s">
        <v>1364</v>
      </c>
      <c r="O122" s="28" t="s">
        <v>54</v>
      </c>
      <c r="P122" s="19" t="s">
        <v>81</v>
      </c>
      <c r="Q122" s="19" t="s">
        <v>1369</v>
      </c>
      <c r="R122" s="21">
        <v>45139</v>
      </c>
      <c r="S122" s="21">
        <v>46239</v>
      </c>
      <c r="T122" s="24">
        <v>2500000</v>
      </c>
      <c r="U122" s="19">
        <v>10</v>
      </c>
      <c r="V122" s="25">
        <v>250000</v>
      </c>
      <c r="W122" s="25">
        <v>2250000</v>
      </c>
      <c r="X122" s="26">
        <v>2</v>
      </c>
      <c r="Y122" s="25">
        <v>45000</v>
      </c>
      <c r="Z122" s="19"/>
      <c r="AA122" s="28" t="s">
        <v>45</v>
      </c>
      <c r="AB122" s="23">
        <v>1141070243</v>
      </c>
      <c r="AC122" s="27">
        <v>45525</v>
      </c>
      <c r="AD122" s="28" t="s">
        <v>46</v>
      </c>
      <c r="AE122" s="28">
        <v>0</v>
      </c>
      <c r="AF122" s="29" t="s">
        <v>1365</v>
      </c>
      <c r="AG122" s="35">
        <v>45000</v>
      </c>
      <c r="AH122" s="31">
        <v>0</v>
      </c>
    </row>
    <row r="123" spans="1:34" x14ac:dyDescent="0.25">
      <c r="A123" s="19" t="s">
        <v>490</v>
      </c>
      <c r="B123" s="19" t="s">
        <v>1370</v>
      </c>
      <c r="C123" s="20">
        <v>45474</v>
      </c>
      <c r="D123" s="19" t="s">
        <v>35</v>
      </c>
      <c r="E123" s="19" t="s">
        <v>1371</v>
      </c>
      <c r="F123" s="21">
        <v>45482</v>
      </c>
      <c r="G123" s="21">
        <v>45846</v>
      </c>
      <c r="H123" s="22" t="s">
        <v>1372</v>
      </c>
      <c r="I123" s="23">
        <v>3220242428906</v>
      </c>
      <c r="J123" s="22" t="s">
        <v>525</v>
      </c>
      <c r="K123" s="19" t="s">
        <v>1373</v>
      </c>
      <c r="L123" s="19">
        <v>12900646</v>
      </c>
      <c r="M123" s="19" t="s">
        <v>1374</v>
      </c>
      <c r="N123" s="19" t="s">
        <v>1370</v>
      </c>
      <c r="O123" s="28" t="s">
        <v>54</v>
      </c>
      <c r="P123" s="19" t="s">
        <v>81</v>
      </c>
      <c r="Q123" s="19" t="s">
        <v>1375</v>
      </c>
      <c r="R123" s="21">
        <v>44026</v>
      </c>
      <c r="S123" s="21">
        <v>45843</v>
      </c>
      <c r="T123" s="24">
        <v>2600000</v>
      </c>
      <c r="U123" s="19">
        <v>25</v>
      </c>
      <c r="V123" s="25">
        <v>650000</v>
      </c>
      <c r="W123" s="25">
        <v>1950000</v>
      </c>
      <c r="X123" s="26">
        <v>3.3</v>
      </c>
      <c r="Y123" s="25">
        <v>64350</v>
      </c>
      <c r="Z123" s="19"/>
      <c r="AA123" s="28" t="s">
        <v>45</v>
      </c>
      <c r="AB123" s="23">
        <v>1141070243</v>
      </c>
      <c r="AC123" s="27">
        <v>45525</v>
      </c>
      <c r="AD123" s="28" t="s">
        <v>46</v>
      </c>
      <c r="AE123" s="28">
        <v>9</v>
      </c>
      <c r="AF123" s="29" t="s">
        <v>1371</v>
      </c>
      <c r="AG123" s="35">
        <v>64350</v>
      </c>
      <c r="AH123" s="31">
        <v>0</v>
      </c>
    </row>
    <row r="124" spans="1:34" x14ac:dyDescent="0.25">
      <c r="A124" s="19" t="s">
        <v>490</v>
      </c>
      <c r="B124" s="19" t="s">
        <v>1376</v>
      </c>
      <c r="C124" s="20">
        <v>45474</v>
      </c>
      <c r="D124" s="19" t="s">
        <v>35</v>
      </c>
      <c r="E124" s="19" t="s">
        <v>1377</v>
      </c>
      <c r="F124" s="21">
        <v>45496</v>
      </c>
      <c r="G124" s="21">
        <v>45860</v>
      </c>
      <c r="H124" s="22" t="s">
        <v>1378</v>
      </c>
      <c r="I124" s="23">
        <v>3520014791003</v>
      </c>
      <c r="J124" s="22" t="s">
        <v>846</v>
      </c>
      <c r="K124" s="19" t="s">
        <v>1379</v>
      </c>
      <c r="L124" s="19">
        <v>107195</v>
      </c>
      <c r="M124" s="19" t="s">
        <v>1380</v>
      </c>
      <c r="N124" s="19" t="s">
        <v>1376</v>
      </c>
      <c r="O124" s="28" t="s">
        <v>54</v>
      </c>
      <c r="P124" s="19" t="s">
        <v>1381</v>
      </c>
      <c r="Q124" s="19" t="s">
        <v>1382</v>
      </c>
      <c r="R124" s="21">
        <v>43677</v>
      </c>
      <c r="S124" s="21">
        <v>46239</v>
      </c>
      <c r="T124" s="24">
        <v>1295000</v>
      </c>
      <c r="U124" s="19">
        <v>30</v>
      </c>
      <c r="V124" s="25">
        <v>388500</v>
      </c>
      <c r="W124" s="25">
        <v>906500</v>
      </c>
      <c r="X124" s="26">
        <v>3.75</v>
      </c>
      <c r="Y124" s="25">
        <v>33993.75</v>
      </c>
      <c r="Z124" s="19"/>
      <c r="AA124" s="28" t="s">
        <v>45</v>
      </c>
      <c r="AB124" s="23">
        <v>1141070243</v>
      </c>
      <c r="AC124" s="27">
        <v>45525</v>
      </c>
      <c r="AD124" s="28" t="s">
        <v>46</v>
      </c>
      <c r="AE124" s="28">
        <v>0</v>
      </c>
      <c r="AF124" s="29" t="s">
        <v>1377</v>
      </c>
      <c r="AG124" s="35">
        <v>33994</v>
      </c>
      <c r="AH124" s="31">
        <v>-0.25</v>
      </c>
    </row>
    <row r="125" spans="1:34" x14ac:dyDescent="0.25">
      <c r="A125" s="19" t="s">
        <v>490</v>
      </c>
      <c r="B125" s="28" t="s">
        <v>1383</v>
      </c>
      <c r="C125" s="20">
        <v>45474</v>
      </c>
      <c r="D125" s="19" t="s">
        <v>35</v>
      </c>
      <c r="E125" s="19" t="s">
        <v>1384</v>
      </c>
      <c r="F125" s="21">
        <v>45496</v>
      </c>
      <c r="G125" s="21">
        <v>45860</v>
      </c>
      <c r="H125" s="22" t="s">
        <v>1385</v>
      </c>
      <c r="I125" s="23">
        <v>3660303635783</v>
      </c>
      <c r="J125" s="22" t="s">
        <v>148</v>
      </c>
      <c r="K125" s="19" t="s">
        <v>1386</v>
      </c>
      <c r="L125" s="19" t="s">
        <v>1387</v>
      </c>
      <c r="M125" s="19" t="s">
        <v>1388</v>
      </c>
      <c r="N125" s="28" t="s">
        <v>1383</v>
      </c>
      <c r="O125" s="28" t="s">
        <v>54</v>
      </c>
      <c r="P125" s="19" t="s">
        <v>152</v>
      </c>
      <c r="Q125" s="19" t="s">
        <v>1389</v>
      </c>
      <c r="R125" s="21">
        <v>44047</v>
      </c>
      <c r="S125" s="21">
        <v>45874</v>
      </c>
      <c r="T125" s="24">
        <v>1865000</v>
      </c>
      <c r="U125" s="19">
        <v>25</v>
      </c>
      <c r="V125" s="25">
        <v>466250</v>
      </c>
      <c r="W125" s="25">
        <v>1398750</v>
      </c>
      <c r="X125" s="26">
        <v>3.75</v>
      </c>
      <c r="Y125" s="25">
        <v>52453.125</v>
      </c>
      <c r="Z125" s="19"/>
      <c r="AA125" s="28" t="s">
        <v>45</v>
      </c>
      <c r="AB125" s="23">
        <v>1141070243</v>
      </c>
      <c r="AC125" s="27">
        <v>45525</v>
      </c>
      <c r="AD125" s="28" t="s">
        <v>46</v>
      </c>
      <c r="AE125" s="28">
        <v>0</v>
      </c>
      <c r="AF125" s="29" t="s">
        <v>1384</v>
      </c>
      <c r="AG125" s="35">
        <v>52453</v>
      </c>
      <c r="AH125" s="31">
        <v>0.125</v>
      </c>
    </row>
    <row r="126" spans="1:34" x14ac:dyDescent="0.25">
      <c r="A126" s="19" t="s">
        <v>490</v>
      </c>
      <c r="B126" s="19" t="s">
        <v>1390</v>
      </c>
      <c r="C126" s="20">
        <v>45474</v>
      </c>
      <c r="D126" s="19" t="s">
        <v>35</v>
      </c>
      <c r="E126" s="19" t="s">
        <v>1391</v>
      </c>
      <c r="F126" s="21">
        <v>45498</v>
      </c>
      <c r="G126" s="21">
        <v>45862</v>
      </c>
      <c r="H126" s="22" t="s">
        <v>1392</v>
      </c>
      <c r="I126" s="23">
        <v>3740524389987</v>
      </c>
      <c r="J126" s="22" t="s">
        <v>1339</v>
      </c>
      <c r="K126" s="19" t="s">
        <v>1393</v>
      </c>
      <c r="L126" s="19">
        <v>730361</v>
      </c>
      <c r="M126" s="19" t="s">
        <v>1394</v>
      </c>
      <c r="N126" s="19" t="s">
        <v>1390</v>
      </c>
      <c r="O126" s="19" t="s">
        <v>161</v>
      </c>
      <c r="P126" s="19" t="s">
        <v>1395</v>
      </c>
      <c r="Q126" s="19" t="s">
        <v>1396</v>
      </c>
      <c r="R126" s="21">
        <v>45138</v>
      </c>
      <c r="S126" s="21">
        <v>46970</v>
      </c>
      <c r="T126" s="24">
        <v>1350000</v>
      </c>
      <c r="U126" s="19">
        <v>10</v>
      </c>
      <c r="V126" s="25">
        <v>135000</v>
      </c>
      <c r="W126" s="25">
        <v>1215000</v>
      </c>
      <c r="X126" s="26">
        <v>2</v>
      </c>
      <c r="Y126" s="25">
        <v>24300</v>
      </c>
      <c r="Z126" s="19"/>
      <c r="AA126" s="28" t="s">
        <v>45</v>
      </c>
      <c r="AB126" s="23">
        <v>1141070243</v>
      </c>
      <c r="AC126" s="27">
        <v>45525</v>
      </c>
      <c r="AD126" s="28" t="s">
        <v>46</v>
      </c>
      <c r="AE126" s="28">
        <v>9</v>
      </c>
      <c r="AF126" s="29" t="s">
        <v>1391</v>
      </c>
      <c r="AG126" s="35">
        <v>24300</v>
      </c>
      <c r="AH126" s="31">
        <v>0</v>
      </c>
    </row>
    <row r="127" spans="1:34" x14ac:dyDescent="0.25">
      <c r="A127" s="19" t="s">
        <v>490</v>
      </c>
      <c r="B127" s="19" t="s">
        <v>1397</v>
      </c>
      <c r="C127" s="20">
        <v>45474</v>
      </c>
      <c r="D127" s="19" t="s">
        <v>35</v>
      </c>
      <c r="E127" s="19" t="s">
        <v>1398</v>
      </c>
      <c r="F127" s="21">
        <v>45477</v>
      </c>
      <c r="G127" s="21">
        <v>45841</v>
      </c>
      <c r="H127" s="22" t="s">
        <v>753</v>
      </c>
      <c r="I127" s="23">
        <v>3520240093987</v>
      </c>
      <c r="J127" s="22" t="s">
        <v>249</v>
      </c>
      <c r="K127" s="36" t="s">
        <v>1399</v>
      </c>
      <c r="L127" s="19">
        <v>237819</v>
      </c>
      <c r="M127" s="19" t="s">
        <v>1400</v>
      </c>
      <c r="N127" s="19" t="s">
        <v>1397</v>
      </c>
      <c r="O127" s="28" t="s">
        <v>54</v>
      </c>
      <c r="P127" s="19" t="s">
        <v>849</v>
      </c>
      <c r="Q127" s="19" t="s">
        <v>1401</v>
      </c>
      <c r="R127" s="21">
        <v>44755</v>
      </c>
      <c r="S127" s="21">
        <v>46573</v>
      </c>
      <c r="T127" s="24">
        <v>2129000</v>
      </c>
      <c r="U127" s="19">
        <v>15</v>
      </c>
      <c r="V127" s="25">
        <v>319350</v>
      </c>
      <c r="W127" s="25">
        <v>1809650</v>
      </c>
      <c r="X127" s="26">
        <v>2.5</v>
      </c>
      <c r="Y127" s="25">
        <v>45241.25</v>
      </c>
      <c r="Z127" s="19"/>
      <c r="AA127" s="28" t="s">
        <v>45</v>
      </c>
      <c r="AB127" s="23">
        <v>1141070243</v>
      </c>
      <c r="AC127" s="27">
        <v>45525</v>
      </c>
      <c r="AD127" s="28" t="s">
        <v>46</v>
      </c>
      <c r="AE127" s="28">
        <v>0</v>
      </c>
      <c r="AF127" s="29" t="s">
        <v>1398</v>
      </c>
      <c r="AG127" s="35">
        <v>45241</v>
      </c>
      <c r="AH127" s="31">
        <v>0.25</v>
      </c>
    </row>
    <row r="128" spans="1:34" x14ac:dyDescent="0.25">
      <c r="A128" s="19" t="s">
        <v>490</v>
      </c>
      <c r="B128" s="19" t="s">
        <v>1402</v>
      </c>
      <c r="C128" s="20">
        <v>45474</v>
      </c>
      <c r="D128" s="19" t="s">
        <v>35</v>
      </c>
      <c r="E128" s="19" t="s">
        <v>1403</v>
      </c>
      <c r="F128" s="21">
        <v>45477</v>
      </c>
      <c r="G128" s="21">
        <v>45841</v>
      </c>
      <c r="H128" s="22" t="s">
        <v>1404</v>
      </c>
      <c r="I128" s="23" t="s">
        <v>1405</v>
      </c>
      <c r="J128" s="22" t="s">
        <v>111</v>
      </c>
      <c r="K128" s="36" t="s">
        <v>1406</v>
      </c>
      <c r="L128" s="19">
        <v>238928</v>
      </c>
      <c r="M128" s="19" t="s">
        <v>1407</v>
      </c>
      <c r="N128" s="19" t="s">
        <v>1402</v>
      </c>
      <c r="O128" s="28" t="s">
        <v>54</v>
      </c>
      <c r="P128" s="19" t="s">
        <v>1408</v>
      </c>
      <c r="Q128" s="19" t="s">
        <v>1409</v>
      </c>
      <c r="R128" s="21">
        <v>44748</v>
      </c>
      <c r="S128" s="21">
        <v>46573</v>
      </c>
      <c r="T128" s="24">
        <v>1546000</v>
      </c>
      <c r="U128" s="19">
        <v>15</v>
      </c>
      <c r="V128" s="25">
        <v>231900</v>
      </c>
      <c r="W128" s="25">
        <v>1314100</v>
      </c>
      <c r="X128" s="26">
        <v>1.75</v>
      </c>
      <c r="Y128" s="25">
        <v>22996.750000000004</v>
      </c>
      <c r="Z128" s="19"/>
      <c r="AA128" s="28" t="s">
        <v>45</v>
      </c>
      <c r="AB128" s="23">
        <v>1141070243</v>
      </c>
      <c r="AC128" s="27">
        <v>45525</v>
      </c>
      <c r="AD128" s="28" t="s">
        <v>46</v>
      </c>
      <c r="AE128" s="28">
        <v>0</v>
      </c>
      <c r="AF128" s="29" t="s">
        <v>1403</v>
      </c>
      <c r="AG128" s="35">
        <v>22997</v>
      </c>
      <c r="AH128" s="31">
        <v>-0.24999999999636202</v>
      </c>
    </row>
    <row r="129" spans="1:34" x14ac:dyDescent="0.25">
      <c r="A129" s="19" t="s">
        <v>490</v>
      </c>
      <c r="B129" s="19" t="s">
        <v>1410</v>
      </c>
      <c r="C129" s="20">
        <v>45474</v>
      </c>
      <c r="D129" s="19" t="s">
        <v>35</v>
      </c>
      <c r="E129" s="19" t="s">
        <v>1411</v>
      </c>
      <c r="F129" s="21">
        <v>45479</v>
      </c>
      <c r="G129" s="21">
        <v>45843</v>
      </c>
      <c r="H129" s="22" t="s">
        <v>1412</v>
      </c>
      <c r="I129" s="23">
        <v>6110183090463</v>
      </c>
      <c r="J129" s="22" t="s">
        <v>1413</v>
      </c>
      <c r="K129" s="36" t="s">
        <v>1414</v>
      </c>
      <c r="L129" s="19">
        <v>198695</v>
      </c>
      <c r="M129" s="19" t="s">
        <v>1415</v>
      </c>
      <c r="N129" s="19" t="s">
        <v>1410</v>
      </c>
      <c r="O129" s="19" t="s">
        <v>161</v>
      </c>
      <c r="P129" s="19" t="s">
        <v>162</v>
      </c>
      <c r="Q129" s="19" t="s">
        <v>1416</v>
      </c>
      <c r="R129" s="21">
        <v>44755</v>
      </c>
      <c r="S129" s="21">
        <v>46573</v>
      </c>
      <c r="T129" s="24">
        <v>2330000</v>
      </c>
      <c r="U129" s="19">
        <v>15</v>
      </c>
      <c r="V129" s="25">
        <v>349500</v>
      </c>
      <c r="W129" s="25">
        <v>1980500</v>
      </c>
      <c r="X129" s="26">
        <v>2</v>
      </c>
      <c r="Y129" s="25">
        <v>39610</v>
      </c>
      <c r="Z129" s="19"/>
      <c r="AA129" s="28" t="s">
        <v>45</v>
      </c>
      <c r="AB129" s="23">
        <v>1141070243</v>
      </c>
      <c r="AC129" s="27">
        <v>45525</v>
      </c>
      <c r="AD129" s="28" t="s">
        <v>46</v>
      </c>
      <c r="AE129" s="28">
        <v>9</v>
      </c>
      <c r="AF129" s="29" t="s">
        <v>1411</v>
      </c>
      <c r="AG129" s="30">
        <v>39610</v>
      </c>
      <c r="AH129" s="31">
        <v>0</v>
      </c>
    </row>
    <row r="130" spans="1:34" x14ac:dyDescent="0.25">
      <c r="A130" s="19" t="s">
        <v>490</v>
      </c>
      <c r="B130" s="19" t="s">
        <v>1417</v>
      </c>
      <c r="C130" s="20">
        <v>45474</v>
      </c>
      <c r="D130" s="19" t="s">
        <v>35</v>
      </c>
      <c r="E130" s="19" t="s">
        <v>1418</v>
      </c>
      <c r="F130" s="21">
        <v>45479</v>
      </c>
      <c r="G130" s="21">
        <v>45843</v>
      </c>
      <c r="H130" s="22" t="s">
        <v>1419</v>
      </c>
      <c r="I130" s="23">
        <v>3630294119325</v>
      </c>
      <c r="J130" s="22" t="s">
        <v>846</v>
      </c>
      <c r="K130" s="36" t="s">
        <v>1420</v>
      </c>
      <c r="L130" s="19">
        <v>240904</v>
      </c>
      <c r="M130" s="19" t="s">
        <v>1421</v>
      </c>
      <c r="N130" s="19" t="s">
        <v>1417</v>
      </c>
      <c r="O130" s="28" t="s">
        <v>54</v>
      </c>
      <c r="P130" s="19" t="s">
        <v>849</v>
      </c>
      <c r="Q130" s="19" t="s">
        <v>1422</v>
      </c>
      <c r="R130" s="21">
        <v>44760</v>
      </c>
      <c r="S130" s="21">
        <v>45874</v>
      </c>
      <c r="T130" s="24">
        <v>1546000</v>
      </c>
      <c r="U130" s="19">
        <v>15</v>
      </c>
      <c r="V130" s="25">
        <v>231900</v>
      </c>
      <c r="W130" s="25">
        <v>1314100</v>
      </c>
      <c r="X130" s="26">
        <v>2.5</v>
      </c>
      <c r="Y130" s="25">
        <v>32852.5</v>
      </c>
      <c r="Z130" s="19"/>
      <c r="AA130" s="28" t="s">
        <v>45</v>
      </c>
      <c r="AB130" s="23">
        <v>1141070243</v>
      </c>
      <c r="AC130" s="27">
        <v>45525</v>
      </c>
      <c r="AD130" s="28" t="s">
        <v>46</v>
      </c>
      <c r="AE130" s="28">
        <v>0</v>
      </c>
      <c r="AF130" s="29" t="s">
        <v>1418</v>
      </c>
      <c r="AG130" s="30">
        <v>32853</v>
      </c>
      <c r="AH130" s="31">
        <v>-0.5</v>
      </c>
    </row>
    <row r="131" spans="1:34" x14ac:dyDescent="0.25">
      <c r="A131" s="19" t="s">
        <v>490</v>
      </c>
      <c r="B131" s="19" t="s">
        <v>1423</v>
      </c>
      <c r="C131" s="20">
        <v>45474</v>
      </c>
      <c r="D131" s="19" t="s">
        <v>35</v>
      </c>
      <c r="E131" s="19" t="s">
        <v>1424</v>
      </c>
      <c r="F131" s="21">
        <v>45479</v>
      </c>
      <c r="G131" s="21">
        <v>45843</v>
      </c>
      <c r="H131" s="22" t="s">
        <v>1425</v>
      </c>
      <c r="I131" s="23">
        <v>3840320625565</v>
      </c>
      <c r="J131" s="22" t="s">
        <v>608</v>
      </c>
      <c r="K131" s="36" t="s">
        <v>1426</v>
      </c>
      <c r="L131" s="19">
        <v>501915</v>
      </c>
      <c r="M131" s="19" t="s">
        <v>1427</v>
      </c>
      <c r="N131" s="19" t="s">
        <v>1423</v>
      </c>
      <c r="O131" s="28" t="s">
        <v>54</v>
      </c>
      <c r="P131" s="19" t="s">
        <v>81</v>
      </c>
      <c r="Q131" s="19" t="s">
        <v>1428</v>
      </c>
      <c r="R131" s="21">
        <v>44760</v>
      </c>
      <c r="S131" s="21">
        <v>47336</v>
      </c>
      <c r="T131" s="24">
        <v>2219000</v>
      </c>
      <c r="U131" s="19">
        <v>15</v>
      </c>
      <c r="V131" s="25">
        <v>332850</v>
      </c>
      <c r="W131" s="25">
        <v>1886150</v>
      </c>
      <c r="X131" s="26">
        <v>1.75</v>
      </c>
      <c r="Y131" s="25">
        <v>33007.625</v>
      </c>
      <c r="Z131" s="19"/>
      <c r="AA131" s="28" t="s">
        <v>45</v>
      </c>
      <c r="AB131" s="23">
        <v>1141070243</v>
      </c>
      <c r="AC131" s="27">
        <v>45525</v>
      </c>
      <c r="AD131" s="28" t="s">
        <v>46</v>
      </c>
      <c r="AE131" s="28">
        <v>0</v>
      </c>
      <c r="AF131" s="29" t="s">
        <v>1424</v>
      </c>
      <c r="AG131" s="30">
        <v>33008</v>
      </c>
      <c r="AH131" s="31">
        <v>-0.375</v>
      </c>
    </row>
    <row r="132" spans="1:34" x14ac:dyDescent="0.25">
      <c r="A132" s="19" t="s">
        <v>490</v>
      </c>
      <c r="B132" s="19" t="s">
        <v>1429</v>
      </c>
      <c r="C132" s="20">
        <v>45474</v>
      </c>
      <c r="D132" s="19" t="s">
        <v>35</v>
      </c>
      <c r="E132" s="19" t="s">
        <v>1430</v>
      </c>
      <c r="F132" s="21">
        <v>45480</v>
      </c>
      <c r="G132" s="21">
        <v>45844</v>
      </c>
      <c r="H132" s="22" t="s">
        <v>1431</v>
      </c>
      <c r="I132" s="23">
        <v>3520149712639</v>
      </c>
      <c r="J132" s="22" t="s">
        <v>111</v>
      </c>
      <c r="K132" s="36" t="s">
        <v>1432</v>
      </c>
      <c r="L132" s="19" t="s">
        <v>1433</v>
      </c>
      <c r="M132" s="19" t="s">
        <v>1434</v>
      </c>
      <c r="N132" s="19" t="s">
        <v>1429</v>
      </c>
      <c r="O132" s="28" t="s">
        <v>54</v>
      </c>
      <c r="P132" s="19" t="s">
        <v>81</v>
      </c>
      <c r="Q132" s="19" t="s">
        <v>1435</v>
      </c>
      <c r="R132" s="21">
        <v>44768</v>
      </c>
      <c r="S132" s="21">
        <v>46604</v>
      </c>
      <c r="T132" s="24">
        <v>1306000</v>
      </c>
      <c r="U132" s="19">
        <v>15</v>
      </c>
      <c r="V132" s="25">
        <v>195900</v>
      </c>
      <c r="W132" s="25">
        <v>1110100</v>
      </c>
      <c r="X132" s="26">
        <v>1.75</v>
      </c>
      <c r="Y132" s="25">
        <v>19426.750000000004</v>
      </c>
      <c r="Z132" s="19"/>
      <c r="AA132" s="28" t="s">
        <v>45</v>
      </c>
      <c r="AB132" s="23">
        <v>1141070243</v>
      </c>
      <c r="AC132" s="27">
        <v>45525</v>
      </c>
      <c r="AD132" s="28" t="s">
        <v>46</v>
      </c>
      <c r="AE132" s="28">
        <v>9</v>
      </c>
      <c r="AF132" s="29" t="s">
        <v>1430</v>
      </c>
      <c r="AG132" s="30">
        <v>19427</v>
      </c>
      <c r="AH132" s="31">
        <v>-0.24999999999636202</v>
      </c>
    </row>
    <row r="133" spans="1:34" x14ac:dyDescent="0.25">
      <c r="A133" s="19" t="s">
        <v>490</v>
      </c>
      <c r="B133" s="19" t="s">
        <v>1436</v>
      </c>
      <c r="C133" s="20">
        <v>45474</v>
      </c>
      <c r="D133" s="19" t="s">
        <v>35</v>
      </c>
      <c r="E133" s="19" t="s">
        <v>1437</v>
      </c>
      <c r="F133" s="21">
        <v>45491</v>
      </c>
      <c r="G133" s="21">
        <v>45855</v>
      </c>
      <c r="H133" s="22" t="s">
        <v>1438</v>
      </c>
      <c r="I133" s="23" t="s">
        <v>1439</v>
      </c>
      <c r="J133" s="22" t="s">
        <v>608</v>
      </c>
      <c r="K133" s="36" t="s">
        <v>1440</v>
      </c>
      <c r="L133" s="19">
        <v>506457</v>
      </c>
      <c r="M133" s="19" t="s">
        <v>1441</v>
      </c>
      <c r="N133" s="19" t="s">
        <v>1436</v>
      </c>
      <c r="O133" s="28" t="s">
        <v>54</v>
      </c>
      <c r="P133" s="19" t="s">
        <v>81</v>
      </c>
      <c r="Q133" s="19" t="s">
        <v>1442</v>
      </c>
      <c r="R133" s="21">
        <v>44762</v>
      </c>
      <c r="S133" s="21">
        <v>46604</v>
      </c>
      <c r="T133" s="24">
        <v>2219000</v>
      </c>
      <c r="U133" s="19">
        <v>15</v>
      </c>
      <c r="V133" s="25">
        <v>332850</v>
      </c>
      <c r="W133" s="25">
        <v>1886150</v>
      </c>
      <c r="X133" s="26">
        <v>1.75</v>
      </c>
      <c r="Y133" s="25">
        <v>33007.625</v>
      </c>
      <c r="Z133" s="19"/>
      <c r="AA133" s="28" t="s">
        <v>45</v>
      </c>
      <c r="AB133" s="23">
        <v>1141070243</v>
      </c>
      <c r="AC133" s="27">
        <v>45525</v>
      </c>
      <c r="AD133" s="28" t="s">
        <v>46</v>
      </c>
      <c r="AE133" s="28">
        <v>9</v>
      </c>
      <c r="AF133" s="29" t="s">
        <v>1437</v>
      </c>
      <c r="AG133" s="30">
        <v>33008</v>
      </c>
      <c r="AH133" s="31">
        <v>-0.375</v>
      </c>
    </row>
    <row r="134" spans="1:34" x14ac:dyDescent="0.25">
      <c r="A134" s="19" t="s">
        <v>490</v>
      </c>
      <c r="B134" s="19" t="s">
        <v>1443</v>
      </c>
      <c r="C134" s="20">
        <v>45474</v>
      </c>
      <c r="D134" s="19" t="s">
        <v>35</v>
      </c>
      <c r="E134" s="19" t="s">
        <v>1444</v>
      </c>
      <c r="F134" s="21">
        <v>45495</v>
      </c>
      <c r="G134" s="21">
        <v>45859</v>
      </c>
      <c r="H134" s="22" t="s">
        <v>1445</v>
      </c>
      <c r="I134" s="23">
        <v>3520235947253</v>
      </c>
      <c r="J134" s="22" t="s">
        <v>1208</v>
      </c>
      <c r="K134" s="36" t="s">
        <v>1446</v>
      </c>
      <c r="L134" s="19">
        <v>20832</v>
      </c>
      <c r="M134" s="19" t="s">
        <v>1447</v>
      </c>
      <c r="N134" s="19" t="s">
        <v>1443</v>
      </c>
      <c r="O134" s="28" t="s">
        <v>54</v>
      </c>
      <c r="P134" s="19" t="s">
        <v>81</v>
      </c>
      <c r="Q134" s="19" t="s">
        <v>1448</v>
      </c>
      <c r="R134" s="21">
        <v>44768</v>
      </c>
      <c r="S134" s="21">
        <v>46604</v>
      </c>
      <c r="T134" s="24">
        <v>2530000</v>
      </c>
      <c r="U134" s="19">
        <v>15</v>
      </c>
      <c r="V134" s="25">
        <v>379500</v>
      </c>
      <c r="W134" s="25">
        <v>2150500</v>
      </c>
      <c r="X134" s="26">
        <v>1.5</v>
      </c>
      <c r="Y134" s="25">
        <v>32257.5</v>
      </c>
      <c r="Z134" s="19"/>
      <c r="AA134" s="28" t="s">
        <v>45</v>
      </c>
      <c r="AB134" s="23">
        <v>1141070243</v>
      </c>
      <c r="AC134" s="27">
        <v>45525</v>
      </c>
      <c r="AD134" s="28" t="s">
        <v>46</v>
      </c>
      <c r="AE134" s="28">
        <v>0</v>
      </c>
      <c r="AF134" s="29" t="s">
        <v>1444</v>
      </c>
      <c r="AG134" s="30">
        <v>32258</v>
      </c>
      <c r="AH134" s="31">
        <v>-0.5</v>
      </c>
    </row>
    <row r="135" spans="1:34" x14ac:dyDescent="0.25">
      <c r="A135" s="19" t="s">
        <v>490</v>
      </c>
      <c r="B135" s="19" t="s">
        <v>1449</v>
      </c>
      <c r="C135" s="20">
        <v>45474</v>
      </c>
      <c r="D135" s="19" t="s">
        <v>35</v>
      </c>
      <c r="E135" s="19" t="s">
        <v>1450</v>
      </c>
      <c r="F135" s="21">
        <v>45495</v>
      </c>
      <c r="G135" s="21">
        <v>45859</v>
      </c>
      <c r="H135" s="22" t="s">
        <v>1451</v>
      </c>
      <c r="I135" s="23" t="s">
        <v>1452</v>
      </c>
      <c r="J135" s="22" t="s">
        <v>279</v>
      </c>
      <c r="K135" s="36" t="s">
        <v>1453</v>
      </c>
      <c r="L135" s="19" t="s">
        <v>1454</v>
      </c>
      <c r="M135" s="19" t="s">
        <v>1455</v>
      </c>
      <c r="N135" s="19" t="s">
        <v>1449</v>
      </c>
      <c r="O135" s="28" t="s">
        <v>54</v>
      </c>
      <c r="P135" s="19" t="s">
        <v>55</v>
      </c>
      <c r="Q135" s="19" t="s">
        <v>1456</v>
      </c>
      <c r="R135" s="21">
        <v>44771</v>
      </c>
      <c r="S135" s="21">
        <v>45874</v>
      </c>
      <c r="T135" s="24">
        <v>3406500</v>
      </c>
      <c r="U135" s="19">
        <v>15</v>
      </c>
      <c r="V135" s="25">
        <v>510975</v>
      </c>
      <c r="W135" s="25">
        <v>2895525</v>
      </c>
      <c r="X135" s="26">
        <v>1.5</v>
      </c>
      <c r="Y135" s="25">
        <v>43432.875</v>
      </c>
      <c r="Z135" s="19"/>
      <c r="AA135" s="28" t="s">
        <v>45</v>
      </c>
      <c r="AB135" s="23">
        <v>1141070243</v>
      </c>
      <c r="AC135" s="27">
        <v>45525</v>
      </c>
      <c r="AD135" s="28" t="s">
        <v>46</v>
      </c>
      <c r="AE135" s="28">
        <v>9</v>
      </c>
      <c r="AF135" s="29" t="s">
        <v>1450</v>
      </c>
      <c r="AG135" s="30">
        <v>43433</v>
      </c>
      <c r="AH135" s="31">
        <v>-0.125</v>
      </c>
    </row>
    <row r="136" spans="1:34" x14ac:dyDescent="0.25">
      <c r="A136" s="19" t="s">
        <v>490</v>
      </c>
      <c r="B136" s="19" t="s">
        <v>1457</v>
      </c>
      <c r="C136" s="20">
        <v>45474</v>
      </c>
      <c r="D136" s="19" t="s">
        <v>35</v>
      </c>
      <c r="E136" s="19" t="s">
        <v>1458</v>
      </c>
      <c r="F136" s="21">
        <v>45498</v>
      </c>
      <c r="G136" s="21">
        <v>45862</v>
      </c>
      <c r="H136" s="22" t="s">
        <v>1459</v>
      </c>
      <c r="I136" s="23">
        <v>1730104652879</v>
      </c>
      <c r="J136" s="22" t="s">
        <v>227</v>
      </c>
      <c r="K136" s="36" t="s">
        <v>1460</v>
      </c>
      <c r="L136" s="19">
        <v>244195</v>
      </c>
      <c r="M136" s="19" t="s">
        <v>1461</v>
      </c>
      <c r="N136" s="19" t="s">
        <v>1457</v>
      </c>
      <c r="O136" s="19" t="s">
        <v>161</v>
      </c>
      <c r="P136" s="19" t="s">
        <v>1462</v>
      </c>
      <c r="Q136" s="19" t="s">
        <v>1463</v>
      </c>
      <c r="R136" s="21">
        <v>44771</v>
      </c>
      <c r="S136" s="21">
        <v>46604</v>
      </c>
      <c r="T136" s="24">
        <v>1546000</v>
      </c>
      <c r="U136" s="19">
        <v>15</v>
      </c>
      <c r="V136" s="25">
        <v>231900</v>
      </c>
      <c r="W136" s="25">
        <v>1314100</v>
      </c>
      <c r="X136" s="26">
        <v>2.5</v>
      </c>
      <c r="Y136" s="25">
        <v>32852.5</v>
      </c>
      <c r="Z136" s="19"/>
      <c r="AA136" s="28" t="s">
        <v>45</v>
      </c>
      <c r="AB136" s="23">
        <v>1141070243</v>
      </c>
      <c r="AC136" s="27">
        <v>45525</v>
      </c>
      <c r="AD136" s="28" t="s">
        <v>46</v>
      </c>
      <c r="AE136" s="28">
        <v>9</v>
      </c>
      <c r="AF136" s="29" t="s">
        <v>1458</v>
      </c>
      <c r="AG136" s="30">
        <v>32853</v>
      </c>
      <c r="AH136" s="31">
        <v>-0.5</v>
      </c>
    </row>
    <row r="137" spans="1:34" x14ac:dyDescent="0.25">
      <c r="A137" s="19" t="s">
        <v>490</v>
      </c>
      <c r="B137" s="19" t="s">
        <v>1464</v>
      </c>
      <c r="C137" s="20">
        <v>45474</v>
      </c>
      <c r="D137" s="19" t="s">
        <v>35</v>
      </c>
      <c r="E137" s="19" t="s">
        <v>1465</v>
      </c>
      <c r="F137" s="21">
        <v>45498</v>
      </c>
      <c r="G137" s="21">
        <v>45862</v>
      </c>
      <c r="H137" s="22" t="s">
        <v>926</v>
      </c>
      <c r="I137" s="23">
        <v>3310154318717</v>
      </c>
      <c r="J137" s="22" t="s">
        <v>983</v>
      </c>
      <c r="K137" s="36" t="s">
        <v>1466</v>
      </c>
      <c r="L137" s="19" t="s">
        <v>1467</v>
      </c>
      <c r="M137" s="19" t="s">
        <v>1468</v>
      </c>
      <c r="N137" s="19" t="s">
        <v>1464</v>
      </c>
      <c r="O137" s="28" t="s">
        <v>54</v>
      </c>
      <c r="P137" s="19" t="s">
        <v>55</v>
      </c>
      <c r="Q137" s="19" t="s">
        <v>1469</v>
      </c>
      <c r="R137" s="21">
        <v>44041</v>
      </c>
      <c r="S137" s="21">
        <v>45874</v>
      </c>
      <c r="T137" s="24">
        <v>4053500</v>
      </c>
      <c r="U137" s="19">
        <v>25</v>
      </c>
      <c r="V137" s="25">
        <v>1013375</v>
      </c>
      <c r="W137" s="25">
        <v>3040125</v>
      </c>
      <c r="X137" s="26">
        <v>1.5</v>
      </c>
      <c r="Y137" s="25">
        <v>45601.875</v>
      </c>
      <c r="Z137" s="19"/>
      <c r="AA137" s="28" t="s">
        <v>45</v>
      </c>
      <c r="AB137" s="23">
        <v>1141070243</v>
      </c>
      <c r="AC137" s="27">
        <v>45525</v>
      </c>
      <c r="AD137" s="28" t="s">
        <v>46</v>
      </c>
      <c r="AE137" s="28">
        <v>9</v>
      </c>
      <c r="AF137" s="29" t="s">
        <v>1465</v>
      </c>
      <c r="AG137" s="30">
        <v>45602</v>
      </c>
      <c r="AH137" s="31">
        <v>-0.125</v>
      </c>
    </row>
    <row r="138" spans="1:34" x14ac:dyDescent="0.25">
      <c r="A138" s="19" t="s">
        <v>490</v>
      </c>
      <c r="B138" s="19" t="s">
        <v>1470</v>
      </c>
      <c r="C138" s="20">
        <v>45474</v>
      </c>
      <c r="D138" s="19" t="s">
        <v>35</v>
      </c>
      <c r="E138" s="19" t="s">
        <v>1471</v>
      </c>
      <c r="F138" s="21">
        <v>45499</v>
      </c>
      <c r="G138" s="21">
        <v>45863</v>
      </c>
      <c r="H138" s="22" t="s">
        <v>1472</v>
      </c>
      <c r="I138" s="23">
        <v>3130114937203</v>
      </c>
      <c r="J138" s="22" t="s">
        <v>279</v>
      </c>
      <c r="K138" s="36" t="s">
        <v>1473</v>
      </c>
      <c r="L138" s="19" t="s">
        <v>1474</v>
      </c>
      <c r="M138" s="19" t="s">
        <v>1475</v>
      </c>
      <c r="N138" s="19" t="s">
        <v>1470</v>
      </c>
      <c r="O138" s="28" t="s">
        <v>54</v>
      </c>
      <c r="P138" s="19" t="s">
        <v>1476</v>
      </c>
      <c r="Q138" s="19" t="s">
        <v>1477</v>
      </c>
      <c r="R138" s="21">
        <v>44776</v>
      </c>
      <c r="S138" s="21">
        <v>46604</v>
      </c>
      <c r="T138" s="24">
        <v>3268500</v>
      </c>
      <c r="U138" s="19">
        <v>15</v>
      </c>
      <c r="V138" s="25">
        <v>490275</v>
      </c>
      <c r="W138" s="25">
        <v>2778225</v>
      </c>
      <c r="X138" s="26">
        <v>2.5</v>
      </c>
      <c r="Y138" s="25">
        <v>69455.625</v>
      </c>
      <c r="Z138" s="19"/>
      <c r="AA138" s="28" t="s">
        <v>45</v>
      </c>
      <c r="AB138" s="23">
        <v>1141070243</v>
      </c>
      <c r="AC138" s="27">
        <v>45525</v>
      </c>
      <c r="AD138" s="28" t="s">
        <v>46</v>
      </c>
      <c r="AE138" s="28">
        <v>0</v>
      </c>
      <c r="AF138" s="29" t="s">
        <v>1471</v>
      </c>
      <c r="AG138" s="30">
        <v>69456</v>
      </c>
      <c r="AH138" s="31">
        <v>-0.375</v>
      </c>
    </row>
    <row r="139" spans="1:34" x14ac:dyDescent="0.25">
      <c r="A139" s="19" t="s">
        <v>490</v>
      </c>
      <c r="B139" s="19" t="s">
        <v>1478</v>
      </c>
      <c r="C139" s="20">
        <v>45474</v>
      </c>
      <c r="D139" s="19" t="s">
        <v>35</v>
      </c>
      <c r="E139" s="19" t="s">
        <v>1479</v>
      </c>
      <c r="F139" s="21">
        <v>45499</v>
      </c>
      <c r="G139" s="21">
        <v>45863</v>
      </c>
      <c r="H139" s="22" t="s">
        <v>1480</v>
      </c>
      <c r="I139" s="23">
        <v>3520288244949</v>
      </c>
      <c r="J139" s="22" t="s">
        <v>111</v>
      </c>
      <c r="K139" s="36" t="s">
        <v>1481</v>
      </c>
      <c r="L139" s="19" t="s">
        <v>1482</v>
      </c>
      <c r="M139" s="19" t="s">
        <v>1483</v>
      </c>
      <c r="N139" s="19" t="s">
        <v>1478</v>
      </c>
      <c r="O139" s="28" t="s">
        <v>54</v>
      </c>
      <c r="P139" s="19" t="s">
        <v>1484</v>
      </c>
      <c r="Q139" s="19" t="s">
        <v>1485</v>
      </c>
      <c r="R139" s="21">
        <v>44788</v>
      </c>
      <c r="S139" s="21">
        <v>45874</v>
      </c>
      <c r="T139" s="24">
        <v>1747000</v>
      </c>
      <c r="U139" s="19">
        <v>15</v>
      </c>
      <c r="V139" s="25">
        <v>262050</v>
      </c>
      <c r="W139" s="25">
        <v>1484950</v>
      </c>
      <c r="X139" s="26">
        <v>2.5</v>
      </c>
      <c r="Y139" s="25">
        <v>37123.75</v>
      </c>
      <c r="Z139" s="19"/>
      <c r="AA139" s="28" t="s">
        <v>45</v>
      </c>
      <c r="AB139" s="23">
        <v>1141070243</v>
      </c>
      <c r="AC139" s="27">
        <v>45525</v>
      </c>
      <c r="AD139" s="28" t="s">
        <v>46</v>
      </c>
      <c r="AE139" s="28">
        <v>0</v>
      </c>
      <c r="AF139" s="29" t="s">
        <v>1479</v>
      </c>
      <c r="AG139" s="30">
        <v>37124</v>
      </c>
      <c r="AH139" s="31">
        <v>-0.25</v>
      </c>
    </row>
    <row r="140" spans="1:34" x14ac:dyDescent="0.25">
      <c r="A140" s="19" t="s">
        <v>490</v>
      </c>
      <c r="B140" s="19" t="s">
        <v>1486</v>
      </c>
      <c r="C140" s="20">
        <v>45474</v>
      </c>
      <c r="D140" s="19" t="s">
        <v>35</v>
      </c>
      <c r="E140" s="19" t="s">
        <v>1487</v>
      </c>
      <c r="F140" s="21">
        <v>45499</v>
      </c>
      <c r="G140" s="21">
        <v>45863</v>
      </c>
      <c r="H140" s="22" t="s">
        <v>1488</v>
      </c>
      <c r="I140" s="23">
        <v>3110275813939</v>
      </c>
      <c r="J140" s="22" t="s">
        <v>1489</v>
      </c>
      <c r="K140" s="36" t="s">
        <v>1490</v>
      </c>
      <c r="L140" s="19">
        <v>878389</v>
      </c>
      <c r="M140" s="19" t="s">
        <v>1491</v>
      </c>
      <c r="N140" s="19" t="s">
        <v>1486</v>
      </c>
      <c r="O140" s="28" t="s">
        <v>54</v>
      </c>
      <c r="P140" s="19" t="s">
        <v>1492</v>
      </c>
      <c r="Q140" s="19" t="s">
        <v>1493</v>
      </c>
      <c r="R140" s="21">
        <v>44770</v>
      </c>
      <c r="S140" s="21">
        <v>45874</v>
      </c>
      <c r="T140" s="24">
        <v>4765000</v>
      </c>
      <c r="U140" s="19">
        <v>15</v>
      </c>
      <c r="V140" s="25">
        <v>714750</v>
      </c>
      <c r="W140" s="25">
        <v>4050250</v>
      </c>
      <c r="X140" s="26">
        <v>1.5</v>
      </c>
      <c r="Y140" s="25">
        <v>60753.75</v>
      </c>
      <c r="Z140" s="19"/>
      <c r="AA140" s="28" t="s">
        <v>45</v>
      </c>
      <c r="AB140" s="23">
        <v>1141070243</v>
      </c>
      <c r="AC140" s="27">
        <v>45525</v>
      </c>
      <c r="AD140" s="28" t="s">
        <v>46</v>
      </c>
      <c r="AE140" s="28">
        <v>0</v>
      </c>
      <c r="AF140" s="29" t="s">
        <v>1487</v>
      </c>
      <c r="AG140" s="30">
        <v>60754</v>
      </c>
      <c r="AH140" s="31">
        <v>-0.25</v>
      </c>
    </row>
    <row r="141" spans="1:34" x14ac:dyDescent="0.25">
      <c r="A141" s="19" t="s">
        <v>490</v>
      </c>
      <c r="B141" s="19" t="s">
        <v>1494</v>
      </c>
      <c r="C141" s="20">
        <v>45474</v>
      </c>
      <c r="D141" s="19" t="s">
        <v>35</v>
      </c>
      <c r="E141" s="19" t="s">
        <v>1495</v>
      </c>
      <c r="F141" s="21">
        <v>45500</v>
      </c>
      <c r="G141" s="21">
        <v>45864</v>
      </c>
      <c r="H141" s="22" t="s">
        <v>1496</v>
      </c>
      <c r="I141" s="23">
        <v>3540154121586</v>
      </c>
      <c r="J141" s="22" t="s">
        <v>600</v>
      </c>
      <c r="K141" s="36" t="s">
        <v>1497</v>
      </c>
      <c r="L141" s="19" t="s">
        <v>1498</v>
      </c>
      <c r="M141" s="19" t="s">
        <v>1499</v>
      </c>
      <c r="N141" s="19" t="s">
        <v>1494</v>
      </c>
      <c r="O141" s="28" t="s">
        <v>54</v>
      </c>
      <c r="P141" s="19" t="s">
        <v>971</v>
      </c>
      <c r="Q141" s="19" t="s">
        <v>1500</v>
      </c>
      <c r="R141" s="21">
        <v>44775</v>
      </c>
      <c r="S141" s="21">
        <v>46604</v>
      </c>
      <c r="T141" s="24">
        <v>1306000</v>
      </c>
      <c r="U141" s="19">
        <v>15</v>
      </c>
      <c r="V141" s="25">
        <v>195900</v>
      </c>
      <c r="W141" s="25">
        <v>1110100</v>
      </c>
      <c r="X141" s="26">
        <v>1.75</v>
      </c>
      <c r="Y141" s="25">
        <v>19426.750000000004</v>
      </c>
      <c r="Z141" s="19"/>
      <c r="AA141" s="28" t="s">
        <v>45</v>
      </c>
      <c r="AB141" s="23">
        <v>1141070243</v>
      </c>
      <c r="AC141" s="27">
        <v>45525</v>
      </c>
      <c r="AD141" s="28" t="s">
        <v>46</v>
      </c>
      <c r="AE141" s="28">
        <v>9</v>
      </c>
      <c r="AF141" s="29" t="s">
        <v>1495</v>
      </c>
      <c r="AG141" s="30">
        <v>19427</v>
      </c>
      <c r="AH141" s="31">
        <v>-0.24999999999636202</v>
      </c>
    </row>
    <row r="142" spans="1:34" x14ac:dyDescent="0.25">
      <c r="A142" s="19" t="s">
        <v>490</v>
      </c>
      <c r="B142" s="19" t="s">
        <v>1501</v>
      </c>
      <c r="C142" s="20">
        <v>45474</v>
      </c>
      <c r="D142" s="19" t="s">
        <v>35</v>
      </c>
      <c r="E142" s="19" t="s">
        <v>1502</v>
      </c>
      <c r="F142" s="21">
        <v>45500</v>
      </c>
      <c r="G142" s="21">
        <v>45864</v>
      </c>
      <c r="H142" s="22" t="s">
        <v>1503</v>
      </c>
      <c r="I142" s="23">
        <v>3520140377487</v>
      </c>
      <c r="J142" s="22" t="s">
        <v>1076</v>
      </c>
      <c r="K142" s="36" t="s">
        <v>1504</v>
      </c>
      <c r="L142" s="19">
        <v>242132</v>
      </c>
      <c r="M142" s="19" t="s">
        <v>1505</v>
      </c>
      <c r="N142" s="19" t="s">
        <v>1501</v>
      </c>
      <c r="O142" s="28" t="s">
        <v>54</v>
      </c>
      <c r="P142" s="19" t="s">
        <v>827</v>
      </c>
      <c r="Q142" s="19" t="s">
        <v>1506</v>
      </c>
      <c r="R142" s="21">
        <v>44775</v>
      </c>
      <c r="S142" s="21">
        <v>46239</v>
      </c>
      <c r="T142" s="24">
        <v>1306000</v>
      </c>
      <c r="U142" s="19">
        <v>15</v>
      </c>
      <c r="V142" s="25">
        <v>195900</v>
      </c>
      <c r="W142" s="25">
        <v>1110100</v>
      </c>
      <c r="X142" s="26">
        <v>1.75</v>
      </c>
      <c r="Y142" s="25">
        <v>19426.750000000004</v>
      </c>
      <c r="Z142" s="19"/>
      <c r="AA142" s="28" t="s">
        <v>45</v>
      </c>
      <c r="AB142" s="23">
        <v>1141070243</v>
      </c>
      <c r="AC142" s="27">
        <v>45525</v>
      </c>
      <c r="AD142" s="28" t="s">
        <v>46</v>
      </c>
      <c r="AE142" s="28">
        <v>0</v>
      </c>
      <c r="AF142" s="29" t="s">
        <v>1502</v>
      </c>
      <c r="AG142" s="30">
        <v>19427</v>
      </c>
      <c r="AH142" s="31">
        <v>-0.24999999999636202</v>
      </c>
    </row>
    <row r="143" spans="1:34" x14ac:dyDescent="0.25">
      <c r="A143" s="19" t="s">
        <v>490</v>
      </c>
      <c r="B143" s="19" t="s">
        <v>1507</v>
      </c>
      <c r="C143" s="20">
        <v>45474</v>
      </c>
      <c r="D143" s="19" t="s">
        <v>35</v>
      </c>
      <c r="E143" s="19" t="s">
        <v>1508</v>
      </c>
      <c r="F143" s="21">
        <v>45502</v>
      </c>
      <c r="G143" s="21">
        <v>45866</v>
      </c>
      <c r="H143" s="22" t="s">
        <v>1509</v>
      </c>
      <c r="I143" s="23">
        <v>3740535215045</v>
      </c>
      <c r="J143" s="22" t="s">
        <v>846</v>
      </c>
      <c r="K143" s="36" t="s">
        <v>1510</v>
      </c>
      <c r="L143" s="19">
        <v>244615</v>
      </c>
      <c r="M143" s="19" t="s">
        <v>1511</v>
      </c>
      <c r="N143" s="19" t="s">
        <v>1507</v>
      </c>
      <c r="O143" s="19" t="s">
        <v>161</v>
      </c>
      <c r="P143" s="19" t="s">
        <v>162</v>
      </c>
      <c r="Q143" s="19" t="s">
        <v>1512</v>
      </c>
      <c r="R143" s="21">
        <v>44778</v>
      </c>
      <c r="S143" s="21">
        <v>46604</v>
      </c>
      <c r="T143" s="24">
        <v>1546000</v>
      </c>
      <c r="U143" s="19">
        <v>15</v>
      </c>
      <c r="V143" s="25">
        <v>231900</v>
      </c>
      <c r="W143" s="25">
        <v>1314100</v>
      </c>
      <c r="X143" s="26">
        <v>2.5</v>
      </c>
      <c r="Y143" s="25">
        <v>32852.5</v>
      </c>
      <c r="Z143" s="19"/>
      <c r="AA143" s="28" t="s">
        <v>45</v>
      </c>
      <c r="AB143" s="23">
        <v>1141070243</v>
      </c>
      <c r="AC143" s="27">
        <v>45525</v>
      </c>
      <c r="AD143" s="28" t="s">
        <v>46</v>
      </c>
      <c r="AE143" s="28">
        <v>0</v>
      </c>
      <c r="AF143" s="29" t="s">
        <v>1508</v>
      </c>
      <c r="AG143" s="30">
        <v>32853</v>
      </c>
      <c r="AH143" s="31">
        <v>-0.5</v>
      </c>
    </row>
    <row r="144" spans="1:34" x14ac:dyDescent="0.25">
      <c r="A144" s="19" t="s">
        <v>490</v>
      </c>
      <c r="B144" s="19" t="s">
        <v>1513</v>
      </c>
      <c r="C144" s="20">
        <v>45444</v>
      </c>
      <c r="D144" s="19" t="s">
        <v>35</v>
      </c>
      <c r="E144" s="19" t="s">
        <v>1514</v>
      </c>
      <c r="F144" s="21">
        <v>45465</v>
      </c>
      <c r="G144" s="21">
        <v>45829</v>
      </c>
      <c r="H144" s="22" t="s">
        <v>1515</v>
      </c>
      <c r="I144" s="23" t="s">
        <v>1516</v>
      </c>
      <c r="J144" s="22" t="s">
        <v>1517</v>
      </c>
      <c r="K144" s="19" t="s">
        <v>1518</v>
      </c>
      <c r="L144" s="19" t="s">
        <v>1519</v>
      </c>
      <c r="M144" s="19">
        <v>6074827</v>
      </c>
      <c r="N144" s="19" t="s">
        <v>1513</v>
      </c>
      <c r="O144" s="28" t="s">
        <v>54</v>
      </c>
      <c r="P144" s="19" t="s">
        <v>1520</v>
      </c>
      <c r="Q144" s="19" t="s">
        <v>1521</v>
      </c>
      <c r="R144" s="21">
        <v>44764</v>
      </c>
      <c r="S144" s="21">
        <v>46604</v>
      </c>
      <c r="T144" s="24">
        <v>3573000</v>
      </c>
      <c r="U144" s="19">
        <v>15</v>
      </c>
      <c r="V144" s="25">
        <v>535950</v>
      </c>
      <c r="W144" s="25">
        <v>3037050</v>
      </c>
      <c r="X144" s="26">
        <v>1.75</v>
      </c>
      <c r="Y144" s="25">
        <v>53148.375000000007</v>
      </c>
      <c r="Z144" s="19"/>
      <c r="AA144" s="28" t="s">
        <v>45</v>
      </c>
      <c r="AB144" s="23">
        <v>1141070243</v>
      </c>
      <c r="AC144" s="27">
        <v>45525</v>
      </c>
      <c r="AD144" s="28" t="s">
        <v>46</v>
      </c>
      <c r="AE144" s="28">
        <v>9</v>
      </c>
      <c r="AF144" s="29" t="s">
        <v>1514</v>
      </c>
      <c r="AG144" s="30">
        <v>53148</v>
      </c>
      <c r="AH144" s="31">
        <v>0.37500000000727596</v>
      </c>
    </row>
    <row r="145" spans="1:34" x14ac:dyDescent="0.25">
      <c r="A145" s="19" t="s">
        <v>490</v>
      </c>
      <c r="B145" s="19" t="s">
        <v>1522</v>
      </c>
      <c r="C145" s="20">
        <v>45444</v>
      </c>
      <c r="D145" s="19" t="s">
        <v>35</v>
      </c>
      <c r="E145" s="19" t="s">
        <v>1523</v>
      </c>
      <c r="F145" s="21">
        <v>45466</v>
      </c>
      <c r="G145" s="21">
        <v>45830</v>
      </c>
      <c r="H145" s="22" t="s">
        <v>1524</v>
      </c>
      <c r="I145" s="23" t="s">
        <v>1525</v>
      </c>
      <c r="J145" s="22" t="s">
        <v>227</v>
      </c>
      <c r="K145" s="19" t="s">
        <v>1526</v>
      </c>
      <c r="L145" s="19">
        <v>233168</v>
      </c>
      <c r="M145" s="19">
        <v>1133226</v>
      </c>
      <c r="N145" s="19" t="s">
        <v>1522</v>
      </c>
      <c r="O145" s="28" t="s">
        <v>54</v>
      </c>
      <c r="P145" s="19" t="s">
        <v>81</v>
      </c>
      <c r="Q145" s="19" t="s">
        <v>1527</v>
      </c>
      <c r="R145" s="21">
        <v>44762</v>
      </c>
      <c r="S145" s="21">
        <v>47336</v>
      </c>
      <c r="T145" s="24">
        <v>1373000</v>
      </c>
      <c r="U145" s="19">
        <v>15</v>
      </c>
      <c r="V145" s="25">
        <v>205950</v>
      </c>
      <c r="W145" s="25">
        <v>1167050</v>
      </c>
      <c r="X145" s="26">
        <v>2.5</v>
      </c>
      <c r="Y145" s="25">
        <v>29176.25</v>
      </c>
      <c r="Z145" s="19"/>
      <c r="AA145" s="28" t="s">
        <v>45</v>
      </c>
      <c r="AB145" s="23">
        <v>1141070243</v>
      </c>
      <c r="AC145" s="27">
        <v>45525</v>
      </c>
      <c r="AD145" s="28" t="s">
        <v>46</v>
      </c>
      <c r="AE145" s="28">
        <v>9</v>
      </c>
      <c r="AF145" s="29" t="s">
        <v>1523</v>
      </c>
      <c r="AG145" s="30">
        <v>29176</v>
      </c>
      <c r="AH145" s="31">
        <v>0.25</v>
      </c>
    </row>
    <row r="146" spans="1:34" x14ac:dyDescent="0.25">
      <c r="A146" s="19" t="s">
        <v>490</v>
      </c>
      <c r="B146" s="19" t="s">
        <v>1528</v>
      </c>
      <c r="C146" s="20">
        <v>45444</v>
      </c>
      <c r="D146" s="19" t="s">
        <v>35</v>
      </c>
      <c r="E146" s="19" t="s">
        <v>1529</v>
      </c>
      <c r="F146" s="21">
        <v>45465</v>
      </c>
      <c r="G146" s="21">
        <v>45829</v>
      </c>
      <c r="H146" s="22" t="s">
        <v>1530</v>
      </c>
      <c r="I146" s="23" t="s">
        <v>1531</v>
      </c>
      <c r="J146" s="22" t="s">
        <v>227</v>
      </c>
      <c r="K146" s="19" t="s">
        <v>1532</v>
      </c>
      <c r="L146" s="19">
        <v>234421</v>
      </c>
      <c r="M146" s="19">
        <v>1134388</v>
      </c>
      <c r="N146" s="19" t="s">
        <v>1528</v>
      </c>
      <c r="O146" s="28" t="s">
        <v>54</v>
      </c>
      <c r="P146" s="19" t="s">
        <v>993</v>
      </c>
      <c r="Q146" s="19" t="s">
        <v>1533</v>
      </c>
      <c r="R146" s="21">
        <v>44760</v>
      </c>
      <c r="S146" s="21">
        <v>46604</v>
      </c>
      <c r="T146" s="24">
        <v>1546000</v>
      </c>
      <c r="U146" s="19">
        <v>15</v>
      </c>
      <c r="V146" s="25">
        <v>231900</v>
      </c>
      <c r="W146" s="25">
        <v>1314100</v>
      </c>
      <c r="X146" s="26">
        <v>1.75</v>
      </c>
      <c r="Y146" s="25">
        <v>22996.750000000004</v>
      </c>
      <c r="Z146" s="19"/>
      <c r="AA146" s="28" t="s">
        <v>45</v>
      </c>
      <c r="AB146" s="23">
        <v>1141070243</v>
      </c>
      <c r="AC146" s="27">
        <v>45525</v>
      </c>
      <c r="AD146" s="28" t="s">
        <v>46</v>
      </c>
      <c r="AE146" s="28">
        <v>9</v>
      </c>
      <c r="AF146" s="29" t="s">
        <v>1529</v>
      </c>
      <c r="AG146" s="30">
        <v>22997</v>
      </c>
      <c r="AH146" s="31">
        <v>-0.24999999999636202</v>
      </c>
    </row>
    <row r="147" spans="1:34" x14ac:dyDescent="0.25">
      <c r="A147" s="19" t="s">
        <v>490</v>
      </c>
      <c r="B147" s="19" t="s">
        <v>1534</v>
      </c>
      <c r="C147" s="20">
        <v>45444</v>
      </c>
      <c r="D147" s="19" t="s">
        <v>35</v>
      </c>
      <c r="E147" s="19" t="s">
        <v>1535</v>
      </c>
      <c r="F147" s="21">
        <v>45452</v>
      </c>
      <c r="G147" s="21">
        <v>45816</v>
      </c>
      <c r="H147" s="22" t="s">
        <v>1536</v>
      </c>
      <c r="I147" s="23" t="s">
        <v>1537</v>
      </c>
      <c r="J147" s="22" t="s">
        <v>249</v>
      </c>
      <c r="K147" s="19" t="s">
        <v>1538</v>
      </c>
      <c r="L147" s="19">
        <v>235227</v>
      </c>
      <c r="M147" s="19">
        <v>10135090</v>
      </c>
      <c r="N147" s="19" t="s">
        <v>1534</v>
      </c>
      <c r="O147" s="28" t="s">
        <v>54</v>
      </c>
      <c r="P147" s="19" t="s">
        <v>81</v>
      </c>
      <c r="Q147" s="19" t="s">
        <v>1539</v>
      </c>
      <c r="R147" s="21">
        <v>44760</v>
      </c>
      <c r="S147" s="21">
        <v>46604</v>
      </c>
      <c r="T147" s="24">
        <v>2199000</v>
      </c>
      <c r="U147" s="19">
        <v>15</v>
      </c>
      <c r="V147" s="25">
        <v>329850</v>
      </c>
      <c r="W147" s="25">
        <v>1869150</v>
      </c>
      <c r="X147" s="26">
        <v>1.5</v>
      </c>
      <c r="Y147" s="25">
        <v>28037.25</v>
      </c>
      <c r="Z147" s="19"/>
      <c r="AA147" s="28" t="s">
        <v>45</v>
      </c>
      <c r="AB147" s="23">
        <v>1141070243</v>
      </c>
      <c r="AC147" s="27">
        <v>45525</v>
      </c>
      <c r="AD147" s="28" t="s">
        <v>46</v>
      </c>
      <c r="AE147" s="28">
        <v>9</v>
      </c>
      <c r="AF147" s="29" t="s">
        <v>1535</v>
      </c>
      <c r="AG147" s="30">
        <v>28037</v>
      </c>
      <c r="AH147" s="31">
        <v>0.25</v>
      </c>
    </row>
    <row r="148" spans="1:34" x14ac:dyDescent="0.25">
      <c r="A148" s="19" t="s">
        <v>490</v>
      </c>
      <c r="B148" s="19" t="s">
        <v>1540</v>
      </c>
      <c r="C148" s="20">
        <v>45444</v>
      </c>
      <c r="D148" s="19" t="s">
        <v>35</v>
      </c>
      <c r="E148" s="19" t="s">
        <v>1541</v>
      </c>
      <c r="F148" s="21">
        <v>45458</v>
      </c>
      <c r="G148" s="21">
        <v>45822</v>
      </c>
      <c r="H148" s="22" t="s">
        <v>1542</v>
      </c>
      <c r="I148" s="23" t="s">
        <v>1543</v>
      </c>
      <c r="J148" s="22" t="s">
        <v>227</v>
      </c>
      <c r="K148" s="19" t="s">
        <v>1544</v>
      </c>
      <c r="L148" s="19">
        <v>234122</v>
      </c>
      <c r="M148" s="19">
        <v>1134118</v>
      </c>
      <c r="N148" s="19" t="s">
        <v>1540</v>
      </c>
      <c r="O148" s="28" t="s">
        <v>54</v>
      </c>
      <c r="P148" s="19" t="s">
        <v>152</v>
      </c>
      <c r="Q148" s="19" t="s">
        <v>1545</v>
      </c>
      <c r="R148" s="21">
        <v>44764</v>
      </c>
      <c r="S148" s="21">
        <v>46604</v>
      </c>
      <c r="T148" s="24">
        <v>1546000</v>
      </c>
      <c r="U148" s="19">
        <v>15</v>
      </c>
      <c r="V148" s="25">
        <v>231900</v>
      </c>
      <c r="W148" s="25">
        <v>1314100</v>
      </c>
      <c r="X148" s="26">
        <v>1.75</v>
      </c>
      <c r="Y148" s="25">
        <v>22996.750000000004</v>
      </c>
      <c r="Z148" s="19"/>
      <c r="AA148" s="28" t="s">
        <v>45</v>
      </c>
      <c r="AB148" s="23">
        <v>1141070243</v>
      </c>
      <c r="AC148" s="27">
        <v>45525</v>
      </c>
      <c r="AD148" s="28" t="s">
        <v>46</v>
      </c>
      <c r="AE148" s="28">
        <v>0</v>
      </c>
      <c r="AF148" s="29" t="s">
        <v>1541</v>
      </c>
      <c r="AG148" s="30">
        <v>22997</v>
      </c>
      <c r="AH148" s="31">
        <v>-0.24999999999636202</v>
      </c>
    </row>
    <row r="149" spans="1:34" x14ac:dyDescent="0.25">
      <c r="A149" s="19" t="s">
        <v>490</v>
      </c>
      <c r="B149" s="19" t="s">
        <v>1546</v>
      </c>
      <c r="C149" s="20">
        <v>45444</v>
      </c>
      <c r="D149" s="19" t="s">
        <v>35</v>
      </c>
      <c r="E149" s="19" t="s">
        <v>1547</v>
      </c>
      <c r="F149" s="21">
        <v>45467</v>
      </c>
      <c r="G149" s="21">
        <v>45831</v>
      </c>
      <c r="H149" s="22" t="s">
        <v>1548</v>
      </c>
      <c r="I149" s="23" t="s">
        <v>1549</v>
      </c>
      <c r="J149" s="22" t="s">
        <v>846</v>
      </c>
      <c r="K149" s="19" t="s">
        <v>1550</v>
      </c>
      <c r="L149" s="19">
        <v>238373</v>
      </c>
      <c r="M149" s="19">
        <v>1138323</v>
      </c>
      <c r="N149" s="19" t="s">
        <v>1546</v>
      </c>
      <c r="O149" s="28" t="s">
        <v>54</v>
      </c>
      <c r="P149" s="19" t="s">
        <v>152</v>
      </c>
      <c r="Q149" s="19" t="s">
        <v>1551</v>
      </c>
      <c r="R149" s="21">
        <v>44784</v>
      </c>
      <c r="S149" s="21">
        <v>46604</v>
      </c>
      <c r="T149" s="24">
        <v>1546000</v>
      </c>
      <c r="U149" s="19">
        <v>15</v>
      </c>
      <c r="V149" s="25">
        <v>231900</v>
      </c>
      <c r="W149" s="25">
        <v>1314100</v>
      </c>
      <c r="X149" s="26">
        <v>1.75</v>
      </c>
      <c r="Y149" s="25">
        <v>22996.750000000004</v>
      </c>
      <c r="Z149" s="19"/>
      <c r="AA149" s="28" t="s">
        <v>45</v>
      </c>
      <c r="AB149" s="23">
        <v>1141070243</v>
      </c>
      <c r="AC149" s="27">
        <v>45525</v>
      </c>
      <c r="AD149" s="28" t="s">
        <v>46</v>
      </c>
      <c r="AE149" s="28">
        <v>0</v>
      </c>
      <c r="AF149" s="29" t="s">
        <v>1547</v>
      </c>
      <c r="AG149" s="30">
        <v>22997</v>
      </c>
      <c r="AH149" s="31">
        <v>-0.24999999999636202</v>
      </c>
    </row>
    <row r="150" spans="1:34" x14ac:dyDescent="0.25">
      <c r="A150" s="19" t="s">
        <v>490</v>
      </c>
      <c r="B150" s="19" t="s">
        <v>1552</v>
      </c>
      <c r="C150" s="20">
        <v>45444</v>
      </c>
      <c r="D150" s="19" t="s">
        <v>35</v>
      </c>
      <c r="E150" s="19" t="s">
        <v>1553</v>
      </c>
      <c r="F150" s="21">
        <v>45460</v>
      </c>
      <c r="G150" s="21">
        <v>45824</v>
      </c>
      <c r="H150" s="22" t="s">
        <v>1554</v>
      </c>
      <c r="I150" s="23" t="s">
        <v>1555</v>
      </c>
      <c r="J150" s="22" t="s">
        <v>104</v>
      </c>
      <c r="K150" s="19" t="s">
        <v>1556</v>
      </c>
      <c r="L150" s="19">
        <v>235133</v>
      </c>
      <c r="M150" s="19">
        <v>10135135</v>
      </c>
      <c r="N150" s="19" t="s">
        <v>1552</v>
      </c>
      <c r="O150" s="28" t="s">
        <v>54</v>
      </c>
      <c r="P150" s="19" t="s">
        <v>81</v>
      </c>
      <c r="Q150" s="19" t="s">
        <v>1557</v>
      </c>
      <c r="R150" s="21">
        <v>44769</v>
      </c>
      <c r="S150" s="21">
        <v>45874</v>
      </c>
      <c r="T150" s="24">
        <v>2199000</v>
      </c>
      <c r="U150" s="19">
        <v>15</v>
      </c>
      <c r="V150" s="25">
        <v>329850</v>
      </c>
      <c r="W150" s="25">
        <v>1869150</v>
      </c>
      <c r="X150" s="26">
        <v>1.5</v>
      </c>
      <c r="Y150" s="25">
        <v>28037.25</v>
      </c>
      <c r="Z150" s="19"/>
      <c r="AA150" s="28" t="s">
        <v>45</v>
      </c>
      <c r="AB150" s="23">
        <v>1141070243</v>
      </c>
      <c r="AC150" s="27">
        <v>45525</v>
      </c>
      <c r="AD150" s="28" t="s">
        <v>46</v>
      </c>
      <c r="AE150" s="28">
        <v>0</v>
      </c>
      <c r="AF150" s="29" t="s">
        <v>1553</v>
      </c>
      <c r="AG150" s="30">
        <v>28037</v>
      </c>
      <c r="AH150" s="31">
        <v>0.25</v>
      </c>
    </row>
    <row r="151" spans="1:34" x14ac:dyDescent="0.25">
      <c r="A151" s="19" t="s">
        <v>490</v>
      </c>
      <c r="B151" s="19" t="s">
        <v>1558</v>
      </c>
      <c r="C151" s="20">
        <v>45444</v>
      </c>
      <c r="D151" s="19" t="s">
        <v>35</v>
      </c>
      <c r="E151" s="19" t="s">
        <v>1559</v>
      </c>
      <c r="F151" s="21">
        <v>45450</v>
      </c>
      <c r="G151" s="21">
        <v>45814</v>
      </c>
      <c r="H151" s="22" t="s">
        <v>1560</v>
      </c>
      <c r="I151" s="23" t="s">
        <v>1561</v>
      </c>
      <c r="J151" s="22" t="s">
        <v>846</v>
      </c>
      <c r="K151" s="19" t="s">
        <v>1562</v>
      </c>
      <c r="L151" s="19">
        <v>206342</v>
      </c>
      <c r="M151" s="19">
        <v>1106320</v>
      </c>
      <c r="N151" s="19" t="s">
        <v>1558</v>
      </c>
      <c r="O151" s="19" t="s">
        <v>161</v>
      </c>
      <c r="P151" s="19" t="s">
        <v>1563</v>
      </c>
      <c r="Q151" s="19" t="s">
        <v>1564</v>
      </c>
      <c r="R151" s="21">
        <v>44762</v>
      </c>
      <c r="S151" s="21">
        <v>46604</v>
      </c>
      <c r="T151" s="24">
        <v>1733000</v>
      </c>
      <c r="U151" s="19">
        <v>15</v>
      </c>
      <c r="V151" s="25">
        <v>259950</v>
      </c>
      <c r="W151" s="25">
        <v>1473050</v>
      </c>
      <c r="X151" s="26">
        <v>2.5</v>
      </c>
      <c r="Y151" s="25">
        <v>36826.25</v>
      </c>
      <c r="Z151" s="19"/>
      <c r="AA151" s="28" t="s">
        <v>45</v>
      </c>
      <c r="AB151" s="23">
        <v>1141070243</v>
      </c>
      <c r="AC151" s="27">
        <v>45525</v>
      </c>
      <c r="AD151" s="28" t="s">
        <v>46</v>
      </c>
      <c r="AE151" s="28">
        <v>9</v>
      </c>
      <c r="AF151" s="29" t="s">
        <v>1559</v>
      </c>
      <c r="AG151" s="30">
        <v>36826</v>
      </c>
      <c r="AH151" s="31">
        <v>0.25</v>
      </c>
    </row>
    <row r="152" spans="1:34" x14ac:dyDescent="0.25">
      <c r="A152" s="19" t="s">
        <v>490</v>
      </c>
      <c r="B152" s="19" t="s">
        <v>1565</v>
      </c>
      <c r="C152" s="20">
        <v>45444</v>
      </c>
      <c r="D152" s="19" t="s">
        <v>35</v>
      </c>
      <c r="E152" s="19" t="s">
        <v>1566</v>
      </c>
      <c r="F152" s="21">
        <v>45473</v>
      </c>
      <c r="G152" s="21">
        <v>45837</v>
      </c>
      <c r="H152" s="22" t="s">
        <v>1567</v>
      </c>
      <c r="I152" s="23" t="s">
        <v>1568</v>
      </c>
      <c r="J152" s="22" t="s">
        <v>148</v>
      </c>
      <c r="K152" s="19" t="s">
        <v>1569</v>
      </c>
      <c r="L152" s="19">
        <v>158752</v>
      </c>
      <c r="M152" s="19">
        <v>10058748</v>
      </c>
      <c r="N152" s="19" t="s">
        <v>1565</v>
      </c>
      <c r="O152" s="19" t="s">
        <v>42</v>
      </c>
      <c r="P152" s="19" t="s">
        <v>1570</v>
      </c>
      <c r="Q152" s="19" t="s">
        <v>1571</v>
      </c>
      <c r="R152" s="21">
        <v>44762</v>
      </c>
      <c r="S152" s="21">
        <v>46239</v>
      </c>
      <c r="T152" s="24">
        <v>2300000</v>
      </c>
      <c r="U152" s="19">
        <v>15</v>
      </c>
      <c r="V152" s="25">
        <v>345000</v>
      </c>
      <c r="W152" s="25">
        <v>1955000</v>
      </c>
      <c r="X152" s="26">
        <v>1.5</v>
      </c>
      <c r="Y152" s="25">
        <v>29325</v>
      </c>
      <c r="Z152" s="19"/>
      <c r="AA152" s="28" t="s">
        <v>45</v>
      </c>
      <c r="AB152" s="23">
        <v>1141070243</v>
      </c>
      <c r="AC152" s="27">
        <v>45525</v>
      </c>
      <c r="AD152" s="28" t="s">
        <v>46</v>
      </c>
      <c r="AE152" s="28">
        <v>0</v>
      </c>
      <c r="AF152" s="29" t="s">
        <v>1566</v>
      </c>
      <c r="AG152" s="30">
        <v>29325</v>
      </c>
      <c r="AH152" s="31">
        <v>0</v>
      </c>
    </row>
    <row r="153" spans="1:34" x14ac:dyDescent="0.25">
      <c r="A153" s="19" t="s">
        <v>490</v>
      </c>
      <c r="B153" s="19" t="s">
        <v>1572</v>
      </c>
      <c r="C153" s="20">
        <v>45444</v>
      </c>
      <c r="D153" s="19" t="s">
        <v>35</v>
      </c>
      <c r="E153" s="19" t="s">
        <v>1573</v>
      </c>
      <c r="F153" s="21">
        <v>45460</v>
      </c>
      <c r="G153" s="21">
        <v>45824</v>
      </c>
      <c r="H153" s="22" t="s">
        <v>1574</v>
      </c>
      <c r="I153" s="23" t="s">
        <v>1575</v>
      </c>
      <c r="J153" s="22" t="s">
        <v>1173</v>
      </c>
      <c r="K153" s="19" t="s">
        <v>1576</v>
      </c>
      <c r="L153" s="19">
        <v>237671</v>
      </c>
      <c r="M153" s="19">
        <v>10137424</v>
      </c>
      <c r="N153" s="19" t="s">
        <v>1572</v>
      </c>
      <c r="O153" s="19" t="s">
        <v>42</v>
      </c>
      <c r="P153" s="19" t="s">
        <v>98</v>
      </c>
      <c r="Q153" s="19" t="s">
        <v>1577</v>
      </c>
      <c r="R153" s="21">
        <v>44769</v>
      </c>
      <c r="S153" s="21">
        <v>46604</v>
      </c>
      <c r="T153" s="24">
        <v>2399000</v>
      </c>
      <c r="U153" s="19">
        <v>15</v>
      </c>
      <c r="V153" s="25">
        <v>359850</v>
      </c>
      <c r="W153" s="25">
        <v>2039150</v>
      </c>
      <c r="X153" s="26">
        <v>1.5</v>
      </c>
      <c r="Y153" s="25">
        <v>30587.25</v>
      </c>
      <c r="Z153" s="19"/>
      <c r="AA153" s="28" t="s">
        <v>45</v>
      </c>
      <c r="AB153" s="23">
        <v>1141070243</v>
      </c>
      <c r="AC153" s="27">
        <v>45525</v>
      </c>
      <c r="AD153" s="28" t="s">
        <v>46</v>
      </c>
      <c r="AE153" s="28">
        <v>9</v>
      </c>
      <c r="AF153" s="29" t="s">
        <v>1573</v>
      </c>
      <c r="AG153" s="30">
        <v>30587</v>
      </c>
      <c r="AH153" s="31">
        <v>0.25</v>
      </c>
    </row>
    <row r="154" spans="1:34" x14ac:dyDescent="0.25">
      <c r="A154" s="19" t="s">
        <v>490</v>
      </c>
      <c r="B154" s="19" t="s">
        <v>1578</v>
      </c>
      <c r="C154" s="20">
        <v>45413</v>
      </c>
      <c r="D154" s="19" t="s">
        <v>35</v>
      </c>
      <c r="E154" s="19" t="s">
        <v>1579</v>
      </c>
      <c r="F154" s="21">
        <v>45423</v>
      </c>
      <c r="G154" s="21">
        <v>45787</v>
      </c>
      <c r="H154" s="22" t="s">
        <v>1580</v>
      </c>
      <c r="I154" s="23" t="s">
        <v>1581</v>
      </c>
      <c r="J154" s="22" t="s">
        <v>1582</v>
      </c>
      <c r="K154" s="19" t="s">
        <v>1583</v>
      </c>
      <c r="L154" s="19" t="s">
        <v>1584</v>
      </c>
      <c r="M154" s="19">
        <v>1099358</v>
      </c>
      <c r="N154" s="19" t="s">
        <v>1578</v>
      </c>
      <c r="O154" s="28" t="s">
        <v>54</v>
      </c>
      <c r="P154" s="19" t="s">
        <v>81</v>
      </c>
      <c r="Q154" s="19" t="s">
        <v>1585</v>
      </c>
      <c r="R154" s="21">
        <v>44785</v>
      </c>
      <c r="S154" s="21">
        <v>46604</v>
      </c>
      <c r="T154" s="24">
        <v>10437000</v>
      </c>
      <c r="U154" s="19">
        <v>15</v>
      </c>
      <c r="V154" s="25">
        <v>1565550</v>
      </c>
      <c r="W154" s="25">
        <v>8871450</v>
      </c>
      <c r="X154" s="26">
        <v>1.5</v>
      </c>
      <c r="Y154" s="25">
        <v>133071.75</v>
      </c>
      <c r="Z154" s="19"/>
      <c r="AA154" s="28" t="s">
        <v>45</v>
      </c>
      <c r="AB154" s="23">
        <v>1141070243</v>
      </c>
      <c r="AC154" s="27">
        <v>45525</v>
      </c>
      <c r="AD154" s="28" t="s">
        <v>46</v>
      </c>
      <c r="AE154" s="28">
        <v>9</v>
      </c>
      <c r="AF154" s="29" t="s">
        <v>1579</v>
      </c>
      <c r="AG154" s="30">
        <v>133072</v>
      </c>
      <c r="AH154" s="31">
        <v>-0.25</v>
      </c>
    </row>
    <row r="155" spans="1:34" x14ac:dyDescent="0.25">
      <c r="A155" s="19" t="s">
        <v>490</v>
      </c>
      <c r="B155" s="19" t="s">
        <v>1586</v>
      </c>
      <c r="C155" s="20">
        <v>45413</v>
      </c>
      <c r="D155" s="19" t="s">
        <v>35</v>
      </c>
      <c r="E155" s="19" t="s">
        <v>1587</v>
      </c>
      <c r="F155" s="21">
        <v>45421</v>
      </c>
      <c r="G155" s="21">
        <v>45785</v>
      </c>
      <c r="H155" s="22" t="s">
        <v>1588</v>
      </c>
      <c r="I155" s="23" t="s">
        <v>1589</v>
      </c>
      <c r="J155" s="22" t="s">
        <v>846</v>
      </c>
      <c r="K155" s="19" t="s">
        <v>1590</v>
      </c>
      <c r="L155" s="19">
        <v>228373</v>
      </c>
      <c r="M155" s="19">
        <v>1128379</v>
      </c>
      <c r="N155" s="19" t="s">
        <v>1586</v>
      </c>
      <c r="O155" s="28" t="s">
        <v>54</v>
      </c>
      <c r="P155" s="19" t="s">
        <v>55</v>
      </c>
      <c r="Q155" s="19" t="s">
        <v>1591</v>
      </c>
      <c r="R155" s="21">
        <v>44777</v>
      </c>
      <c r="S155" s="21">
        <v>46970</v>
      </c>
      <c r="T155" s="24">
        <v>1546000</v>
      </c>
      <c r="U155" s="19">
        <v>15</v>
      </c>
      <c r="V155" s="25">
        <v>231900</v>
      </c>
      <c r="W155" s="25">
        <v>1314100</v>
      </c>
      <c r="X155" s="26">
        <v>1.75</v>
      </c>
      <c r="Y155" s="25">
        <v>22996.750000000004</v>
      </c>
      <c r="Z155" s="19"/>
      <c r="AA155" s="28" t="s">
        <v>45</v>
      </c>
      <c r="AB155" s="23">
        <v>1141070243</v>
      </c>
      <c r="AC155" s="27">
        <v>45525</v>
      </c>
      <c r="AD155" s="28" t="s">
        <v>46</v>
      </c>
      <c r="AE155" s="28">
        <v>0</v>
      </c>
      <c r="AF155" s="29" t="s">
        <v>1587</v>
      </c>
      <c r="AG155" s="30">
        <v>22997</v>
      </c>
      <c r="AH155" s="31">
        <v>-0.24999999999636202</v>
      </c>
    </row>
    <row r="156" spans="1:34" x14ac:dyDescent="0.25">
      <c r="A156" s="19" t="s">
        <v>490</v>
      </c>
      <c r="B156" s="19" t="s">
        <v>1592</v>
      </c>
      <c r="C156" s="20">
        <v>45413</v>
      </c>
      <c r="D156" s="19" t="s">
        <v>35</v>
      </c>
      <c r="E156" s="19" t="s">
        <v>1593</v>
      </c>
      <c r="F156" s="21">
        <v>45438</v>
      </c>
      <c r="G156" s="21">
        <v>45802</v>
      </c>
      <c r="H156" s="22" t="s">
        <v>1594</v>
      </c>
      <c r="I156" s="23" t="s">
        <v>1595</v>
      </c>
      <c r="J156" s="22" t="s">
        <v>249</v>
      </c>
      <c r="K156" s="19" t="s">
        <v>1596</v>
      </c>
      <c r="L156" s="19">
        <v>236052</v>
      </c>
      <c r="M156" s="19">
        <v>10136087</v>
      </c>
      <c r="N156" s="19" t="s">
        <v>1592</v>
      </c>
      <c r="O156" s="28" t="s">
        <v>54</v>
      </c>
      <c r="P156" s="19" t="s">
        <v>152</v>
      </c>
      <c r="Q156" s="19" t="s">
        <v>1597</v>
      </c>
      <c r="R156" s="21">
        <v>44784</v>
      </c>
      <c r="S156" s="21">
        <v>46604</v>
      </c>
      <c r="T156" s="24">
        <v>1975000</v>
      </c>
      <c r="U156" s="19">
        <v>15</v>
      </c>
      <c r="V156" s="25">
        <v>296250</v>
      </c>
      <c r="W156" s="25">
        <v>1678750</v>
      </c>
      <c r="X156" s="26">
        <v>1.75</v>
      </c>
      <c r="Y156" s="25">
        <v>29378.125000000004</v>
      </c>
      <c r="Z156" s="19"/>
      <c r="AA156" s="28" t="s">
        <v>45</v>
      </c>
      <c r="AB156" s="23">
        <v>1141070243</v>
      </c>
      <c r="AC156" s="27">
        <v>45525</v>
      </c>
      <c r="AD156" s="28" t="s">
        <v>46</v>
      </c>
      <c r="AE156" s="28">
        <v>9</v>
      </c>
      <c r="AF156" s="29" t="s">
        <v>1593</v>
      </c>
      <c r="AG156" s="30">
        <v>29378</v>
      </c>
      <c r="AH156" s="31">
        <v>0.12500000000363798</v>
      </c>
    </row>
    <row r="157" spans="1:34" x14ac:dyDescent="0.25">
      <c r="A157" s="19" t="s">
        <v>490</v>
      </c>
      <c r="B157" s="19" t="s">
        <v>1598</v>
      </c>
      <c r="C157" s="20">
        <v>45413</v>
      </c>
      <c r="D157" s="19" t="s">
        <v>35</v>
      </c>
      <c r="E157" s="19" t="s">
        <v>1599</v>
      </c>
      <c r="F157" s="21">
        <v>45424</v>
      </c>
      <c r="G157" s="21">
        <v>45788</v>
      </c>
      <c r="H157" s="22" t="s">
        <v>1600</v>
      </c>
      <c r="I157" s="23" t="s">
        <v>1601</v>
      </c>
      <c r="J157" s="22" t="s">
        <v>249</v>
      </c>
      <c r="K157" s="19" t="s">
        <v>1602</v>
      </c>
      <c r="L157" s="19">
        <v>234048</v>
      </c>
      <c r="M157" s="19">
        <v>10134057</v>
      </c>
      <c r="N157" s="19" t="s">
        <v>1598</v>
      </c>
      <c r="O157" s="28" t="s">
        <v>54</v>
      </c>
      <c r="P157" s="19" t="s">
        <v>81</v>
      </c>
      <c r="Q157" s="19" t="s">
        <v>1603</v>
      </c>
      <c r="R157" s="21">
        <v>44768</v>
      </c>
      <c r="S157" s="21">
        <v>46604</v>
      </c>
      <c r="T157" s="24">
        <v>2199000</v>
      </c>
      <c r="U157" s="19">
        <v>15</v>
      </c>
      <c r="V157" s="25">
        <v>329850</v>
      </c>
      <c r="W157" s="25">
        <v>1869150</v>
      </c>
      <c r="X157" s="26">
        <v>2.5</v>
      </c>
      <c r="Y157" s="25">
        <v>46728.75</v>
      </c>
      <c r="Z157" s="19"/>
      <c r="AA157" s="28" t="s">
        <v>45</v>
      </c>
      <c r="AB157" s="23">
        <v>1141070243</v>
      </c>
      <c r="AC157" s="27">
        <v>45525</v>
      </c>
      <c r="AD157" s="28" t="s">
        <v>46</v>
      </c>
      <c r="AE157" s="28">
        <v>9</v>
      </c>
      <c r="AF157" s="29" t="s">
        <v>1599</v>
      </c>
      <c r="AG157" s="30">
        <v>46729</v>
      </c>
      <c r="AH157" s="31">
        <v>-0.25</v>
      </c>
    </row>
    <row r="158" spans="1:34" x14ac:dyDescent="0.25">
      <c r="A158" s="19" t="s">
        <v>490</v>
      </c>
      <c r="B158" s="19" t="s">
        <v>1604</v>
      </c>
      <c r="C158" s="20">
        <v>45413</v>
      </c>
      <c r="D158" s="19" t="s">
        <v>35</v>
      </c>
      <c r="E158" s="19" t="s">
        <v>1605</v>
      </c>
      <c r="F158" s="21">
        <v>45438</v>
      </c>
      <c r="G158" s="21">
        <v>45802</v>
      </c>
      <c r="H158" s="22" t="s">
        <v>1606</v>
      </c>
      <c r="I158" s="23" t="s">
        <v>1607</v>
      </c>
      <c r="J158" s="22" t="s">
        <v>1608</v>
      </c>
      <c r="K158" s="19" t="s">
        <v>1609</v>
      </c>
      <c r="L158" s="19" t="s">
        <v>1610</v>
      </c>
      <c r="M158" s="19">
        <v>6071685</v>
      </c>
      <c r="N158" s="19" t="s">
        <v>1604</v>
      </c>
      <c r="O158" s="28" t="s">
        <v>54</v>
      </c>
      <c r="P158" s="19" t="s">
        <v>81</v>
      </c>
      <c r="Q158" s="19" t="s">
        <v>1611</v>
      </c>
      <c r="R158" s="21">
        <v>44769</v>
      </c>
      <c r="S158" s="21">
        <v>46604</v>
      </c>
      <c r="T158" s="24">
        <v>3573000</v>
      </c>
      <c r="U158" s="19">
        <v>15</v>
      </c>
      <c r="V158" s="25">
        <v>535950</v>
      </c>
      <c r="W158" s="25">
        <v>3037050</v>
      </c>
      <c r="X158" s="26">
        <v>1.5</v>
      </c>
      <c r="Y158" s="25">
        <v>45555.75</v>
      </c>
      <c r="Z158" s="19"/>
      <c r="AA158" s="28" t="s">
        <v>45</v>
      </c>
      <c r="AB158" s="23">
        <v>1141070243</v>
      </c>
      <c r="AC158" s="27">
        <v>45525</v>
      </c>
      <c r="AD158" s="28" t="s">
        <v>46</v>
      </c>
      <c r="AE158" s="28">
        <v>0</v>
      </c>
      <c r="AF158" s="29" t="s">
        <v>1605</v>
      </c>
      <c r="AG158" s="30">
        <v>45556</v>
      </c>
      <c r="AH158" s="31">
        <v>-0.25</v>
      </c>
    </row>
    <row r="159" spans="1:34" x14ac:dyDescent="0.25">
      <c r="A159" s="19" t="s">
        <v>490</v>
      </c>
      <c r="B159" s="19" t="s">
        <v>1612</v>
      </c>
      <c r="C159" s="20">
        <v>45413</v>
      </c>
      <c r="D159" s="19" t="s">
        <v>35</v>
      </c>
      <c r="E159" s="19" t="s">
        <v>1613</v>
      </c>
      <c r="F159" s="21">
        <v>45443</v>
      </c>
      <c r="G159" s="21">
        <v>45807</v>
      </c>
      <c r="H159" s="22" t="s">
        <v>1614</v>
      </c>
      <c r="I159" s="23" t="s">
        <v>1615</v>
      </c>
      <c r="J159" s="22" t="s">
        <v>405</v>
      </c>
      <c r="K159" s="19" t="s">
        <v>1616</v>
      </c>
      <c r="L159" s="19">
        <v>195285</v>
      </c>
      <c r="M159" s="19">
        <v>10095283</v>
      </c>
      <c r="N159" s="19" t="s">
        <v>1612</v>
      </c>
      <c r="O159" s="28" t="s">
        <v>54</v>
      </c>
      <c r="P159" s="19" t="s">
        <v>1617</v>
      </c>
      <c r="Q159" s="19" t="s">
        <v>1618</v>
      </c>
      <c r="R159" s="21">
        <v>44769</v>
      </c>
      <c r="S159" s="21">
        <v>45874</v>
      </c>
      <c r="T159" s="24">
        <v>2564000</v>
      </c>
      <c r="U159" s="19">
        <v>15</v>
      </c>
      <c r="V159" s="25">
        <v>384600</v>
      </c>
      <c r="W159" s="25">
        <v>2179400</v>
      </c>
      <c r="X159" s="26">
        <v>2.5</v>
      </c>
      <c r="Y159" s="25">
        <v>54485</v>
      </c>
      <c r="Z159" s="19"/>
      <c r="AA159" s="28" t="s">
        <v>45</v>
      </c>
      <c r="AB159" s="23">
        <v>1141070243</v>
      </c>
      <c r="AC159" s="27">
        <v>45525</v>
      </c>
      <c r="AD159" s="28" t="s">
        <v>46</v>
      </c>
      <c r="AE159" s="28">
        <v>40</v>
      </c>
      <c r="AF159" s="29" t="s">
        <v>1613</v>
      </c>
      <c r="AG159" s="30">
        <v>54485</v>
      </c>
      <c r="AH159" s="31">
        <v>0</v>
      </c>
    </row>
    <row r="160" spans="1:34" x14ac:dyDescent="0.25">
      <c r="A160" s="19" t="s">
        <v>490</v>
      </c>
      <c r="B160" s="19" t="s">
        <v>1619</v>
      </c>
      <c r="C160" s="20">
        <v>45413</v>
      </c>
      <c r="D160" s="19" t="s">
        <v>35</v>
      </c>
      <c r="E160" s="19" t="s">
        <v>1620</v>
      </c>
      <c r="F160" s="21">
        <v>45435</v>
      </c>
      <c r="G160" s="21">
        <v>45799</v>
      </c>
      <c r="H160" s="22" t="s">
        <v>1621</v>
      </c>
      <c r="I160" s="23" t="s">
        <v>1622</v>
      </c>
      <c r="J160" s="22" t="s">
        <v>180</v>
      </c>
      <c r="K160" s="19" t="s">
        <v>1623</v>
      </c>
      <c r="L160" s="19">
        <v>1023132</v>
      </c>
      <c r="M160" s="19">
        <v>1139631</v>
      </c>
      <c r="N160" s="19" t="s">
        <v>1619</v>
      </c>
      <c r="O160" s="28" t="s">
        <v>54</v>
      </c>
      <c r="P160" s="19" t="s">
        <v>416</v>
      </c>
      <c r="Q160" s="19" t="s">
        <v>1624</v>
      </c>
      <c r="R160" s="21">
        <v>44769</v>
      </c>
      <c r="S160" s="21">
        <v>46604</v>
      </c>
      <c r="T160" s="24">
        <v>1328000</v>
      </c>
      <c r="U160" s="19">
        <v>15</v>
      </c>
      <c r="V160" s="25">
        <v>199200</v>
      </c>
      <c r="W160" s="25">
        <v>1128800</v>
      </c>
      <c r="X160" s="26">
        <v>2.5</v>
      </c>
      <c r="Y160" s="25">
        <v>28220</v>
      </c>
      <c r="Z160" s="19"/>
      <c r="AA160" s="28" t="s">
        <v>45</v>
      </c>
      <c r="AB160" s="23">
        <v>1141070243</v>
      </c>
      <c r="AC160" s="27">
        <v>45525</v>
      </c>
      <c r="AD160" s="28" t="s">
        <v>46</v>
      </c>
      <c r="AE160" s="28">
        <v>9</v>
      </c>
      <c r="AF160" s="29" t="s">
        <v>1620</v>
      </c>
      <c r="AG160" s="30">
        <v>28220</v>
      </c>
      <c r="AH160" s="31">
        <v>0</v>
      </c>
    </row>
    <row r="161" spans="1:34" x14ac:dyDescent="0.25">
      <c r="A161" s="19" t="s">
        <v>490</v>
      </c>
      <c r="B161" s="19" t="s">
        <v>1625</v>
      </c>
      <c r="C161" s="20">
        <v>45413</v>
      </c>
      <c r="D161" s="19" t="s">
        <v>35</v>
      </c>
      <c r="E161" s="19" t="s">
        <v>1626</v>
      </c>
      <c r="F161" s="21">
        <v>45430</v>
      </c>
      <c r="G161" s="21">
        <v>45794</v>
      </c>
      <c r="H161" s="22" t="s">
        <v>1627</v>
      </c>
      <c r="I161" s="23" t="s">
        <v>1628</v>
      </c>
      <c r="J161" s="22" t="s">
        <v>249</v>
      </c>
      <c r="K161" s="19" t="s">
        <v>1629</v>
      </c>
      <c r="L161" s="19">
        <v>235274</v>
      </c>
      <c r="M161" s="19">
        <v>10135162</v>
      </c>
      <c r="N161" s="19" t="s">
        <v>1625</v>
      </c>
      <c r="O161" s="28" t="s">
        <v>54</v>
      </c>
      <c r="P161" s="19" t="s">
        <v>152</v>
      </c>
      <c r="Q161" s="19" t="s">
        <v>1630</v>
      </c>
      <c r="R161" s="21">
        <v>44769</v>
      </c>
      <c r="S161" s="21">
        <v>46604</v>
      </c>
      <c r="T161" s="24">
        <v>2199000</v>
      </c>
      <c r="U161" s="19">
        <v>15</v>
      </c>
      <c r="V161" s="25">
        <v>329850</v>
      </c>
      <c r="W161" s="25">
        <v>1869150</v>
      </c>
      <c r="X161" s="26">
        <v>2.5</v>
      </c>
      <c r="Y161" s="25">
        <v>46728.75</v>
      </c>
      <c r="Z161" s="19"/>
      <c r="AA161" s="28" t="s">
        <v>45</v>
      </c>
      <c r="AB161" s="23">
        <v>1141070243</v>
      </c>
      <c r="AC161" s="27">
        <v>45525</v>
      </c>
      <c r="AD161" s="28" t="s">
        <v>46</v>
      </c>
      <c r="AE161" s="28">
        <v>0</v>
      </c>
      <c r="AF161" s="29" t="s">
        <v>1626</v>
      </c>
      <c r="AG161" s="30">
        <v>46729</v>
      </c>
      <c r="AH161" s="31">
        <v>-0.25</v>
      </c>
    </row>
    <row r="162" spans="1:34" x14ac:dyDescent="0.25">
      <c r="A162" s="19" t="s">
        <v>490</v>
      </c>
      <c r="B162" s="19" t="s">
        <v>1631</v>
      </c>
      <c r="C162" s="20">
        <v>45413</v>
      </c>
      <c r="D162" s="19" t="s">
        <v>35</v>
      </c>
      <c r="E162" s="19" t="s">
        <v>1632</v>
      </c>
      <c r="F162" s="21">
        <v>45429</v>
      </c>
      <c r="G162" s="21">
        <v>45793</v>
      </c>
      <c r="H162" s="22" t="s">
        <v>1633</v>
      </c>
      <c r="I162" s="23" t="s">
        <v>1634</v>
      </c>
      <c r="J162" s="22" t="s">
        <v>111</v>
      </c>
      <c r="K162" s="19" t="s">
        <v>1635</v>
      </c>
      <c r="L162" s="19">
        <v>228799</v>
      </c>
      <c r="M162" s="19">
        <v>1128818</v>
      </c>
      <c r="N162" s="19" t="s">
        <v>1631</v>
      </c>
      <c r="O162" s="28" t="s">
        <v>54</v>
      </c>
      <c r="P162" s="19" t="s">
        <v>152</v>
      </c>
      <c r="Q162" s="19" t="s">
        <v>1636</v>
      </c>
      <c r="R162" s="21">
        <v>44784</v>
      </c>
      <c r="S162" s="21">
        <v>46604</v>
      </c>
      <c r="T162" s="24">
        <v>1546000</v>
      </c>
      <c r="U162" s="19">
        <v>15</v>
      </c>
      <c r="V162" s="25">
        <v>231900</v>
      </c>
      <c r="W162" s="25">
        <v>1314100</v>
      </c>
      <c r="X162" s="26">
        <v>1.75</v>
      </c>
      <c r="Y162" s="25">
        <v>22996.750000000004</v>
      </c>
      <c r="Z162" s="19"/>
      <c r="AA162" s="28" t="s">
        <v>45</v>
      </c>
      <c r="AB162" s="23">
        <v>1141070243</v>
      </c>
      <c r="AC162" s="27">
        <v>45525</v>
      </c>
      <c r="AD162" s="28" t="s">
        <v>46</v>
      </c>
      <c r="AE162" s="28">
        <v>9</v>
      </c>
      <c r="AF162" s="29" t="s">
        <v>1632</v>
      </c>
      <c r="AG162" s="30">
        <v>22997</v>
      </c>
      <c r="AH162" s="31">
        <v>-0.24999999999636202</v>
      </c>
    </row>
    <row r="163" spans="1:34" x14ac:dyDescent="0.25">
      <c r="A163" s="19" t="s">
        <v>490</v>
      </c>
      <c r="B163" s="19" t="s">
        <v>1637</v>
      </c>
      <c r="C163" s="20">
        <v>45413</v>
      </c>
      <c r="D163" s="19" t="s">
        <v>35</v>
      </c>
      <c r="E163" s="19" t="s">
        <v>1638</v>
      </c>
      <c r="F163" s="21">
        <v>45435</v>
      </c>
      <c r="G163" s="21">
        <v>45799</v>
      </c>
      <c r="H163" s="22" t="s">
        <v>1639</v>
      </c>
      <c r="I163" s="23" t="s">
        <v>1640</v>
      </c>
      <c r="J163" s="22" t="s">
        <v>249</v>
      </c>
      <c r="K163" s="19" t="s">
        <v>1641</v>
      </c>
      <c r="L163" s="19">
        <v>235077</v>
      </c>
      <c r="M163" s="19">
        <v>10135076</v>
      </c>
      <c r="N163" s="19" t="s">
        <v>1637</v>
      </c>
      <c r="O163" s="28" t="s">
        <v>54</v>
      </c>
      <c r="P163" s="19" t="s">
        <v>416</v>
      </c>
      <c r="Q163" s="19" t="s">
        <v>1642</v>
      </c>
      <c r="R163" s="21">
        <v>44769</v>
      </c>
      <c r="S163" s="21">
        <v>46604</v>
      </c>
      <c r="T163" s="24">
        <v>2199000</v>
      </c>
      <c r="U163" s="19">
        <v>15</v>
      </c>
      <c r="V163" s="25">
        <v>329850</v>
      </c>
      <c r="W163" s="25">
        <v>1869150</v>
      </c>
      <c r="X163" s="26">
        <v>2.5</v>
      </c>
      <c r="Y163" s="25">
        <v>46728.75</v>
      </c>
      <c r="Z163" s="19"/>
      <c r="AA163" s="28" t="s">
        <v>45</v>
      </c>
      <c r="AB163" s="23">
        <v>1141070243</v>
      </c>
      <c r="AC163" s="27">
        <v>45525</v>
      </c>
      <c r="AD163" s="28" t="s">
        <v>46</v>
      </c>
      <c r="AE163" s="28">
        <v>40</v>
      </c>
      <c r="AF163" s="29" t="s">
        <v>1638</v>
      </c>
      <c r="AG163" s="30">
        <v>46729</v>
      </c>
      <c r="AH163" s="31">
        <v>-0.25</v>
      </c>
    </row>
    <row r="164" spans="1:34" x14ac:dyDescent="0.25">
      <c r="A164" s="19" t="s">
        <v>490</v>
      </c>
      <c r="B164" s="19" t="s">
        <v>1643</v>
      </c>
      <c r="C164" s="20">
        <v>45413</v>
      </c>
      <c r="D164" s="19" t="s">
        <v>35</v>
      </c>
      <c r="E164" s="19" t="s">
        <v>1644</v>
      </c>
      <c r="F164" s="21">
        <v>45442</v>
      </c>
      <c r="G164" s="21">
        <v>45806</v>
      </c>
      <c r="H164" s="22" t="s">
        <v>1645</v>
      </c>
      <c r="I164" s="23" t="s">
        <v>1646</v>
      </c>
      <c r="J164" s="22" t="s">
        <v>1517</v>
      </c>
      <c r="K164" s="19" t="s">
        <v>1647</v>
      </c>
      <c r="L164" s="19" t="s">
        <v>1648</v>
      </c>
      <c r="M164" s="19">
        <v>6071610</v>
      </c>
      <c r="N164" s="19" t="s">
        <v>1643</v>
      </c>
      <c r="O164" s="28" t="s">
        <v>54</v>
      </c>
      <c r="P164" s="19" t="s">
        <v>72</v>
      </c>
      <c r="Q164" s="19" t="s">
        <v>1649</v>
      </c>
      <c r="R164" s="21">
        <v>44769</v>
      </c>
      <c r="S164" s="21">
        <v>46604</v>
      </c>
      <c r="T164" s="24">
        <v>3923000</v>
      </c>
      <c r="U164" s="19">
        <v>15</v>
      </c>
      <c r="V164" s="25">
        <v>588450</v>
      </c>
      <c r="W164" s="25">
        <v>3334550</v>
      </c>
      <c r="X164" s="26">
        <v>1.5</v>
      </c>
      <c r="Y164" s="25">
        <v>50018.25</v>
      </c>
      <c r="Z164" s="19"/>
      <c r="AA164" s="28" t="s">
        <v>45</v>
      </c>
      <c r="AB164" s="23">
        <v>1141070243</v>
      </c>
      <c r="AC164" s="27">
        <v>45525</v>
      </c>
      <c r="AD164" s="28" t="s">
        <v>46</v>
      </c>
      <c r="AE164" s="28">
        <v>0</v>
      </c>
      <c r="AF164" s="29" t="s">
        <v>1644</v>
      </c>
      <c r="AG164" s="30">
        <v>50018</v>
      </c>
      <c r="AH164" s="31">
        <v>0.25</v>
      </c>
    </row>
    <row r="165" spans="1:34" x14ac:dyDescent="0.25">
      <c r="A165" s="19" t="s">
        <v>490</v>
      </c>
      <c r="B165" s="19" t="s">
        <v>1650</v>
      </c>
      <c r="C165" s="20">
        <v>45413</v>
      </c>
      <c r="D165" s="19" t="s">
        <v>35</v>
      </c>
      <c r="E165" s="19" t="s">
        <v>1651</v>
      </c>
      <c r="F165" s="21">
        <v>45443</v>
      </c>
      <c r="G165" s="21">
        <v>45807</v>
      </c>
      <c r="H165" s="22" t="s">
        <v>1652</v>
      </c>
      <c r="I165" s="23" t="s">
        <v>1653</v>
      </c>
      <c r="J165" s="22" t="s">
        <v>1654</v>
      </c>
      <c r="K165" s="19" t="s">
        <v>1655</v>
      </c>
      <c r="L165" s="19">
        <v>1011003</v>
      </c>
      <c r="M165" s="19">
        <v>18973</v>
      </c>
      <c r="N165" s="19" t="s">
        <v>1650</v>
      </c>
      <c r="O165" s="28" t="s">
        <v>54</v>
      </c>
      <c r="P165" s="19" t="s">
        <v>673</v>
      </c>
      <c r="Q165" s="19" t="s">
        <v>1656</v>
      </c>
      <c r="R165" s="21">
        <v>44768</v>
      </c>
      <c r="S165" s="21">
        <v>46604</v>
      </c>
      <c r="T165" s="24">
        <v>2955000</v>
      </c>
      <c r="U165" s="19">
        <v>15</v>
      </c>
      <c r="V165" s="25">
        <v>443250</v>
      </c>
      <c r="W165" s="25">
        <v>2511750</v>
      </c>
      <c r="X165" s="26">
        <v>2.5</v>
      </c>
      <c r="Y165" s="25">
        <v>62793.75</v>
      </c>
      <c r="Z165" s="19"/>
      <c r="AA165" s="28" t="s">
        <v>45</v>
      </c>
      <c r="AB165" s="23">
        <v>1141070243</v>
      </c>
      <c r="AC165" s="27">
        <v>45525</v>
      </c>
      <c r="AD165" s="28" t="s">
        <v>46</v>
      </c>
      <c r="AE165" s="28">
        <v>0</v>
      </c>
      <c r="AF165" s="29" t="s">
        <v>1651</v>
      </c>
      <c r="AG165" s="30">
        <v>62794</v>
      </c>
      <c r="AH165" s="31">
        <v>-0.25</v>
      </c>
    </row>
    <row r="166" spans="1:34" x14ac:dyDescent="0.25">
      <c r="A166" s="19" t="s">
        <v>490</v>
      </c>
      <c r="B166" s="19" t="s">
        <v>1657</v>
      </c>
      <c r="C166" s="20">
        <v>45413</v>
      </c>
      <c r="D166" s="19" t="s">
        <v>35</v>
      </c>
      <c r="E166" s="19" t="s">
        <v>1658</v>
      </c>
      <c r="F166" s="21">
        <v>45443</v>
      </c>
      <c r="G166" s="21">
        <v>45807</v>
      </c>
      <c r="H166" s="22" t="s">
        <v>1659</v>
      </c>
      <c r="I166" s="23" t="s">
        <v>1660</v>
      </c>
      <c r="J166" s="22" t="s">
        <v>1661</v>
      </c>
      <c r="K166" s="19" t="s">
        <v>1662</v>
      </c>
      <c r="L166" s="19">
        <v>117475</v>
      </c>
      <c r="M166" s="19">
        <v>303351</v>
      </c>
      <c r="N166" s="19" t="s">
        <v>1657</v>
      </c>
      <c r="O166" s="28" t="s">
        <v>54</v>
      </c>
      <c r="P166" s="19" t="s">
        <v>81</v>
      </c>
      <c r="Q166" s="19" t="s">
        <v>1663</v>
      </c>
      <c r="R166" s="21">
        <v>44769</v>
      </c>
      <c r="S166" s="21">
        <v>46604</v>
      </c>
      <c r="T166" s="24">
        <v>4299000</v>
      </c>
      <c r="U166" s="19">
        <v>15</v>
      </c>
      <c r="V166" s="25">
        <v>644850</v>
      </c>
      <c r="W166" s="25">
        <v>3654150</v>
      </c>
      <c r="X166" s="26">
        <v>1.5</v>
      </c>
      <c r="Y166" s="25">
        <v>54812.25</v>
      </c>
      <c r="Z166" s="19"/>
      <c r="AA166" s="28" t="s">
        <v>45</v>
      </c>
      <c r="AB166" s="23">
        <v>1141070243</v>
      </c>
      <c r="AC166" s="27">
        <v>45525</v>
      </c>
      <c r="AD166" s="28" t="s">
        <v>46</v>
      </c>
      <c r="AE166" s="28">
        <v>9</v>
      </c>
      <c r="AF166" s="29" t="s">
        <v>1658</v>
      </c>
      <c r="AG166" s="30">
        <v>54812</v>
      </c>
      <c r="AH166" s="31">
        <v>0.25</v>
      </c>
    </row>
    <row r="167" spans="1:34" x14ac:dyDescent="0.25">
      <c r="A167" s="19" t="s">
        <v>490</v>
      </c>
      <c r="B167" s="19" t="s">
        <v>1664</v>
      </c>
      <c r="C167" s="20">
        <v>45413</v>
      </c>
      <c r="D167" s="19" t="s">
        <v>35</v>
      </c>
      <c r="E167" s="19" t="s">
        <v>1665</v>
      </c>
      <c r="F167" s="21">
        <v>45442</v>
      </c>
      <c r="G167" s="21">
        <v>45806</v>
      </c>
      <c r="H167" s="22" t="s">
        <v>1666</v>
      </c>
      <c r="I167" s="23" t="s">
        <v>1667</v>
      </c>
      <c r="J167" s="22" t="s">
        <v>1668</v>
      </c>
      <c r="K167" s="19" t="s">
        <v>1669</v>
      </c>
      <c r="L167" s="19" t="s">
        <v>1670</v>
      </c>
      <c r="M167" s="19" t="s">
        <v>1671</v>
      </c>
      <c r="N167" s="19" t="s">
        <v>1664</v>
      </c>
      <c r="O167" s="28" t="s">
        <v>54</v>
      </c>
      <c r="P167" s="19" t="s">
        <v>81</v>
      </c>
      <c r="Q167" s="19" t="s">
        <v>1672</v>
      </c>
      <c r="R167" s="21">
        <v>44769</v>
      </c>
      <c r="S167" s="21">
        <v>46604</v>
      </c>
      <c r="T167" s="24">
        <v>2199000</v>
      </c>
      <c r="U167" s="19">
        <v>15</v>
      </c>
      <c r="V167" s="25">
        <v>329850</v>
      </c>
      <c r="W167" s="25">
        <v>1869150</v>
      </c>
      <c r="X167" s="26">
        <v>2.5</v>
      </c>
      <c r="Y167" s="25">
        <v>46728.75</v>
      </c>
      <c r="Z167" s="19"/>
      <c r="AA167" s="28" t="s">
        <v>45</v>
      </c>
      <c r="AB167" s="23">
        <v>1141070243</v>
      </c>
      <c r="AC167" s="27">
        <v>45525</v>
      </c>
      <c r="AD167" s="28" t="s">
        <v>46</v>
      </c>
      <c r="AE167" s="28">
        <v>9</v>
      </c>
      <c r="AF167" s="29" t="s">
        <v>1665</v>
      </c>
      <c r="AG167" s="30">
        <v>46729</v>
      </c>
      <c r="AH167" s="31">
        <v>-0.25</v>
      </c>
    </row>
    <row r="168" spans="1:34" x14ac:dyDescent="0.25">
      <c r="A168" s="19" t="s">
        <v>490</v>
      </c>
      <c r="B168" s="19" t="s">
        <v>1673</v>
      </c>
      <c r="C168" s="20">
        <v>45413</v>
      </c>
      <c r="D168" s="19" t="s">
        <v>35</v>
      </c>
      <c r="E168" s="19" t="s">
        <v>1674</v>
      </c>
      <c r="F168" s="21">
        <v>45435</v>
      </c>
      <c r="G168" s="21">
        <v>45799</v>
      </c>
      <c r="H168" s="22" t="s">
        <v>1675</v>
      </c>
      <c r="I168" s="23" t="s">
        <v>1676</v>
      </c>
      <c r="J168" s="22" t="s">
        <v>77</v>
      </c>
      <c r="K168" s="19" t="s">
        <v>1677</v>
      </c>
      <c r="L168" s="19">
        <v>235093</v>
      </c>
      <c r="M168" s="19">
        <v>10135106</v>
      </c>
      <c r="N168" s="19" t="s">
        <v>1673</v>
      </c>
      <c r="O168" s="28" t="s">
        <v>54</v>
      </c>
      <c r="P168" s="19" t="s">
        <v>81</v>
      </c>
      <c r="Q168" s="19" t="s">
        <v>1678</v>
      </c>
      <c r="R168" s="21">
        <v>44769</v>
      </c>
      <c r="S168" s="21">
        <v>46604</v>
      </c>
      <c r="T168" s="24">
        <v>2199000</v>
      </c>
      <c r="U168" s="19">
        <v>15</v>
      </c>
      <c r="V168" s="25">
        <v>329850</v>
      </c>
      <c r="W168" s="25">
        <v>1869150</v>
      </c>
      <c r="X168" s="26">
        <v>2.5</v>
      </c>
      <c r="Y168" s="25">
        <v>46728.75</v>
      </c>
      <c r="Z168" s="19"/>
      <c r="AA168" s="28" t="s">
        <v>45</v>
      </c>
      <c r="AB168" s="23">
        <v>1141070243</v>
      </c>
      <c r="AC168" s="27">
        <v>45525</v>
      </c>
      <c r="AD168" s="28" t="s">
        <v>46</v>
      </c>
      <c r="AE168" s="28">
        <v>9</v>
      </c>
      <c r="AF168" s="29" t="s">
        <v>1674</v>
      </c>
      <c r="AG168" s="30">
        <v>46729</v>
      </c>
      <c r="AH168" s="31">
        <v>-0.25</v>
      </c>
    </row>
    <row r="169" spans="1:34" x14ac:dyDescent="0.25">
      <c r="A169" s="19" t="s">
        <v>490</v>
      </c>
      <c r="B169" s="19" t="s">
        <v>1679</v>
      </c>
      <c r="C169" s="20">
        <v>45413</v>
      </c>
      <c r="D169" s="19" t="s">
        <v>35</v>
      </c>
      <c r="E169" s="19" t="s">
        <v>1680</v>
      </c>
      <c r="F169" s="21">
        <v>45431</v>
      </c>
      <c r="G169" s="21">
        <v>45795</v>
      </c>
      <c r="H169" s="22" t="s">
        <v>1681</v>
      </c>
      <c r="I169" s="23" t="s">
        <v>1682</v>
      </c>
      <c r="J169" s="22" t="s">
        <v>249</v>
      </c>
      <c r="K169" s="19" t="s">
        <v>1683</v>
      </c>
      <c r="L169" s="19" t="s">
        <v>1684</v>
      </c>
      <c r="M169" s="19" t="s">
        <v>1685</v>
      </c>
      <c r="N169" s="19" t="s">
        <v>1679</v>
      </c>
      <c r="O169" s="28" t="s">
        <v>54</v>
      </c>
      <c r="P169" s="19" t="s">
        <v>81</v>
      </c>
      <c r="Q169" s="19" t="s">
        <v>1686</v>
      </c>
      <c r="R169" s="21">
        <v>44769</v>
      </c>
      <c r="S169" s="21">
        <v>46604</v>
      </c>
      <c r="T169" s="24">
        <v>2199000</v>
      </c>
      <c r="U169" s="19">
        <v>15</v>
      </c>
      <c r="V169" s="25">
        <v>329850</v>
      </c>
      <c r="W169" s="25">
        <v>1869150</v>
      </c>
      <c r="X169" s="26">
        <v>2.5</v>
      </c>
      <c r="Y169" s="25">
        <v>46728.75</v>
      </c>
      <c r="Z169" s="19"/>
      <c r="AA169" s="28" t="s">
        <v>45</v>
      </c>
      <c r="AB169" s="23">
        <v>1141070243</v>
      </c>
      <c r="AC169" s="27">
        <v>45525</v>
      </c>
      <c r="AD169" s="28" t="s">
        <v>46</v>
      </c>
      <c r="AE169" s="28">
        <v>40</v>
      </c>
      <c r="AF169" s="29" t="s">
        <v>1680</v>
      </c>
      <c r="AG169" s="30">
        <v>46729</v>
      </c>
      <c r="AH169" s="31">
        <v>-0.25</v>
      </c>
    </row>
    <row r="170" spans="1:34" x14ac:dyDescent="0.25">
      <c r="A170" s="19" t="s">
        <v>490</v>
      </c>
      <c r="B170" s="19" t="s">
        <v>1687</v>
      </c>
      <c r="C170" s="20">
        <v>45413</v>
      </c>
      <c r="D170" s="19" t="s">
        <v>35</v>
      </c>
      <c r="E170" s="19" t="s">
        <v>1688</v>
      </c>
      <c r="F170" s="21">
        <v>45442</v>
      </c>
      <c r="G170" s="21">
        <v>45806</v>
      </c>
      <c r="H170" s="22" t="s">
        <v>1689</v>
      </c>
      <c r="I170" s="23" t="s">
        <v>1690</v>
      </c>
      <c r="J170" s="22" t="s">
        <v>846</v>
      </c>
      <c r="K170" s="19" t="s">
        <v>1691</v>
      </c>
      <c r="L170" s="19">
        <v>232195</v>
      </c>
      <c r="M170" s="19">
        <v>1132178</v>
      </c>
      <c r="N170" s="19" t="s">
        <v>1687</v>
      </c>
      <c r="O170" s="28" t="s">
        <v>54</v>
      </c>
      <c r="P170" s="19" t="s">
        <v>152</v>
      </c>
      <c r="Q170" s="19" t="s">
        <v>1692</v>
      </c>
      <c r="R170" s="21">
        <v>44784</v>
      </c>
      <c r="S170" s="21">
        <v>47336</v>
      </c>
      <c r="T170" s="24">
        <v>1546000</v>
      </c>
      <c r="U170" s="19">
        <v>15</v>
      </c>
      <c r="V170" s="25">
        <v>231900</v>
      </c>
      <c r="W170" s="25">
        <v>1314100</v>
      </c>
      <c r="X170" s="26">
        <v>1.75</v>
      </c>
      <c r="Y170" s="25">
        <v>22996.750000000004</v>
      </c>
      <c r="Z170" s="19"/>
      <c r="AA170" s="28" t="s">
        <v>45</v>
      </c>
      <c r="AB170" s="23">
        <v>1141070243</v>
      </c>
      <c r="AC170" s="27">
        <v>45525</v>
      </c>
      <c r="AD170" s="28" t="s">
        <v>46</v>
      </c>
      <c r="AE170" s="28">
        <v>0</v>
      </c>
      <c r="AF170" s="29" t="s">
        <v>1688</v>
      </c>
      <c r="AG170" s="30">
        <v>22997</v>
      </c>
      <c r="AH170" s="31">
        <v>-0.24999999999636202</v>
      </c>
    </row>
    <row r="171" spans="1:34" x14ac:dyDescent="0.25">
      <c r="A171" s="19" t="s">
        <v>490</v>
      </c>
      <c r="B171" s="19" t="s">
        <v>1693</v>
      </c>
      <c r="C171" s="20">
        <v>45413</v>
      </c>
      <c r="D171" s="19" t="s">
        <v>35</v>
      </c>
      <c r="E171" s="19" t="s">
        <v>1694</v>
      </c>
      <c r="F171" s="21">
        <v>45442</v>
      </c>
      <c r="G171" s="21">
        <v>45806</v>
      </c>
      <c r="H171" s="22" t="s">
        <v>1695</v>
      </c>
      <c r="I171" s="23" t="s">
        <v>1696</v>
      </c>
      <c r="J171" s="22" t="s">
        <v>249</v>
      </c>
      <c r="K171" s="19" t="s">
        <v>1697</v>
      </c>
      <c r="L171" s="19">
        <v>235136</v>
      </c>
      <c r="M171" s="19">
        <v>10135147</v>
      </c>
      <c r="N171" s="19" t="s">
        <v>1693</v>
      </c>
      <c r="O171" s="28" t="s">
        <v>54</v>
      </c>
      <c r="P171" s="19" t="s">
        <v>152</v>
      </c>
      <c r="Q171" s="19" t="s">
        <v>1698</v>
      </c>
      <c r="R171" s="21">
        <v>44769</v>
      </c>
      <c r="S171" s="21">
        <v>46604</v>
      </c>
      <c r="T171" s="24">
        <v>2199000</v>
      </c>
      <c r="U171" s="19">
        <v>15</v>
      </c>
      <c r="V171" s="25">
        <v>329850</v>
      </c>
      <c r="W171" s="25">
        <v>1869150</v>
      </c>
      <c r="X171" s="26">
        <v>2.5</v>
      </c>
      <c r="Y171" s="25">
        <v>46728.75</v>
      </c>
      <c r="Z171" s="19"/>
      <c r="AA171" s="28" t="s">
        <v>45</v>
      </c>
      <c r="AB171" s="23">
        <v>1141070243</v>
      </c>
      <c r="AC171" s="27">
        <v>45525</v>
      </c>
      <c r="AD171" s="28" t="s">
        <v>46</v>
      </c>
      <c r="AE171" s="28">
        <v>9</v>
      </c>
      <c r="AF171" s="29" t="s">
        <v>1694</v>
      </c>
      <c r="AG171" s="30">
        <v>46729</v>
      </c>
      <c r="AH171" s="31">
        <v>-0.25</v>
      </c>
    </row>
    <row r="172" spans="1:34" x14ac:dyDescent="0.25">
      <c r="A172" s="19" t="s">
        <v>490</v>
      </c>
      <c r="B172" s="19" t="s">
        <v>1699</v>
      </c>
      <c r="C172" s="20">
        <v>45413</v>
      </c>
      <c r="D172" s="19" t="s">
        <v>35</v>
      </c>
      <c r="E172" s="19" t="s">
        <v>1700</v>
      </c>
      <c r="F172" s="21">
        <v>45432</v>
      </c>
      <c r="G172" s="21">
        <v>45796</v>
      </c>
      <c r="H172" s="22" t="s">
        <v>1701</v>
      </c>
      <c r="I172" s="23" t="s">
        <v>1702</v>
      </c>
      <c r="J172" s="22" t="s">
        <v>638</v>
      </c>
      <c r="K172" s="19" t="s">
        <v>1703</v>
      </c>
      <c r="L172" s="19">
        <v>21783500</v>
      </c>
      <c r="M172" s="19" t="s">
        <v>1704</v>
      </c>
      <c r="N172" s="19" t="s">
        <v>1699</v>
      </c>
      <c r="O172" s="19" t="s">
        <v>161</v>
      </c>
      <c r="P172" s="19" t="s">
        <v>162</v>
      </c>
      <c r="Q172" s="19" t="s">
        <v>1705</v>
      </c>
      <c r="R172" s="21">
        <v>44767</v>
      </c>
      <c r="S172" s="21">
        <v>45874</v>
      </c>
      <c r="T172" s="24">
        <v>5062500</v>
      </c>
      <c r="U172" s="19">
        <v>15</v>
      </c>
      <c r="V172" s="25">
        <v>759375</v>
      </c>
      <c r="W172" s="25">
        <v>4303125</v>
      </c>
      <c r="X172" s="26">
        <v>1.5</v>
      </c>
      <c r="Y172" s="25">
        <v>64546.875</v>
      </c>
      <c r="Z172" s="19"/>
      <c r="AA172" s="28" t="s">
        <v>45</v>
      </c>
      <c r="AB172" s="23">
        <v>1141070243</v>
      </c>
      <c r="AC172" s="27">
        <v>45525</v>
      </c>
      <c r="AD172" s="28" t="s">
        <v>46</v>
      </c>
      <c r="AE172" s="28">
        <v>9</v>
      </c>
      <c r="AF172" s="29" t="s">
        <v>1700</v>
      </c>
      <c r="AG172" s="30">
        <v>64547</v>
      </c>
      <c r="AH172" s="31">
        <v>-0.125</v>
      </c>
    </row>
    <row r="173" spans="1:34" x14ac:dyDescent="0.25">
      <c r="A173" s="19" t="s">
        <v>490</v>
      </c>
      <c r="B173" s="19" t="s">
        <v>1706</v>
      </c>
      <c r="C173" s="20">
        <v>45413</v>
      </c>
      <c r="D173" s="19" t="s">
        <v>35</v>
      </c>
      <c r="E173" s="19" t="s">
        <v>1707</v>
      </c>
      <c r="F173" s="21">
        <v>45442</v>
      </c>
      <c r="G173" s="21">
        <v>45806</v>
      </c>
      <c r="H173" s="22" t="s">
        <v>1708</v>
      </c>
      <c r="I173" s="23">
        <v>4230144948403</v>
      </c>
      <c r="J173" s="22" t="s">
        <v>1245</v>
      </c>
      <c r="K173" s="19" t="s">
        <v>1709</v>
      </c>
      <c r="L173" s="19">
        <v>384544</v>
      </c>
      <c r="M173" s="19">
        <v>489188</v>
      </c>
      <c r="N173" s="19" t="s">
        <v>1706</v>
      </c>
      <c r="O173" s="19" t="s">
        <v>42</v>
      </c>
      <c r="P173" s="19" t="s">
        <v>43</v>
      </c>
      <c r="Q173" s="19" t="s">
        <v>1710</v>
      </c>
      <c r="R173" s="21">
        <v>44769</v>
      </c>
      <c r="S173" s="21">
        <v>46604</v>
      </c>
      <c r="T173" s="24">
        <v>1256000</v>
      </c>
      <c r="U173" s="19">
        <v>15</v>
      </c>
      <c r="V173" s="25">
        <v>188400</v>
      </c>
      <c r="W173" s="25">
        <v>1067600</v>
      </c>
      <c r="X173" s="26">
        <v>2.5</v>
      </c>
      <c r="Y173" s="25">
        <v>26690</v>
      </c>
      <c r="Z173" s="19"/>
      <c r="AA173" s="28" t="s">
        <v>45</v>
      </c>
      <c r="AB173" s="23">
        <v>1141070243</v>
      </c>
      <c r="AC173" s="27">
        <v>45525</v>
      </c>
      <c r="AD173" s="28" t="s">
        <v>46</v>
      </c>
      <c r="AE173" s="28">
        <v>0</v>
      </c>
      <c r="AF173" s="29" t="s">
        <v>1707</v>
      </c>
      <c r="AG173" s="30">
        <v>26690</v>
      </c>
      <c r="AH173" s="31">
        <v>0</v>
      </c>
    </row>
    <row r="174" spans="1:34" x14ac:dyDescent="0.25">
      <c r="A174" s="19" t="s">
        <v>490</v>
      </c>
      <c r="B174" s="19" t="s">
        <v>1711</v>
      </c>
      <c r="C174" s="20">
        <v>45383</v>
      </c>
      <c r="D174" s="19" t="s">
        <v>35</v>
      </c>
      <c r="E174" s="19" t="s">
        <v>1712</v>
      </c>
      <c r="F174" s="21">
        <v>45389</v>
      </c>
      <c r="G174" s="21">
        <v>45753</v>
      </c>
      <c r="H174" s="22" t="s">
        <v>1713</v>
      </c>
      <c r="I174" s="23" t="s">
        <v>1714</v>
      </c>
      <c r="J174" s="22" t="s">
        <v>846</v>
      </c>
      <c r="K174" s="19" t="s">
        <v>1715</v>
      </c>
      <c r="L174" s="19">
        <v>221559</v>
      </c>
      <c r="M174" s="19">
        <v>1121537</v>
      </c>
      <c r="N174" s="19" t="s">
        <v>1711</v>
      </c>
      <c r="O174" s="28" t="s">
        <v>54</v>
      </c>
      <c r="P174" s="19" t="s">
        <v>55</v>
      </c>
      <c r="Q174" s="19" t="s">
        <v>1716</v>
      </c>
      <c r="R174" s="21">
        <v>44764</v>
      </c>
      <c r="S174" s="21">
        <v>46239</v>
      </c>
      <c r="T174" s="24">
        <v>1373000</v>
      </c>
      <c r="U174" s="19">
        <v>15</v>
      </c>
      <c r="V174" s="25">
        <v>205950</v>
      </c>
      <c r="W174" s="25">
        <v>1167050</v>
      </c>
      <c r="X174" s="26">
        <v>1.75</v>
      </c>
      <c r="Y174" s="25">
        <v>20423.375000000004</v>
      </c>
      <c r="Z174" s="19"/>
      <c r="AA174" s="28" t="s">
        <v>45</v>
      </c>
      <c r="AB174" s="23">
        <v>1141070243</v>
      </c>
      <c r="AC174" s="27">
        <v>45525</v>
      </c>
      <c r="AD174" s="28" t="s">
        <v>46</v>
      </c>
      <c r="AE174" s="28">
        <v>0</v>
      </c>
      <c r="AF174" s="29" t="s">
        <v>1712</v>
      </c>
      <c r="AG174" s="30">
        <v>20423</v>
      </c>
      <c r="AH174" s="31">
        <v>0.37500000000363798</v>
      </c>
    </row>
    <row r="175" spans="1:34" x14ac:dyDescent="0.25">
      <c r="A175" s="19" t="s">
        <v>490</v>
      </c>
      <c r="B175" s="19" t="s">
        <v>1717</v>
      </c>
      <c r="C175" s="20">
        <v>45383</v>
      </c>
      <c r="D175" s="19" t="s">
        <v>35</v>
      </c>
      <c r="E175" s="19" t="s">
        <v>1718</v>
      </c>
      <c r="F175" s="21">
        <v>45411</v>
      </c>
      <c r="G175" s="21">
        <v>45775</v>
      </c>
      <c r="H175" s="22" t="s">
        <v>1719</v>
      </c>
      <c r="I175" s="23">
        <v>3630213923243</v>
      </c>
      <c r="J175" s="22" t="s">
        <v>1720</v>
      </c>
      <c r="K175" s="19" t="s">
        <v>1721</v>
      </c>
      <c r="L175" s="19" t="s">
        <v>1722</v>
      </c>
      <c r="M175" s="19" t="s">
        <v>1723</v>
      </c>
      <c r="N175" s="19" t="s">
        <v>1717</v>
      </c>
      <c r="O175" s="28" t="s">
        <v>54</v>
      </c>
      <c r="P175" s="19" t="s">
        <v>81</v>
      </c>
      <c r="Q175" s="19" t="s">
        <v>1724</v>
      </c>
      <c r="R175" s="21">
        <v>44769</v>
      </c>
      <c r="S175" s="21">
        <v>46604</v>
      </c>
      <c r="T175" s="24">
        <v>2287000</v>
      </c>
      <c r="U175" s="19">
        <v>15</v>
      </c>
      <c r="V175" s="25">
        <v>343050</v>
      </c>
      <c r="W175" s="25">
        <v>1943950</v>
      </c>
      <c r="X175" s="26">
        <v>2.5</v>
      </c>
      <c r="Y175" s="25">
        <v>48598.75</v>
      </c>
      <c r="Z175" s="19"/>
      <c r="AA175" s="28" t="s">
        <v>45</v>
      </c>
      <c r="AB175" s="23">
        <v>1141070243</v>
      </c>
      <c r="AC175" s="27">
        <v>45525</v>
      </c>
      <c r="AD175" s="28" t="s">
        <v>46</v>
      </c>
      <c r="AE175" s="28">
        <v>9</v>
      </c>
      <c r="AF175" s="29" t="s">
        <v>1718</v>
      </c>
      <c r="AG175" s="30">
        <v>48599</v>
      </c>
      <c r="AH175" s="31">
        <v>-0.25</v>
      </c>
    </row>
    <row r="176" spans="1:34" x14ac:dyDescent="0.25">
      <c r="A176" s="19" t="s">
        <v>490</v>
      </c>
      <c r="B176" s="19" t="s">
        <v>1725</v>
      </c>
      <c r="C176" s="20">
        <v>45383</v>
      </c>
      <c r="D176" s="19" t="s">
        <v>35</v>
      </c>
      <c r="E176" s="19" t="s">
        <v>1726</v>
      </c>
      <c r="F176" s="21">
        <v>45408</v>
      </c>
      <c r="G176" s="21">
        <v>45772</v>
      </c>
      <c r="H176" s="22" t="s">
        <v>1727</v>
      </c>
      <c r="I176" s="23">
        <v>3520225123793</v>
      </c>
      <c r="J176" s="22" t="s">
        <v>1728</v>
      </c>
      <c r="K176" s="19" t="s">
        <v>1729</v>
      </c>
      <c r="L176" s="19">
        <v>1022736</v>
      </c>
      <c r="M176" s="19">
        <v>1139238</v>
      </c>
      <c r="N176" s="19" t="s">
        <v>1725</v>
      </c>
      <c r="O176" s="28" t="s">
        <v>54</v>
      </c>
      <c r="P176" s="19" t="s">
        <v>81</v>
      </c>
      <c r="Q176" s="19" t="s">
        <v>1730</v>
      </c>
      <c r="R176" s="21">
        <v>44769</v>
      </c>
      <c r="S176" s="21">
        <v>46604</v>
      </c>
      <c r="T176" s="24">
        <v>1283000</v>
      </c>
      <c r="U176" s="19">
        <v>15</v>
      </c>
      <c r="V176" s="25">
        <v>192450</v>
      </c>
      <c r="W176" s="25">
        <v>1090550</v>
      </c>
      <c r="X176" s="26">
        <v>2.5</v>
      </c>
      <c r="Y176" s="25">
        <v>27263.75</v>
      </c>
      <c r="Z176" s="19"/>
      <c r="AA176" s="28" t="s">
        <v>45</v>
      </c>
      <c r="AB176" s="23">
        <v>1141070243</v>
      </c>
      <c r="AC176" s="27">
        <v>45525</v>
      </c>
      <c r="AD176" s="28" t="s">
        <v>46</v>
      </c>
      <c r="AE176" s="28">
        <v>0</v>
      </c>
      <c r="AF176" s="29" t="s">
        <v>1726</v>
      </c>
      <c r="AG176" s="30">
        <v>27264</v>
      </c>
      <c r="AH176" s="31">
        <v>-0.25</v>
      </c>
    </row>
    <row r="177" spans="1:34" x14ac:dyDescent="0.25">
      <c r="A177" s="19" t="s">
        <v>490</v>
      </c>
      <c r="B177" s="19" t="s">
        <v>1731</v>
      </c>
      <c r="C177" s="20">
        <v>45383</v>
      </c>
      <c r="D177" s="19" t="s">
        <v>35</v>
      </c>
      <c r="E177" s="19" t="s">
        <v>1732</v>
      </c>
      <c r="F177" s="21">
        <v>45412</v>
      </c>
      <c r="G177" s="21">
        <v>45776</v>
      </c>
      <c r="H177" s="22" t="s">
        <v>1733</v>
      </c>
      <c r="I177" s="23">
        <v>3520193691435</v>
      </c>
      <c r="J177" s="22" t="s">
        <v>846</v>
      </c>
      <c r="K177" s="19" t="s">
        <v>1734</v>
      </c>
      <c r="L177" s="19">
        <v>224740</v>
      </c>
      <c r="M177" s="19">
        <v>1124718</v>
      </c>
      <c r="N177" s="19" t="s">
        <v>1731</v>
      </c>
      <c r="O177" s="28" t="s">
        <v>54</v>
      </c>
      <c r="P177" s="19" t="s">
        <v>81</v>
      </c>
      <c r="Q177" s="19" t="s">
        <v>1735</v>
      </c>
      <c r="R177" s="21">
        <v>44769</v>
      </c>
      <c r="S177" s="21">
        <v>47336</v>
      </c>
      <c r="T177" s="24">
        <v>1675000</v>
      </c>
      <c r="U177" s="19">
        <v>15</v>
      </c>
      <c r="V177" s="25">
        <v>251250</v>
      </c>
      <c r="W177" s="25">
        <v>1423750</v>
      </c>
      <c r="X177" s="26">
        <v>2.5</v>
      </c>
      <c r="Y177" s="25">
        <v>35593.75</v>
      </c>
      <c r="Z177" s="19"/>
      <c r="AA177" s="28" t="s">
        <v>45</v>
      </c>
      <c r="AB177" s="23">
        <v>1141070243</v>
      </c>
      <c r="AC177" s="27">
        <v>45525</v>
      </c>
      <c r="AD177" s="28" t="s">
        <v>46</v>
      </c>
      <c r="AE177" s="28">
        <v>0</v>
      </c>
      <c r="AF177" s="29" t="s">
        <v>1732</v>
      </c>
      <c r="AG177" s="30">
        <v>35594</v>
      </c>
      <c r="AH177" s="31">
        <v>-0.25</v>
      </c>
    </row>
    <row r="178" spans="1:34" x14ac:dyDescent="0.25">
      <c r="A178" s="19" t="s">
        <v>490</v>
      </c>
      <c r="B178" s="19" t="s">
        <v>1736</v>
      </c>
      <c r="C178" s="20">
        <v>45383</v>
      </c>
      <c r="D178" s="19" t="s">
        <v>35</v>
      </c>
      <c r="E178" s="19" t="s">
        <v>1737</v>
      </c>
      <c r="F178" s="21">
        <v>45410</v>
      </c>
      <c r="G178" s="21">
        <v>45774</v>
      </c>
      <c r="H178" s="22" t="s">
        <v>1738</v>
      </c>
      <c r="I178" s="23">
        <v>3650214118798</v>
      </c>
      <c r="J178" s="22" t="s">
        <v>806</v>
      </c>
      <c r="K178" s="19" t="s">
        <v>1739</v>
      </c>
      <c r="L178" s="19" t="s">
        <v>1740</v>
      </c>
      <c r="M178" s="19">
        <v>7059017</v>
      </c>
      <c r="N178" s="19" t="s">
        <v>1736</v>
      </c>
      <c r="O178" s="28" t="s">
        <v>54</v>
      </c>
      <c r="P178" s="19" t="s">
        <v>81</v>
      </c>
      <c r="Q178" s="19" t="s">
        <v>1741</v>
      </c>
      <c r="R178" s="21">
        <v>44769</v>
      </c>
      <c r="S178" s="21">
        <v>46604</v>
      </c>
      <c r="T178" s="24">
        <v>4238000</v>
      </c>
      <c r="U178" s="19">
        <v>15</v>
      </c>
      <c r="V178" s="25">
        <v>635700</v>
      </c>
      <c r="W178" s="25">
        <v>3602300</v>
      </c>
      <c r="X178" s="26">
        <v>1.5</v>
      </c>
      <c r="Y178" s="25">
        <v>54034.5</v>
      </c>
      <c r="Z178" s="19"/>
      <c r="AA178" s="28" t="s">
        <v>45</v>
      </c>
      <c r="AB178" s="23">
        <v>1141070243</v>
      </c>
      <c r="AC178" s="27">
        <v>45525</v>
      </c>
      <c r="AD178" s="28" t="s">
        <v>46</v>
      </c>
      <c r="AE178" s="28">
        <v>9</v>
      </c>
      <c r="AF178" s="29" t="s">
        <v>1737</v>
      </c>
      <c r="AG178" s="30">
        <v>54035</v>
      </c>
      <c r="AH178" s="31">
        <v>-0.5</v>
      </c>
    </row>
    <row r="179" spans="1:34" x14ac:dyDescent="0.25">
      <c r="A179" s="19" t="s">
        <v>490</v>
      </c>
      <c r="B179" s="19" t="s">
        <v>1742</v>
      </c>
      <c r="C179" s="20">
        <v>45383</v>
      </c>
      <c r="D179" s="19" t="s">
        <v>35</v>
      </c>
      <c r="E179" s="19" t="s">
        <v>1743</v>
      </c>
      <c r="F179" s="21">
        <v>45412</v>
      </c>
      <c r="G179" s="21">
        <v>45776</v>
      </c>
      <c r="H179" s="22" t="s">
        <v>1744</v>
      </c>
      <c r="I179" s="23">
        <v>4210198169231</v>
      </c>
      <c r="J179" s="22" t="s">
        <v>1745</v>
      </c>
      <c r="K179" s="19" t="s">
        <v>1746</v>
      </c>
      <c r="L179" s="19">
        <v>507713</v>
      </c>
      <c r="M179" s="19" t="s">
        <v>1747</v>
      </c>
      <c r="N179" s="19" t="s">
        <v>1742</v>
      </c>
      <c r="O179" s="19" t="s">
        <v>42</v>
      </c>
      <c r="P179" s="19" t="s">
        <v>43</v>
      </c>
      <c r="Q179" s="19" t="s">
        <v>1748</v>
      </c>
      <c r="R179" s="21">
        <v>44769</v>
      </c>
      <c r="S179" s="21">
        <v>46604</v>
      </c>
      <c r="T179" s="24">
        <v>2069000</v>
      </c>
      <c r="U179" s="19">
        <v>15</v>
      </c>
      <c r="V179" s="25">
        <v>310350</v>
      </c>
      <c r="W179" s="25">
        <v>1758650</v>
      </c>
      <c r="X179" s="26">
        <v>2.5</v>
      </c>
      <c r="Y179" s="25">
        <v>43966.25</v>
      </c>
      <c r="Z179" s="19"/>
      <c r="AA179" s="28" t="s">
        <v>45</v>
      </c>
      <c r="AB179" s="23">
        <v>1141070243</v>
      </c>
      <c r="AC179" s="27">
        <v>45525</v>
      </c>
      <c r="AD179" s="28" t="s">
        <v>46</v>
      </c>
      <c r="AE179" s="28">
        <v>0</v>
      </c>
      <c r="AF179" s="29" t="s">
        <v>1743</v>
      </c>
      <c r="AG179" s="30">
        <v>43966</v>
      </c>
      <c r="AH179" s="31">
        <v>0.25</v>
      </c>
    </row>
    <row r="180" spans="1:34" x14ac:dyDescent="0.25">
      <c r="A180" s="19" t="s">
        <v>490</v>
      </c>
      <c r="B180" s="19" t="s">
        <v>1749</v>
      </c>
      <c r="C180" s="20">
        <v>45383</v>
      </c>
      <c r="D180" s="19" t="s">
        <v>35</v>
      </c>
      <c r="E180" s="19" t="s">
        <v>1750</v>
      </c>
      <c r="F180" s="21">
        <v>45401</v>
      </c>
      <c r="G180" s="21">
        <v>45765</v>
      </c>
      <c r="H180" s="22" t="s">
        <v>1751</v>
      </c>
      <c r="I180" s="23">
        <v>4240185271875</v>
      </c>
      <c r="J180" s="22" t="s">
        <v>1245</v>
      </c>
      <c r="K180" s="19" t="s">
        <v>1752</v>
      </c>
      <c r="L180" s="19">
        <v>383527</v>
      </c>
      <c r="M180" s="19">
        <v>488159</v>
      </c>
      <c r="N180" s="19" t="s">
        <v>1749</v>
      </c>
      <c r="O180" s="19" t="s">
        <v>42</v>
      </c>
      <c r="P180" s="19" t="s">
        <v>43</v>
      </c>
      <c r="Q180" s="19" t="s">
        <v>1753</v>
      </c>
      <c r="R180" s="21">
        <v>44769</v>
      </c>
      <c r="S180" s="21">
        <v>45874</v>
      </c>
      <c r="T180" s="24">
        <v>1216000</v>
      </c>
      <c r="U180" s="19">
        <v>15</v>
      </c>
      <c r="V180" s="25">
        <v>182400</v>
      </c>
      <c r="W180" s="25">
        <v>1033600</v>
      </c>
      <c r="X180" s="26">
        <v>2.5</v>
      </c>
      <c r="Y180" s="25">
        <v>25840</v>
      </c>
      <c r="Z180" s="19"/>
      <c r="AA180" s="28" t="s">
        <v>45</v>
      </c>
      <c r="AB180" s="23">
        <v>1141070243</v>
      </c>
      <c r="AC180" s="27">
        <v>45525</v>
      </c>
      <c r="AD180" s="28" t="s">
        <v>46</v>
      </c>
      <c r="AE180" s="28">
        <v>9</v>
      </c>
      <c r="AF180" s="29" t="s">
        <v>1750</v>
      </c>
      <c r="AG180" s="30">
        <v>25840</v>
      </c>
      <c r="AH180" s="31">
        <v>0</v>
      </c>
    </row>
    <row r="181" spans="1:34" x14ac:dyDescent="0.25">
      <c r="A181" s="19" t="s">
        <v>490</v>
      </c>
      <c r="B181" s="19" t="s">
        <v>1754</v>
      </c>
      <c r="C181" s="20">
        <v>45383</v>
      </c>
      <c r="D181" s="19" t="s">
        <v>35</v>
      </c>
      <c r="E181" s="19" t="s">
        <v>1755</v>
      </c>
      <c r="F181" s="21">
        <v>45395</v>
      </c>
      <c r="G181" s="21">
        <v>45759</v>
      </c>
      <c r="H181" s="22" t="s">
        <v>1756</v>
      </c>
      <c r="I181" s="23">
        <v>3520289465035</v>
      </c>
      <c r="J181" s="22" t="s">
        <v>227</v>
      </c>
      <c r="K181" s="36" t="s">
        <v>1757</v>
      </c>
      <c r="L181" s="19">
        <v>206723</v>
      </c>
      <c r="M181" s="19">
        <v>1106714</v>
      </c>
      <c r="N181" s="19" t="s">
        <v>1754</v>
      </c>
      <c r="O181" s="28" t="s">
        <v>54</v>
      </c>
      <c r="P181" s="19" t="s">
        <v>81</v>
      </c>
      <c r="Q181" s="19" t="s">
        <v>1758</v>
      </c>
      <c r="R181" s="21">
        <v>44770</v>
      </c>
      <c r="S181" s="21">
        <v>46239</v>
      </c>
      <c r="T181" s="24">
        <v>1546000</v>
      </c>
      <c r="U181" s="19">
        <v>15</v>
      </c>
      <c r="V181" s="25">
        <v>231900</v>
      </c>
      <c r="W181" s="25">
        <v>1314100</v>
      </c>
      <c r="X181" s="26">
        <v>1.75</v>
      </c>
      <c r="Y181" s="25">
        <v>22996.750000000004</v>
      </c>
      <c r="Z181" s="19"/>
      <c r="AA181" s="28" t="s">
        <v>45</v>
      </c>
      <c r="AB181" s="23">
        <v>1141070243</v>
      </c>
      <c r="AC181" s="27">
        <v>45525</v>
      </c>
      <c r="AD181" s="28" t="s">
        <v>46</v>
      </c>
      <c r="AE181" s="28">
        <v>0</v>
      </c>
      <c r="AF181" s="29" t="s">
        <v>1755</v>
      </c>
      <c r="AG181" s="30">
        <v>22997</v>
      </c>
      <c r="AH181" s="31">
        <v>-0.24999999999636202</v>
      </c>
    </row>
    <row r="182" spans="1:34" x14ac:dyDescent="0.25">
      <c r="A182" s="19" t="s">
        <v>490</v>
      </c>
      <c r="B182" s="19" t="s">
        <v>1759</v>
      </c>
      <c r="C182" s="20">
        <v>45383</v>
      </c>
      <c r="D182" s="19" t="s">
        <v>35</v>
      </c>
      <c r="E182" s="19" t="s">
        <v>1760</v>
      </c>
      <c r="F182" s="21">
        <v>45410</v>
      </c>
      <c r="G182" s="21">
        <v>45774</v>
      </c>
      <c r="H182" s="22" t="s">
        <v>707</v>
      </c>
      <c r="I182" s="23">
        <v>3520263621791</v>
      </c>
      <c r="J182" s="22" t="s">
        <v>249</v>
      </c>
      <c r="K182" s="36" t="s">
        <v>1761</v>
      </c>
      <c r="L182" s="19">
        <v>233342</v>
      </c>
      <c r="M182" s="19">
        <v>10133386</v>
      </c>
      <c r="N182" s="19" t="s">
        <v>1759</v>
      </c>
      <c r="O182" s="28" t="s">
        <v>54</v>
      </c>
      <c r="P182" s="19" t="s">
        <v>81</v>
      </c>
      <c r="Q182" s="19" t="s">
        <v>1762</v>
      </c>
      <c r="R182" s="21">
        <v>44769</v>
      </c>
      <c r="S182" s="21">
        <v>47336</v>
      </c>
      <c r="T182" s="24">
        <v>2129000</v>
      </c>
      <c r="U182" s="19">
        <v>15</v>
      </c>
      <c r="V182" s="25">
        <v>319350</v>
      </c>
      <c r="W182" s="25">
        <v>1809650</v>
      </c>
      <c r="X182" s="26">
        <v>2.5</v>
      </c>
      <c r="Y182" s="25">
        <v>45241.25</v>
      </c>
      <c r="Z182" s="19"/>
      <c r="AA182" s="28" t="s">
        <v>45</v>
      </c>
      <c r="AB182" s="23">
        <v>1141070243</v>
      </c>
      <c r="AC182" s="27">
        <v>45525</v>
      </c>
      <c r="AD182" s="28" t="s">
        <v>46</v>
      </c>
      <c r="AE182" s="28">
        <v>0</v>
      </c>
      <c r="AF182" s="29" t="s">
        <v>1760</v>
      </c>
      <c r="AG182" s="30">
        <v>45241</v>
      </c>
      <c r="AH182" s="31">
        <v>0.25</v>
      </c>
    </row>
    <row r="183" spans="1:34" x14ac:dyDescent="0.25">
      <c r="A183" s="19" t="s">
        <v>490</v>
      </c>
      <c r="B183" s="19" t="s">
        <v>1763</v>
      </c>
      <c r="C183" s="20">
        <v>45352</v>
      </c>
      <c r="D183" s="19" t="s">
        <v>35</v>
      </c>
      <c r="E183" s="19" t="s">
        <v>1764</v>
      </c>
      <c r="F183" s="21">
        <v>45372</v>
      </c>
      <c r="G183" s="21">
        <v>45736</v>
      </c>
      <c r="H183" s="22" t="s">
        <v>1765</v>
      </c>
      <c r="I183" s="23">
        <v>3130142306841</v>
      </c>
      <c r="J183" s="22" t="s">
        <v>111</v>
      </c>
      <c r="K183" s="19" t="s">
        <v>1766</v>
      </c>
      <c r="L183" s="19">
        <v>219660</v>
      </c>
      <c r="M183" s="19">
        <v>1119682</v>
      </c>
      <c r="N183" s="19" t="s">
        <v>1763</v>
      </c>
      <c r="O183" s="28" t="s">
        <v>54</v>
      </c>
      <c r="P183" s="19" t="s">
        <v>72</v>
      </c>
      <c r="Q183" s="19" t="s">
        <v>1767</v>
      </c>
      <c r="R183" s="21">
        <v>44769</v>
      </c>
      <c r="S183" s="21">
        <v>46604</v>
      </c>
      <c r="T183" s="24">
        <v>1747000</v>
      </c>
      <c r="U183" s="19">
        <v>15</v>
      </c>
      <c r="V183" s="25">
        <v>262050</v>
      </c>
      <c r="W183" s="25">
        <v>1484950</v>
      </c>
      <c r="X183" s="26">
        <v>2.5</v>
      </c>
      <c r="Y183" s="25">
        <v>37123.75</v>
      </c>
      <c r="Z183" s="19"/>
      <c r="AA183" s="28" t="s">
        <v>45</v>
      </c>
      <c r="AB183" s="23">
        <v>1141070243</v>
      </c>
      <c r="AC183" s="27">
        <v>45525</v>
      </c>
      <c r="AD183" s="28" t="s">
        <v>46</v>
      </c>
      <c r="AE183" s="28">
        <v>9</v>
      </c>
      <c r="AF183" s="29" t="s">
        <v>1764</v>
      </c>
      <c r="AG183" s="30">
        <v>37124</v>
      </c>
      <c r="AH183" s="31">
        <v>-0.25</v>
      </c>
    </row>
    <row r="184" spans="1:34" x14ac:dyDescent="0.25">
      <c r="A184" s="19" t="s">
        <v>490</v>
      </c>
      <c r="B184" s="19" t="s">
        <v>1768</v>
      </c>
      <c r="C184" s="20">
        <v>45352</v>
      </c>
      <c r="D184" s="19" t="s">
        <v>35</v>
      </c>
      <c r="E184" s="19" t="s">
        <v>1769</v>
      </c>
      <c r="F184" s="21">
        <v>45380</v>
      </c>
      <c r="G184" s="21">
        <v>45744</v>
      </c>
      <c r="H184" s="22" t="s">
        <v>1770</v>
      </c>
      <c r="I184" s="23">
        <v>3630279876757</v>
      </c>
      <c r="J184" s="22" t="s">
        <v>249</v>
      </c>
      <c r="K184" s="36" t="s">
        <v>1771</v>
      </c>
      <c r="L184" s="19">
        <v>229902</v>
      </c>
      <c r="M184" s="19">
        <v>10129900</v>
      </c>
      <c r="N184" s="19" t="s">
        <v>1768</v>
      </c>
      <c r="O184" s="28" t="s">
        <v>54</v>
      </c>
      <c r="P184" s="19" t="s">
        <v>152</v>
      </c>
      <c r="Q184" s="19" t="s">
        <v>1772</v>
      </c>
      <c r="R184" s="21">
        <v>44769</v>
      </c>
      <c r="S184" s="21">
        <v>46604</v>
      </c>
      <c r="T184" s="24">
        <v>2084000</v>
      </c>
      <c r="U184" s="19">
        <v>15</v>
      </c>
      <c r="V184" s="25">
        <v>312600</v>
      </c>
      <c r="W184" s="25">
        <v>1771400</v>
      </c>
      <c r="X184" s="26">
        <v>2.5</v>
      </c>
      <c r="Y184" s="25">
        <v>44285</v>
      </c>
      <c r="Z184" s="19"/>
      <c r="AA184" s="28" t="s">
        <v>45</v>
      </c>
      <c r="AB184" s="23">
        <v>1141070243</v>
      </c>
      <c r="AC184" s="27">
        <v>45525</v>
      </c>
      <c r="AD184" s="28" t="s">
        <v>46</v>
      </c>
      <c r="AE184" s="28">
        <v>9</v>
      </c>
      <c r="AF184" s="29" t="s">
        <v>1769</v>
      </c>
      <c r="AG184" s="30">
        <v>44285</v>
      </c>
      <c r="AH184" s="31">
        <v>0</v>
      </c>
    </row>
    <row r="185" spans="1:34" x14ac:dyDescent="0.25">
      <c r="A185" s="19" t="s">
        <v>490</v>
      </c>
      <c r="B185" s="19" t="s">
        <v>1773</v>
      </c>
      <c r="C185" s="20">
        <v>45323</v>
      </c>
      <c r="D185" s="19" t="s">
        <v>35</v>
      </c>
      <c r="E185" s="19" t="s">
        <v>1774</v>
      </c>
      <c r="F185" s="21">
        <v>45351</v>
      </c>
      <c r="G185" s="21">
        <v>45715</v>
      </c>
      <c r="H185" s="22" t="s">
        <v>1775</v>
      </c>
      <c r="I185" s="23">
        <v>3520225432945</v>
      </c>
      <c r="J185" s="22" t="s">
        <v>1776</v>
      </c>
      <c r="K185" s="19" t="s">
        <v>1777</v>
      </c>
      <c r="L185" s="19">
        <v>1001546</v>
      </c>
      <c r="M185" s="19">
        <v>101564</v>
      </c>
      <c r="N185" s="19" t="s">
        <v>1773</v>
      </c>
      <c r="O185" s="28" t="s">
        <v>54</v>
      </c>
      <c r="P185" s="19" t="s">
        <v>81</v>
      </c>
      <c r="Q185" s="19" t="s">
        <v>1778</v>
      </c>
      <c r="R185" s="21">
        <v>44769</v>
      </c>
      <c r="S185" s="21">
        <v>45874</v>
      </c>
      <c r="T185" s="24">
        <v>2908000</v>
      </c>
      <c r="U185" s="19">
        <v>15</v>
      </c>
      <c r="V185" s="25">
        <v>436200</v>
      </c>
      <c r="W185" s="25">
        <v>2471800</v>
      </c>
      <c r="X185" s="26">
        <v>2.5</v>
      </c>
      <c r="Y185" s="25">
        <v>61795</v>
      </c>
      <c r="Z185" s="19"/>
      <c r="AA185" s="28" t="s">
        <v>45</v>
      </c>
      <c r="AB185" s="23">
        <v>1141070243</v>
      </c>
      <c r="AC185" s="27">
        <v>45525</v>
      </c>
      <c r="AD185" s="28" t="s">
        <v>46</v>
      </c>
      <c r="AE185" s="28">
        <v>9</v>
      </c>
      <c r="AF185" s="29" t="s">
        <v>1774</v>
      </c>
      <c r="AG185" s="30">
        <v>61795</v>
      </c>
      <c r="AH185" s="31">
        <v>0</v>
      </c>
    </row>
    <row r="186" spans="1:34" x14ac:dyDescent="0.25">
      <c r="Y186" s="37">
        <v>8035824.1550000003</v>
      </c>
      <c r="AG186" s="38">
        <v>8035841</v>
      </c>
    </row>
  </sheetData>
  <conditionalFormatting sqref="B10">
    <cfRule type="duplicateValues" dxfId="16" priority="6"/>
  </conditionalFormatting>
  <conditionalFormatting sqref="B17">
    <cfRule type="duplicateValues" dxfId="15" priority="5"/>
  </conditionalFormatting>
  <conditionalFormatting sqref="B34">
    <cfRule type="duplicateValues" dxfId="14" priority="4"/>
  </conditionalFormatting>
  <conditionalFormatting sqref="B53">
    <cfRule type="duplicateValues" dxfId="13" priority="3"/>
  </conditionalFormatting>
  <conditionalFormatting sqref="B54">
    <cfRule type="duplicateValues" dxfId="12" priority="2"/>
  </conditionalFormatting>
  <conditionalFormatting sqref="B55">
    <cfRule type="duplicateValues" dxfId="11" priority="1"/>
  </conditionalFormatting>
  <conditionalFormatting sqref="L2:M185">
    <cfRule type="duplicateValues" dxfId="10" priority="14"/>
  </conditionalFormatting>
  <conditionalFormatting sqref="N2:N185">
    <cfRule type="duplicateValues" dxfId="9" priority="13"/>
  </conditionalFormatting>
  <conditionalFormatting sqref="N10">
    <cfRule type="duplicateValues" dxfId="8" priority="12"/>
  </conditionalFormatting>
  <conditionalFormatting sqref="N17">
    <cfRule type="duplicateValues" dxfId="7" priority="11"/>
  </conditionalFormatting>
  <conditionalFormatting sqref="N34">
    <cfRule type="duplicateValues" dxfId="6" priority="10"/>
  </conditionalFormatting>
  <conditionalFormatting sqref="N53">
    <cfRule type="duplicateValues" dxfId="5" priority="9"/>
  </conditionalFormatting>
  <conditionalFormatting sqref="N54">
    <cfRule type="duplicateValues" dxfId="4" priority="8"/>
  </conditionalFormatting>
  <conditionalFormatting sqref="N55">
    <cfRule type="duplicateValues" dxfId="3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52D0-40FA-4DB5-ADEF-988228DBF770}">
  <dimension ref="A1:H184"/>
  <sheetViews>
    <sheetView tabSelected="1" topLeftCell="A82" workbookViewId="0">
      <selection activeCell="B89" sqref="B89"/>
    </sheetView>
  </sheetViews>
  <sheetFormatPr defaultRowHeight="20.25" customHeight="1" x14ac:dyDescent="0.25"/>
  <cols>
    <col min="1" max="1" width="36" bestFit="1" customWidth="1"/>
    <col min="2" max="2" width="13.140625" bestFit="1" customWidth="1"/>
    <col min="3" max="3" width="9" bestFit="1" customWidth="1"/>
    <col min="4" max="4" width="7.7109375" bestFit="1" customWidth="1"/>
    <col min="5" max="5" width="15.140625" customWidth="1"/>
    <col min="6" max="6" width="89.28515625" customWidth="1"/>
    <col min="7" max="7" width="87.28515625" customWidth="1"/>
    <col min="8" max="8" width="85.85546875" customWidth="1"/>
  </cols>
  <sheetData>
    <row r="1" spans="1:8" ht="20.25" customHeight="1" x14ac:dyDescent="0.25">
      <c r="A1" s="29" t="s">
        <v>492</v>
      </c>
      <c r="B1" s="48" t="str">
        <f>VLOOKUP(A1,[2]Sheet1!$B$2:$C$184,2,0)</f>
        <v>070000162593</v>
      </c>
      <c r="C1" s="25">
        <v>61087.5</v>
      </c>
      <c r="D1" s="49">
        <f>ROUND(C1,0)</f>
        <v>61088</v>
      </c>
      <c r="E1" s="50" t="s">
        <v>1785</v>
      </c>
      <c r="F1" s="51" t="str">
        <f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52" t="str">
        <f>"('"&amp;E1&amp;"','"&amp;B1&amp;"','"&amp;D1&amp;"',(select max(to_number(i.premium_rcv_detail_code))+1
from ins_premium_det i),'"&amp;D1&amp;"','"&amp;D1&amp;"','02', '11000003','00','Request by Mr. Reheel Malik 22-Aug-2024 Renewal');"</f>
        <v>('22Aug240008','070000162593','61088',(select max(to_number(i.premium_rcv_detail_code))+1
from ins_premium_det i),'61088','61088','02', '11000003','00','Request by Mr. Reheel Malik 22-Aug-2024 Renewal');</v>
      </c>
      <c r="H1" s="53" t="str">
        <f>F1&amp;G1</f>
        <v>insert into ins_premium_det (premium_rcv_code,assorted_code, rec_amount,premium_rcv_detail_code,remaining_amt, payrec, mode_code,coinsurance_code,class_cd,it_remarks) values('22Aug240008','070000162593','61088',(select max(to_number(i.premium_rcv_detail_code))+1
from ins_premium_det i),'61088','61088','02', '11000003','00','Request by Mr. Reheel Malik 22-Aug-2024 Renewal');</v>
      </c>
    </row>
    <row r="2" spans="1:8" ht="20.25" customHeight="1" x14ac:dyDescent="0.25">
      <c r="A2" s="29" t="s">
        <v>500</v>
      </c>
      <c r="B2" s="48" t="str">
        <f>VLOOKUP(A2,[2]Sheet1!$B$2:$C$184,2,0)</f>
        <v>070000162563</v>
      </c>
      <c r="C2" s="25">
        <v>47671.875</v>
      </c>
      <c r="D2" s="49">
        <f t="shared" ref="D2:D65" si="0">ROUND(C2,0)</f>
        <v>47672</v>
      </c>
      <c r="E2" s="50" t="s">
        <v>1785</v>
      </c>
      <c r="F2" s="51" t="str">
        <f t="shared" ref="F2:F65" si="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52" t="str">
        <f t="shared" ref="G2:G65" si="2">"('"&amp;E2&amp;"','"&amp;B2&amp;"','"&amp;D2&amp;"',(select max(to_number(i.premium_rcv_detail_code))+1
from ins_premium_det i),'"&amp;D2&amp;"','"&amp;D2&amp;"','02', '11000003','00','Request by Mr. Reheel Malik 22-Aug-2024 Renewal');"</f>
        <v>('22Aug240008','070000162563','47672',(select max(to_number(i.premium_rcv_detail_code))+1
from ins_premium_det i),'47672','47672','02', '11000003','00','Request by Mr. Reheel Malik 22-Aug-2024 Renewal');</v>
      </c>
      <c r="H2" s="53" t="str">
        <f t="shared" ref="H2:H65" si="3">F2&amp;G2</f>
        <v>insert into ins_premium_det (premium_rcv_code,assorted_code, rec_amount,premium_rcv_detail_code,remaining_amt, payrec, mode_code,coinsurance_code,class_cd,it_remarks) values('22Aug240008','070000162563','47672',(select max(to_number(i.premium_rcv_detail_code))+1
from ins_premium_det i),'47672','47672','02', '11000003','00','Request by Mr. Reheel Malik 22-Aug-2024 Renewal');</v>
      </c>
    </row>
    <row r="3" spans="1:8" ht="20.25" customHeight="1" x14ac:dyDescent="0.25">
      <c r="A3" s="29" t="s">
        <v>508</v>
      </c>
      <c r="B3" s="48" t="str">
        <f>VLOOKUP(A3,[2]Sheet1!$B$2:$C$184,2,0)</f>
        <v>070000162906</v>
      </c>
      <c r="C3" s="25">
        <v>56221.875</v>
      </c>
      <c r="D3" s="49">
        <f t="shared" si="0"/>
        <v>56222</v>
      </c>
      <c r="E3" s="50" t="s">
        <v>1785</v>
      </c>
      <c r="F3" s="51" t="str">
        <f t="shared" si="1"/>
        <v>insert into ins_premium_det (premium_rcv_code,assorted_code, rec_amount,premium_rcv_detail_code,remaining_amt, payrec, mode_code,coinsurance_code,class_cd,it_remarks) values</v>
      </c>
      <c r="G3" s="52" t="str">
        <f t="shared" si="2"/>
        <v>('22Aug240008','070000162906','56222',(select max(to_number(i.premium_rcv_detail_code))+1
from ins_premium_det i),'56222','56222','02', '11000003','00','Request by Mr. Reheel Malik 22-Aug-2024 Renewal');</v>
      </c>
      <c r="H3" s="53" t="str">
        <f t="shared" si="3"/>
        <v>insert into ins_premium_det (premium_rcv_code,assorted_code, rec_amount,premium_rcv_detail_code,remaining_amt, payrec, mode_code,coinsurance_code,class_cd,it_remarks) values('22Aug240008','070000162906','56222',(select max(to_number(i.premium_rcv_detail_code))+1
from ins_premium_det i),'56222','56222','02', '11000003','00','Request by Mr. Reheel Malik 22-Aug-2024 Renewal');</v>
      </c>
    </row>
    <row r="4" spans="1:8" ht="20.25" customHeight="1" x14ac:dyDescent="0.25">
      <c r="A4" s="29" t="s">
        <v>516</v>
      </c>
      <c r="B4" s="48" t="str">
        <f>VLOOKUP(A4,[2]Sheet1!$B$2:$C$184,2,0)</f>
        <v>070000162586</v>
      </c>
      <c r="C4" s="25">
        <v>39318.75</v>
      </c>
      <c r="D4" s="49">
        <f t="shared" si="0"/>
        <v>39319</v>
      </c>
      <c r="E4" s="50" t="s">
        <v>1785</v>
      </c>
      <c r="F4" s="51" t="str">
        <f t="shared" si="1"/>
        <v>insert into ins_premium_det (premium_rcv_code,assorted_code, rec_amount,premium_rcv_detail_code,remaining_amt, payrec, mode_code,coinsurance_code,class_cd,it_remarks) values</v>
      </c>
      <c r="G4" s="52" t="str">
        <f t="shared" si="2"/>
        <v>('22Aug240008','070000162586','39319',(select max(to_number(i.premium_rcv_detail_code))+1
from ins_premium_det i),'39319','39319','02', '11000003','00','Request by Mr. Reheel Malik 22-Aug-2024 Renewal');</v>
      </c>
      <c r="H4" s="53" t="str">
        <f t="shared" si="3"/>
        <v>insert into ins_premium_det (premium_rcv_code,assorted_code, rec_amount,premium_rcv_detail_code,remaining_amt, payrec, mode_code,coinsurance_code,class_cd,it_remarks) values('22Aug240008','070000162586','39319',(select max(to_number(i.premium_rcv_detail_code))+1
from ins_premium_det i),'39319','39319','02', '11000003','00','Request by Mr. Reheel Malik 22-Aug-2024 Renewal');</v>
      </c>
    </row>
    <row r="5" spans="1:8" ht="20.25" customHeight="1" x14ac:dyDescent="0.25">
      <c r="A5" s="29" t="s">
        <v>523</v>
      </c>
      <c r="B5" s="48" t="str">
        <f>VLOOKUP(A5,[2]Sheet1!$B$2:$C$184,2,0)</f>
        <v>070000162575</v>
      </c>
      <c r="C5" s="25">
        <v>45528.75</v>
      </c>
      <c r="D5" s="49">
        <f t="shared" si="0"/>
        <v>45529</v>
      </c>
      <c r="E5" s="50" t="s">
        <v>1785</v>
      </c>
      <c r="F5" s="51" t="str">
        <f t="shared" si="1"/>
        <v>insert into ins_premium_det (premium_rcv_code,assorted_code, rec_amount,premium_rcv_detail_code,remaining_amt, payrec, mode_code,coinsurance_code,class_cd,it_remarks) values</v>
      </c>
      <c r="G5" s="52" t="str">
        <f t="shared" si="2"/>
        <v>('22Aug240008','070000162575','45529',(select max(to_number(i.premium_rcv_detail_code))+1
from ins_premium_det i),'45529','45529','02', '11000003','00','Request by Mr. Reheel Malik 22-Aug-2024 Renewal');</v>
      </c>
      <c r="H5" s="53" t="str">
        <f t="shared" si="3"/>
        <v>insert into ins_premium_det (premium_rcv_code,assorted_code, rec_amount,premium_rcv_detail_code,remaining_amt, payrec, mode_code,coinsurance_code,class_cd,it_remarks) values('22Aug240008','070000162575','45529',(select max(to_number(i.premium_rcv_detail_code))+1
from ins_premium_det i),'45529','45529','02', '11000003','00','Request by Mr. Reheel Malik 22-Aug-2024 Renewal');</v>
      </c>
    </row>
    <row r="6" spans="1:8" ht="20.25" customHeight="1" x14ac:dyDescent="0.25">
      <c r="A6" s="29" t="s">
        <v>531</v>
      </c>
      <c r="B6" s="48" t="str">
        <f>VLOOKUP(A6,[2]Sheet1!$B$2:$C$184,2,0)</f>
        <v>070000162577</v>
      </c>
      <c r="C6" s="25">
        <v>68203.125</v>
      </c>
      <c r="D6" s="49">
        <f t="shared" si="0"/>
        <v>68203</v>
      </c>
      <c r="E6" s="50" t="s">
        <v>1785</v>
      </c>
      <c r="F6" s="51" t="str">
        <f t="shared" si="1"/>
        <v>insert into ins_premium_det (premium_rcv_code,assorted_code, rec_amount,premium_rcv_detail_code,remaining_amt, payrec, mode_code,coinsurance_code,class_cd,it_remarks) values</v>
      </c>
      <c r="G6" s="52" t="str">
        <f t="shared" si="2"/>
        <v>('22Aug240008','070000162577','68203',(select max(to_number(i.premium_rcv_detail_code))+1
from ins_premium_det i),'68203','68203','02', '11000003','00','Request by Mr. Reheel Malik 22-Aug-2024 Renewal');</v>
      </c>
      <c r="H6" s="53" t="str">
        <f t="shared" si="3"/>
        <v>insert into ins_premium_det (premium_rcv_code,assorted_code, rec_amount,premium_rcv_detail_code,remaining_amt, payrec, mode_code,coinsurance_code,class_cd,it_remarks) values('22Aug240008','070000162577','68203',(select max(to_number(i.premium_rcv_detail_code))+1
from ins_premium_det i),'68203','68203','02', '11000003','00','Request by Mr. Reheel Malik 22-Aug-2024 Renewal');</v>
      </c>
    </row>
    <row r="7" spans="1:8" ht="20.25" customHeight="1" x14ac:dyDescent="0.25">
      <c r="A7" s="29" t="s">
        <v>539</v>
      </c>
      <c r="B7" s="48" t="str">
        <f>VLOOKUP(A7,[2]Sheet1!$B$2:$C$184,2,0)</f>
        <v>070000162557</v>
      </c>
      <c r="C7" s="25">
        <v>54500</v>
      </c>
      <c r="D7" s="49">
        <f t="shared" si="0"/>
        <v>54500</v>
      </c>
      <c r="E7" s="50" t="s">
        <v>1785</v>
      </c>
      <c r="F7" s="51" t="str">
        <f t="shared" si="1"/>
        <v>insert into ins_premium_det (premium_rcv_code,assorted_code, rec_amount,premium_rcv_detail_code,remaining_amt, payrec, mode_code,coinsurance_code,class_cd,it_remarks) values</v>
      </c>
      <c r="G7" s="52" t="str">
        <f t="shared" si="2"/>
        <v>('22Aug240008','070000162557','54500',(select max(to_number(i.premium_rcv_detail_code))+1
from ins_premium_det i),'54500','54500','02', '11000003','00','Request by Mr. Reheel Malik 22-Aug-2024 Renewal');</v>
      </c>
      <c r="H7" s="53" t="str">
        <f t="shared" si="3"/>
        <v>insert into ins_premium_det (premium_rcv_code,assorted_code, rec_amount,premium_rcv_detail_code,remaining_amt, payrec, mode_code,coinsurance_code,class_cd,it_remarks) values('22Aug240008','070000162557','54500',(select max(to_number(i.premium_rcv_detail_code))+1
from ins_premium_det i),'54500','54500','02', '11000003','00','Request by Mr. Reheel Malik 22-Aug-2024 Renewal');</v>
      </c>
    </row>
    <row r="8" spans="1:8" ht="20.25" customHeight="1" x14ac:dyDescent="0.25">
      <c r="A8" s="29" t="s">
        <v>547</v>
      </c>
      <c r="B8" s="48" t="str">
        <f>VLOOKUP(A8,[2]Sheet1!$B$2:$C$184,2,0)</f>
        <v>070000162595</v>
      </c>
      <c r="C8" s="25">
        <v>69176.25</v>
      </c>
      <c r="D8" s="49">
        <f t="shared" si="0"/>
        <v>69176</v>
      </c>
      <c r="E8" s="50" t="s">
        <v>1785</v>
      </c>
      <c r="F8" s="51" t="str">
        <f t="shared" si="1"/>
        <v>insert into ins_premium_det (premium_rcv_code,assorted_code, rec_amount,premium_rcv_detail_code,remaining_amt, payrec, mode_code,coinsurance_code,class_cd,it_remarks) values</v>
      </c>
      <c r="G8" s="52" t="str">
        <f t="shared" si="2"/>
        <v>('22Aug240008','070000162595','69176',(select max(to_number(i.premium_rcv_detail_code))+1
from ins_premium_det i),'69176','69176','02', '11000003','00','Request by Mr. Reheel Malik 22-Aug-2024 Renewal');</v>
      </c>
      <c r="H8" s="53" t="str">
        <f t="shared" si="3"/>
        <v>insert into ins_premium_det (premium_rcv_code,assorted_code, rec_amount,premium_rcv_detail_code,remaining_amt, payrec, mode_code,coinsurance_code,class_cd,it_remarks) values('22Aug240008','070000162595','69176',(select max(to_number(i.premium_rcv_detail_code))+1
from ins_premium_det i),'69176','69176','02', '11000003','00','Request by Mr. Reheel Malik 22-Aug-2024 Renewal');</v>
      </c>
    </row>
    <row r="9" spans="1:8" ht="20.25" customHeight="1" x14ac:dyDescent="0.25">
      <c r="A9" s="29" t="s">
        <v>555</v>
      </c>
      <c r="B9" s="48" t="str">
        <f>VLOOKUP(A9,[2]Sheet1!$B$2:$C$184,2,0)</f>
        <v>070000162485</v>
      </c>
      <c r="C9" s="25">
        <v>28050</v>
      </c>
      <c r="D9" s="49">
        <f t="shared" si="0"/>
        <v>28050</v>
      </c>
      <c r="E9" s="50" t="s">
        <v>1785</v>
      </c>
      <c r="F9" s="51" t="str">
        <f t="shared" si="1"/>
        <v>insert into ins_premium_det (premium_rcv_code,assorted_code, rec_amount,premium_rcv_detail_code,remaining_amt, payrec, mode_code,coinsurance_code,class_cd,it_remarks) values</v>
      </c>
      <c r="G9" s="52" t="str">
        <f t="shared" si="2"/>
        <v>('22Aug240008','070000162485','28050',(select max(to_number(i.premium_rcv_detail_code))+1
from ins_premium_det i),'28050','28050','02', '11000003','00','Request by Mr. Reheel Malik 22-Aug-2024 Renewal');</v>
      </c>
      <c r="H9" s="53" t="str">
        <f t="shared" si="3"/>
        <v>insert into ins_premium_det (premium_rcv_code,assorted_code, rec_amount,premium_rcv_detail_code,remaining_amt, payrec, mode_code,coinsurance_code,class_cd,it_remarks) values('22Aug240008','070000162485','28050',(select max(to_number(i.premium_rcv_detail_code))+1
from ins_premium_det i),'28050','28050','02', '11000003','00','Request by Mr. Reheel Malik 22-Aug-2024 Renewal');</v>
      </c>
    </row>
    <row r="10" spans="1:8" ht="20.25" customHeight="1" x14ac:dyDescent="0.25">
      <c r="A10" s="29" t="s">
        <v>562</v>
      </c>
      <c r="B10" s="48" t="str">
        <f>VLOOKUP(A10,[2]Sheet1!$B$2:$C$184,2,0)</f>
        <v>070000162494</v>
      </c>
      <c r="C10" s="25">
        <v>58012.5</v>
      </c>
      <c r="D10" s="49">
        <f t="shared" si="0"/>
        <v>58013</v>
      </c>
      <c r="E10" s="50" t="s">
        <v>1785</v>
      </c>
      <c r="F10" s="51" t="str">
        <f t="shared" si="1"/>
        <v>insert into ins_premium_det (premium_rcv_code,assorted_code, rec_amount,premium_rcv_detail_code,remaining_amt, payrec, mode_code,coinsurance_code,class_cd,it_remarks) values</v>
      </c>
      <c r="G10" s="52" t="str">
        <f t="shared" si="2"/>
        <v>('22Aug240008','070000162494','58013',(select max(to_number(i.premium_rcv_detail_code))+1
from ins_premium_det i),'58013','58013','02', '11000003','00','Request by Mr. Reheel Malik 22-Aug-2024 Renewal');</v>
      </c>
      <c r="H10" s="53" t="str">
        <f t="shared" si="3"/>
        <v>insert into ins_premium_det (premium_rcv_code,assorted_code, rec_amount,premium_rcv_detail_code,remaining_amt, payrec, mode_code,coinsurance_code,class_cd,it_remarks) values('22Aug240008','070000162494','58013',(select max(to_number(i.premium_rcv_detail_code))+1
from ins_premium_det i),'58013','58013','02', '11000003','00','Request by Mr. Reheel Malik 22-Aug-2024 Renewal');</v>
      </c>
    </row>
    <row r="11" spans="1:8" ht="20.25" customHeight="1" x14ac:dyDescent="0.25">
      <c r="A11" s="29" t="s">
        <v>569</v>
      </c>
      <c r="B11" s="48" t="str">
        <f>VLOOKUP(A11,[2]Sheet1!$B$2:$C$184,2,0)</f>
        <v>070000162548</v>
      </c>
      <c r="C11" s="25">
        <v>29780</v>
      </c>
      <c r="D11" s="49">
        <f t="shared" si="0"/>
        <v>29780</v>
      </c>
      <c r="E11" s="50" t="s">
        <v>1785</v>
      </c>
      <c r="F11" s="51" t="str">
        <f t="shared" si="1"/>
        <v>insert into ins_premium_det (premium_rcv_code,assorted_code, rec_amount,premium_rcv_detail_code,remaining_amt, payrec, mode_code,coinsurance_code,class_cd,it_remarks) values</v>
      </c>
      <c r="G11" s="52" t="str">
        <f t="shared" si="2"/>
        <v>('22Aug240008','070000162548','29780',(select max(to_number(i.premium_rcv_detail_code))+1
from ins_premium_det i),'29780','29780','02', '11000003','00','Request by Mr. Reheel Malik 22-Aug-2024 Renewal');</v>
      </c>
      <c r="H11" s="53" t="str">
        <f t="shared" si="3"/>
        <v>insert into ins_premium_det (premium_rcv_code,assorted_code, rec_amount,premium_rcv_detail_code,remaining_amt, payrec, mode_code,coinsurance_code,class_cd,it_remarks) values('22Aug240008','070000162548','29780',(select max(to_number(i.premium_rcv_detail_code))+1
from ins_premium_det i),'29780','29780','02', '11000003','00','Request by Mr. Reheel Malik 22-Aug-2024 Renewal');</v>
      </c>
    </row>
    <row r="12" spans="1:8" ht="20.25" customHeight="1" x14ac:dyDescent="0.25">
      <c r="A12" s="29" t="s">
        <v>577</v>
      </c>
      <c r="B12" s="48" t="str">
        <f>VLOOKUP(A12,[2]Sheet1!$B$2:$C$184,2,0)</f>
        <v>070000162507</v>
      </c>
      <c r="C12" s="25">
        <v>34600</v>
      </c>
      <c r="D12" s="49">
        <f t="shared" si="0"/>
        <v>34600</v>
      </c>
      <c r="E12" s="50" t="s">
        <v>1785</v>
      </c>
      <c r="F12" s="51" t="str">
        <f t="shared" si="1"/>
        <v>insert into ins_premium_det (premium_rcv_code,assorted_code, rec_amount,premium_rcv_detail_code,remaining_amt, payrec, mode_code,coinsurance_code,class_cd,it_remarks) values</v>
      </c>
      <c r="G12" s="52" t="str">
        <f t="shared" si="2"/>
        <v>('22Aug240008','070000162507','34600',(select max(to_number(i.premium_rcv_detail_code))+1
from ins_premium_det i),'34600','34600','02', '11000003','00','Request by Mr. Reheel Malik 22-Aug-2024 Renewal');</v>
      </c>
      <c r="H12" s="53" t="str">
        <f t="shared" si="3"/>
        <v>insert into ins_premium_det (premium_rcv_code,assorted_code, rec_amount,premium_rcv_detail_code,remaining_amt, payrec, mode_code,coinsurance_code,class_cd,it_remarks) values('22Aug240008','070000162507','34600',(select max(to_number(i.premium_rcv_detail_code))+1
from ins_premium_det i),'34600','34600','02', '11000003','00','Request by Mr. Reheel Malik 22-Aug-2024 Renewal');</v>
      </c>
    </row>
    <row r="13" spans="1:8" ht="20.25" customHeight="1" x14ac:dyDescent="0.25">
      <c r="A13" s="29" t="s">
        <v>584</v>
      </c>
      <c r="B13" s="48" t="str">
        <f>VLOOKUP(A13,[2]Sheet1!$B$2:$C$184,2,0)</f>
        <v>070000162517</v>
      </c>
      <c r="C13" s="25">
        <v>31700</v>
      </c>
      <c r="D13" s="49">
        <f t="shared" si="0"/>
        <v>31700</v>
      </c>
      <c r="E13" s="50" t="s">
        <v>1785</v>
      </c>
      <c r="F13" s="51" t="str">
        <f t="shared" si="1"/>
        <v>insert into ins_premium_det (premium_rcv_code,assorted_code, rec_amount,premium_rcv_detail_code,remaining_amt, payrec, mode_code,coinsurance_code,class_cd,it_remarks) values</v>
      </c>
      <c r="G13" s="52" t="str">
        <f t="shared" si="2"/>
        <v>('22Aug240008','070000162517','31700',(select max(to_number(i.premium_rcv_detail_code))+1
from ins_premium_det i),'31700','31700','02', '11000003','00','Request by Mr. Reheel Malik 22-Aug-2024 Renewal');</v>
      </c>
      <c r="H13" s="53" t="str">
        <f t="shared" si="3"/>
        <v>insert into ins_premium_det (premium_rcv_code,assorted_code, rec_amount,premium_rcv_detail_code,remaining_amt, payrec, mode_code,coinsurance_code,class_cd,it_remarks) values('22Aug240008','070000162517','31700',(select max(to_number(i.premium_rcv_detail_code))+1
from ins_premium_det i),'31700','31700','02', '11000003','00','Request by Mr. Reheel Malik 22-Aug-2024 Renewal');</v>
      </c>
    </row>
    <row r="14" spans="1:8" ht="20.25" customHeight="1" x14ac:dyDescent="0.25">
      <c r="A14" s="29" t="s">
        <v>591</v>
      </c>
      <c r="B14" s="48" t="str">
        <f>VLOOKUP(A14,[2]Sheet1!$B$2:$C$184,2,0)</f>
        <v>070000162534</v>
      </c>
      <c r="C14" s="25">
        <v>65160</v>
      </c>
      <c r="D14" s="49">
        <f t="shared" si="0"/>
        <v>65160</v>
      </c>
      <c r="E14" s="50" t="s">
        <v>1785</v>
      </c>
      <c r="F14" s="51" t="str">
        <f t="shared" si="1"/>
        <v>insert into ins_premium_det (premium_rcv_code,assorted_code, rec_amount,premium_rcv_detail_code,remaining_amt, payrec, mode_code,coinsurance_code,class_cd,it_remarks) values</v>
      </c>
      <c r="G14" s="52" t="str">
        <f t="shared" si="2"/>
        <v>('22Aug240008','070000162534','65160',(select max(to_number(i.premium_rcv_detail_code))+1
from ins_premium_det i),'65160','65160','02', '11000003','00','Request by Mr. Reheel Malik 22-Aug-2024 Renewal');</v>
      </c>
      <c r="H14" s="53" t="str">
        <f t="shared" si="3"/>
        <v>insert into ins_premium_det (premium_rcv_code,assorted_code, rec_amount,premium_rcv_detail_code,remaining_amt, payrec, mode_code,coinsurance_code,class_cd,it_remarks) values('22Aug240008','070000162534','65160',(select max(to_number(i.premium_rcv_detail_code))+1
from ins_premium_det i),'65160','65160','02', '11000003','00','Request by Mr. Reheel Malik 22-Aug-2024 Renewal');</v>
      </c>
    </row>
    <row r="15" spans="1:8" ht="20.25" customHeight="1" x14ac:dyDescent="0.25">
      <c r="A15" s="29" t="s">
        <v>598</v>
      </c>
      <c r="B15" s="48" t="str">
        <f>VLOOKUP(A15,[2]Sheet1!$B$2:$C$184,2,0)</f>
        <v>070000162537</v>
      </c>
      <c r="C15" s="25">
        <v>19168</v>
      </c>
      <c r="D15" s="49">
        <f t="shared" si="0"/>
        <v>19168</v>
      </c>
      <c r="E15" s="50" t="s">
        <v>1785</v>
      </c>
      <c r="F15" s="51" t="str">
        <f t="shared" si="1"/>
        <v>insert into ins_premium_det (premium_rcv_code,assorted_code, rec_amount,premium_rcv_detail_code,remaining_amt, payrec, mode_code,coinsurance_code,class_cd,it_remarks) values</v>
      </c>
      <c r="G15" s="52" t="str">
        <f t="shared" si="2"/>
        <v>('22Aug240008','070000162537','19168',(select max(to_number(i.premium_rcv_detail_code))+1
from ins_premium_det i),'19168','19168','02', '11000003','00','Request by Mr. Reheel Malik 22-Aug-2024 Renewal');</v>
      </c>
      <c r="H15" s="53" t="str">
        <f t="shared" si="3"/>
        <v>insert into ins_premium_det (premium_rcv_code,assorted_code, rec_amount,premium_rcv_detail_code,remaining_amt, payrec, mode_code,coinsurance_code,class_cd,it_remarks) values('22Aug240008','070000162537','19168',(select max(to_number(i.premium_rcv_detail_code))+1
from ins_premium_det i),'19168','19168','02', '11000003','00','Request by Mr. Reheel Malik 22-Aug-2024 Renewal');</v>
      </c>
    </row>
    <row r="16" spans="1:8" ht="20.25" customHeight="1" x14ac:dyDescent="0.25">
      <c r="A16" s="29" t="s">
        <v>606</v>
      </c>
      <c r="B16" s="48" t="str">
        <f>VLOOKUP(A16,[2]Sheet1!$B$2:$C$184,2,0)</f>
        <v>070000162611</v>
      </c>
      <c r="C16" s="25">
        <v>40500</v>
      </c>
      <c r="D16" s="49">
        <f t="shared" si="0"/>
        <v>40500</v>
      </c>
      <c r="E16" s="50" t="s">
        <v>1785</v>
      </c>
      <c r="F16" s="51" t="str">
        <f t="shared" si="1"/>
        <v>insert into ins_premium_det (premium_rcv_code,assorted_code, rec_amount,premium_rcv_detail_code,remaining_amt, payrec, mode_code,coinsurance_code,class_cd,it_remarks) values</v>
      </c>
      <c r="G16" s="52" t="str">
        <f t="shared" si="2"/>
        <v>('22Aug240008','070000162611','40500',(select max(to_number(i.premium_rcv_detail_code))+1
from ins_premium_det i),'40500','40500','02', '11000003','00','Request by Mr. Reheel Malik 22-Aug-2024 Renewal');</v>
      </c>
      <c r="H16" s="53" t="str">
        <f t="shared" si="3"/>
        <v>insert into ins_premium_det (premium_rcv_code,assorted_code, rec_amount,premium_rcv_detail_code,remaining_amt, payrec, mode_code,coinsurance_code,class_cd,it_remarks) values('22Aug240008','070000162611','40500',(select max(to_number(i.premium_rcv_detail_code))+1
from ins_premium_det i),'40500','40500','02', '11000003','00','Request by Mr. Reheel Malik 22-Aug-2024 Renewal');</v>
      </c>
    </row>
    <row r="17" spans="1:8" ht="20.25" customHeight="1" x14ac:dyDescent="0.25">
      <c r="A17" s="29" t="s">
        <v>614</v>
      </c>
      <c r="B17" s="48" t="str">
        <f>VLOOKUP(A17,[2]Sheet1!$B$2:$C$184,2,0)</f>
        <v>070000162522</v>
      </c>
      <c r="C17" s="25">
        <v>30400</v>
      </c>
      <c r="D17" s="49">
        <f t="shared" si="0"/>
        <v>30400</v>
      </c>
      <c r="E17" s="50" t="s">
        <v>1785</v>
      </c>
      <c r="F17" s="51" t="str">
        <f t="shared" si="1"/>
        <v>insert into ins_premium_det (premium_rcv_code,assorted_code, rec_amount,premium_rcv_detail_code,remaining_amt, payrec, mode_code,coinsurance_code,class_cd,it_remarks) values</v>
      </c>
      <c r="G17" s="52" t="str">
        <f t="shared" si="2"/>
        <v>('22Aug240008','070000162522','30400',(select max(to_number(i.premium_rcv_detail_code))+1
from ins_premium_det i),'30400','30400','02', '11000003','00','Request by Mr. Reheel Malik 22-Aug-2024 Renewal');</v>
      </c>
      <c r="H17" s="53" t="str">
        <f t="shared" si="3"/>
        <v>insert into ins_premium_det (premium_rcv_code,assorted_code, rec_amount,premium_rcv_detail_code,remaining_amt, payrec, mode_code,coinsurance_code,class_cd,it_remarks) values('22Aug240008','070000162522','30400',(select max(to_number(i.premium_rcv_detail_code))+1
from ins_premium_det i),'30400','30400','02', '11000003','00','Request by Mr. Reheel Malik 22-Aug-2024 Renewal');</v>
      </c>
    </row>
    <row r="18" spans="1:8" ht="20.25" customHeight="1" x14ac:dyDescent="0.25">
      <c r="A18" s="29" t="s">
        <v>622</v>
      </c>
      <c r="B18" s="48" t="str">
        <f>VLOOKUP(A18,[2]Sheet1!$B$2:$C$184,2,0)</f>
        <v>070000162518</v>
      </c>
      <c r="C18" s="25">
        <v>32200</v>
      </c>
      <c r="D18" s="49">
        <f t="shared" si="0"/>
        <v>32200</v>
      </c>
      <c r="E18" s="50" t="s">
        <v>1785</v>
      </c>
      <c r="F18" s="51" t="str">
        <f t="shared" si="1"/>
        <v>insert into ins_premium_det (premium_rcv_code,assorted_code, rec_amount,premium_rcv_detail_code,remaining_amt, payrec, mode_code,coinsurance_code,class_cd,it_remarks) values</v>
      </c>
      <c r="G18" s="52" t="str">
        <f t="shared" si="2"/>
        <v>('22Aug240008','070000162518','32200',(select max(to_number(i.premium_rcv_detail_code))+1
from ins_premium_det i),'32200','32200','02', '11000003','00','Request by Mr. Reheel Malik 22-Aug-2024 Renewal');</v>
      </c>
      <c r="H18" s="53" t="str">
        <f t="shared" si="3"/>
        <v>insert into ins_premium_det (premium_rcv_code,assorted_code, rec_amount,premium_rcv_detail_code,remaining_amt, payrec, mode_code,coinsurance_code,class_cd,it_remarks) values('22Aug240008','070000162518','32200',(select max(to_number(i.premium_rcv_detail_code))+1
from ins_premium_det i),'32200','32200','02', '11000003','00','Request by Mr. Reheel Malik 22-Aug-2024 Renewal');</v>
      </c>
    </row>
    <row r="19" spans="1:8" ht="20.25" customHeight="1" x14ac:dyDescent="0.25">
      <c r="A19" s="29" t="s">
        <v>629</v>
      </c>
      <c r="B19" s="48" t="str">
        <f>VLOOKUP(A19,[2]Sheet1!$B$2:$C$184,2,0)</f>
        <v>070000162529</v>
      </c>
      <c r="C19" s="25">
        <v>36600</v>
      </c>
      <c r="D19" s="49">
        <f t="shared" si="0"/>
        <v>36600</v>
      </c>
      <c r="E19" s="50" t="s">
        <v>1785</v>
      </c>
      <c r="F19" s="51" t="str">
        <f t="shared" si="1"/>
        <v>insert into ins_premium_det (premium_rcv_code,assorted_code, rec_amount,premium_rcv_detail_code,remaining_amt, payrec, mode_code,coinsurance_code,class_cd,it_remarks) values</v>
      </c>
      <c r="G19" s="52" t="str">
        <f t="shared" si="2"/>
        <v>('22Aug240008','070000162529','36600',(select max(to_number(i.premium_rcv_detail_code))+1
from ins_premium_det i),'36600','36600','02', '11000003','00','Request by Mr. Reheel Malik 22-Aug-2024 Renewal');</v>
      </c>
      <c r="H19" s="53" t="str">
        <f t="shared" si="3"/>
        <v>insert into ins_premium_det (premium_rcv_code,assorted_code, rec_amount,premium_rcv_detail_code,remaining_amt, payrec, mode_code,coinsurance_code,class_cd,it_remarks) values('22Aug240008','070000162529','36600',(select max(to_number(i.premium_rcv_detail_code))+1
from ins_premium_det i),'36600','36600','02', '11000003','00','Request by Mr. Reheel Malik 22-Aug-2024 Renewal');</v>
      </c>
    </row>
    <row r="20" spans="1:8" ht="20.25" customHeight="1" x14ac:dyDescent="0.25">
      <c r="A20" s="29" t="s">
        <v>636</v>
      </c>
      <c r="B20" s="48" t="str">
        <f>VLOOKUP(A20,[2]Sheet1!$B$2:$C$184,2,0)</f>
        <v>070000162505</v>
      </c>
      <c r="C20" s="25">
        <v>54588</v>
      </c>
      <c r="D20" s="49">
        <f t="shared" si="0"/>
        <v>54588</v>
      </c>
      <c r="E20" s="50" t="s">
        <v>1785</v>
      </c>
      <c r="F20" s="51" t="str">
        <f t="shared" si="1"/>
        <v>insert into ins_premium_det (premium_rcv_code,assorted_code, rec_amount,premium_rcv_detail_code,remaining_amt, payrec, mode_code,coinsurance_code,class_cd,it_remarks) values</v>
      </c>
      <c r="G20" s="52" t="str">
        <f t="shared" si="2"/>
        <v>('22Aug240008','070000162505','54588',(select max(to_number(i.premium_rcv_detail_code))+1
from ins_premium_det i),'54588','54588','02', '11000003','00','Request by Mr. Reheel Malik 22-Aug-2024 Renewal');</v>
      </c>
      <c r="H20" s="53" t="str">
        <f t="shared" si="3"/>
        <v>insert into ins_premium_det (premium_rcv_code,assorted_code, rec_amount,premium_rcv_detail_code,remaining_amt, payrec, mode_code,coinsurance_code,class_cd,it_remarks) values('22Aug240008','070000162505','54588',(select max(to_number(i.premium_rcv_detail_code))+1
from ins_premium_det i),'54588','54588','02', '11000003','00','Request by Mr. Reheel Malik 22-Aug-2024 Renewal');</v>
      </c>
    </row>
    <row r="21" spans="1:8" ht="20.25" customHeight="1" x14ac:dyDescent="0.25">
      <c r="A21" s="29" t="s">
        <v>645</v>
      </c>
      <c r="B21" s="48" t="str">
        <f>VLOOKUP(A21,[2]Sheet1!$B$2:$C$184,2,0)</f>
        <v>070000162513</v>
      </c>
      <c r="C21" s="25">
        <v>53060</v>
      </c>
      <c r="D21" s="49">
        <f t="shared" si="0"/>
        <v>53060</v>
      </c>
      <c r="E21" s="50" t="s">
        <v>1785</v>
      </c>
      <c r="F21" s="51" t="str">
        <f t="shared" si="1"/>
        <v>insert into ins_premium_det (premium_rcv_code,assorted_code, rec_amount,premium_rcv_detail_code,remaining_amt, payrec, mode_code,coinsurance_code,class_cd,it_remarks) values</v>
      </c>
      <c r="G21" s="52" t="str">
        <f t="shared" si="2"/>
        <v>('22Aug240008','070000162513','53060',(select max(to_number(i.premium_rcv_detail_code))+1
from ins_premium_det i),'53060','53060','02', '11000003','00','Request by Mr. Reheel Malik 22-Aug-2024 Renewal');</v>
      </c>
      <c r="H21" s="53" t="str">
        <f t="shared" si="3"/>
        <v>insert into ins_premium_det (premium_rcv_code,assorted_code, rec_amount,premium_rcv_detail_code,remaining_amt, payrec, mode_code,coinsurance_code,class_cd,it_remarks) values('22Aug240008','070000162513','53060',(select max(to_number(i.premium_rcv_detail_code))+1
from ins_premium_det i),'53060','53060','02', '11000003','00','Request by Mr. Reheel Malik 22-Aug-2024 Renewal');</v>
      </c>
    </row>
    <row r="22" spans="1:8" ht="20.25" customHeight="1" x14ac:dyDescent="0.25">
      <c r="A22" s="29" t="s">
        <v>653</v>
      </c>
      <c r="B22" s="48" t="str">
        <f>VLOOKUP(A22,[2]Sheet1!$B$2:$C$184,2,0)</f>
        <v>070000162524</v>
      </c>
      <c r="C22" s="25">
        <v>32200</v>
      </c>
      <c r="D22" s="49">
        <f t="shared" si="0"/>
        <v>32200</v>
      </c>
      <c r="E22" s="50" t="s">
        <v>1785</v>
      </c>
      <c r="F22" s="51" t="str">
        <f t="shared" si="1"/>
        <v>insert into ins_premium_det (premium_rcv_code,assorted_code, rec_amount,premium_rcv_detail_code,remaining_amt, payrec, mode_code,coinsurance_code,class_cd,it_remarks) values</v>
      </c>
      <c r="G22" s="52" t="str">
        <f t="shared" si="2"/>
        <v>('22Aug240008','070000162524','32200',(select max(to_number(i.premium_rcv_detail_code))+1
from ins_premium_det i),'32200','32200','02', '11000003','00','Request by Mr. Reheel Malik 22-Aug-2024 Renewal');</v>
      </c>
      <c r="H22" s="53" t="str">
        <f t="shared" si="3"/>
        <v>insert into ins_premium_det (premium_rcv_code,assorted_code, rec_amount,premium_rcv_detail_code,remaining_amt, payrec, mode_code,coinsurance_code,class_cd,it_remarks) values('22Aug240008','070000162524','32200',(select max(to_number(i.premium_rcv_detail_code))+1
from ins_premium_det i),'32200','32200','02', '11000003','00','Request by Mr. Reheel Malik 22-Aug-2024 Renewal');</v>
      </c>
    </row>
    <row r="23" spans="1:8" ht="20.25" customHeight="1" x14ac:dyDescent="0.25">
      <c r="A23" s="29" t="s">
        <v>660</v>
      </c>
      <c r="B23" s="48" t="str">
        <f>VLOOKUP(A23,[2]Sheet1!$B$2:$C$184,2,0)</f>
        <v>070000162533</v>
      </c>
      <c r="C23" s="25">
        <v>49524</v>
      </c>
      <c r="D23" s="49">
        <f t="shared" si="0"/>
        <v>49524</v>
      </c>
      <c r="E23" s="50" t="s">
        <v>1785</v>
      </c>
      <c r="F23" s="51" t="str">
        <f t="shared" si="1"/>
        <v>insert into ins_premium_det (premium_rcv_code,assorted_code, rec_amount,premium_rcv_detail_code,remaining_amt, payrec, mode_code,coinsurance_code,class_cd,it_remarks) values</v>
      </c>
      <c r="G23" s="52" t="str">
        <f t="shared" si="2"/>
        <v>('22Aug240008','070000162533','49524',(select max(to_number(i.premium_rcv_detail_code))+1
from ins_premium_det i),'49524','49524','02', '11000003','00','Request by Mr. Reheel Malik 22-Aug-2024 Renewal');</v>
      </c>
      <c r="H23" s="53" t="str">
        <f t="shared" si="3"/>
        <v>insert into ins_premium_det (premium_rcv_code,assorted_code, rec_amount,premium_rcv_detail_code,remaining_amt, payrec, mode_code,coinsurance_code,class_cd,it_remarks) values('22Aug240008','070000162533','49524',(select max(to_number(i.premium_rcv_detail_code))+1
from ins_premium_det i),'49524','49524','02', '11000003','00','Request by Mr. Reheel Malik 22-Aug-2024 Renewal');</v>
      </c>
    </row>
    <row r="24" spans="1:8" ht="20.25" customHeight="1" x14ac:dyDescent="0.25">
      <c r="A24" s="29" t="s">
        <v>667</v>
      </c>
      <c r="B24" s="48" t="str">
        <f>VLOOKUP(A24,[2]Sheet1!$B$2:$C$184,2,0)</f>
        <v>070000162552</v>
      </c>
      <c r="C24" s="25">
        <v>60660</v>
      </c>
      <c r="D24" s="49">
        <f t="shared" si="0"/>
        <v>60660</v>
      </c>
      <c r="E24" s="50" t="s">
        <v>1785</v>
      </c>
      <c r="F24" s="51" t="str">
        <f t="shared" si="1"/>
        <v>insert into ins_premium_det (premium_rcv_code,assorted_code, rec_amount,premium_rcv_detail_code,remaining_amt, payrec, mode_code,coinsurance_code,class_cd,it_remarks) values</v>
      </c>
      <c r="G24" s="52" t="str">
        <f t="shared" si="2"/>
        <v>('22Aug240008','070000162552','60660',(select max(to_number(i.premium_rcv_detail_code))+1
from ins_premium_det i),'60660','60660','02', '11000003','00','Request by Mr. Reheel Malik 22-Aug-2024 Renewal');</v>
      </c>
      <c r="H24" s="53" t="str">
        <f t="shared" si="3"/>
        <v>insert into ins_premium_det (premium_rcv_code,assorted_code, rec_amount,premium_rcv_detail_code,remaining_amt, payrec, mode_code,coinsurance_code,class_cd,it_remarks) values('22Aug240008','070000162552','60660',(select max(to_number(i.premium_rcv_detail_code))+1
from ins_premium_det i),'60660','60660','02', '11000003','00','Request by Mr. Reheel Malik 22-Aug-2024 Renewal');</v>
      </c>
    </row>
    <row r="25" spans="1:8" ht="20.25" customHeight="1" x14ac:dyDescent="0.25">
      <c r="A25" s="29" t="s">
        <v>676</v>
      </c>
      <c r="B25" s="48" t="str">
        <f>VLOOKUP(A25,[2]Sheet1!$B$2:$C$184,2,0)</f>
        <v>070000162531</v>
      </c>
      <c r="C25" s="25">
        <v>48396</v>
      </c>
      <c r="D25" s="49">
        <f t="shared" si="0"/>
        <v>48396</v>
      </c>
      <c r="E25" s="50" t="s">
        <v>1785</v>
      </c>
      <c r="F25" s="51" t="str">
        <f t="shared" si="1"/>
        <v>insert into ins_premium_det (premium_rcv_code,assorted_code, rec_amount,premium_rcv_detail_code,remaining_amt, payrec, mode_code,coinsurance_code,class_cd,it_remarks) values</v>
      </c>
      <c r="G25" s="52" t="str">
        <f t="shared" si="2"/>
        <v>('22Aug240008','070000162531','48396',(select max(to_number(i.premium_rcv_detail_code))+1
from ins_premium_det i),'48396','48396','02', '11000003','00','Request by Mr. Reheel Malik 22-Aug-2024 Renewal');</v>
      </c>
      <c r="H25" s="53" t="str">
        <f t="shared" si="3"/>
        <v>insert into ins_premium_det (premium_rcv_code,assorted_code, rec_amount,premium_rcv_detail_code,remaining_amt, payrec, mode_code,coinsurance_code,class_cd,it_remarks) values('22Aug240008','070000162531','48396',(select max(to_number(i.premium_rcv_detail_code))+1
from ins_premium_det i),'48396','48396','02', '11000003','00','Request by Mr. Reheel Malik 22-Aug-2024 Renewal');</v>
      </c>
    </row>
    <row r="26" spans="1:8" ht="20.25" customHeight="1" x14ac:dyDescent="0.25">
      <c r="A26" s="29" t="s">
        <v>684</v>
      </c>
      <c r="B26" s="48" t="str">
        <f>VLOOKUP(A26,[2]Sheet1!$B$2:$C$184,2,0)</f>
        <v>070000162520</v>
      </c>
      <c r="C26" s="25">
        <v>35200</v>
      </c>
      <c r="D26" s="49">
        <f t="shared" si="0"/>
        <v>35200</v>
      </c>
      <c r="E26" s="50" t="s">
        <v>1785</v>
      </c>
      <c r="F26" s="51" t="str">
        <f t="shared" si="1"/>
        <v>insert into ins_premium_det (premium_rcv_code,assorted_code, rec_amount,premium_rcv_detail_code,remaining_amt, payrec, mode_code,coinsurance_code,class_cd,it_remarks) values</v>
      </c>
      <c r="G26" s="52" t="str">
        <f t="shared" si="2"/>
        <v>('22Aug240008','070000162520','35200',(select max(to_number(i.premium_rcv_detail_code))+1
from ins_premium_det i),'35200','35200','02', '11000003','00','Request by Mr. Reheel Malik 22-Aug-2024 Renewal');</v>
      </c>
      <c r="H26" s="53" t="str">
        <f t="shared" si="3"/>
        <v>insert into ins_premium_det (premium_rcv_code,assorted_code, rec_amount,premium_rcv_detail_code,remaining_amt, payrec, mode_code,coinsurance_code,class_cd,it_remarks) values('22Aug240008','070000162520','35200',(select max(to_number(i.premium_rcv_detail_code))+1
from ins_premium_det i),'35200','35200','02', '11000003','00','Request by Mr. Reheel Malik 22-Aug-2024 Renewal');</v>
      </c>
    </row>
    <row r="27" spans="1:8" ht="20.25" customHeight="1" x14ac:dyDescent="0.25">
      <c r="A27" s="29" t="s">
        <v>691</v>
      </c>
      <c r="B27" s="48" t="str">
        <f>VLOOKUP(A27,[2]Sheet1!$B$2:$C$184,2,0)</f>
        <v>070000162541</v>
      </c>
      <c r="C27" s="25">
        <v>20980</v>
      </c>
      <c r="D27" s="49">
        <f t="shared" si="0"/>
        <v>20980</v>
      </c>
      <c r="E27" s="50" t="s">
        <v>1785</v>
      </c>
      <c r="F27" s="51" t="str">
        <f t="shared" si="1"/>
        <v>insert into ins_premium_det (premium_rcv_code,assorted_code, rec_amount,premium_rcv_detail_code,remaining_amt, payrec, mode_code,coinsurance_code,class_cd,it_remarks) values</v>
      </c>
      <c r="G27" s="52" t="str">
        <f t="shared" si="2"/>
        <v>('22Aug240008','070000162541','20980',(select max(to_number(i.premium_rcv_detail_code))+1
from ins_premium_det i),'20980','20980','02', '11000003','00','Request by Mr. Reheel Malik 22-Aug-2024 Renewal');</v>
      </c>
      <c r="H27" s="53" t="str">
        <f t="shared" si="3"/>
        <v>insert into ins_premium_det (premium_rcv_code,assorted_code, rec_amount,premium_rcv_detail_code,remaining_amt, payrec, mode_code,coinsurance_code,class_cd,it_remarks) values('22Aug240008','070000162541','20980',(select max(to_number(i.premium_rcv_detail_code))+1
from ins_premium_det i),'20980','20980','02', '11000003','00','Request by Mr. Reheel Malik 22-Aug-2024 Renewal');</v>
      </c>
    </row>
    <row r="28" spans="1:8" ht="20.25" customHeight="1" x14ac:dyDescent="0.25">
      <c r="A28" s="29" t="s">
        <v>699</v>
      </c>
      <c r="B28" s="48" t="str">
        <f>VLOOKUP(A28,[2]Sheet1!$B$2:$C$184,2,0)</f>
        <v>070000162457</v>
      </c>
      <c r="C28" s="25">
        <v>18806.25</v>
      </c>
      <c r="D28" s="49">
        <f t="shared" si="0"/>
        <v>18806</v>
      </c>
      <c r="E28" s="50" t="s">
        <v>1785</v>
      </c>
      <c r="F28" s="51" t="str">
        <f t="shared" si="1"/>
        <v>insert into ins_premium_det (premium_rcv_code,assorted_code, rec_amount,premium_rcv_detail_code,remaining_amt, payrec, mode_code,coinsurance_code,class_cd,it_remarks) values</v>
      </c>
      <c r="G28" s="52" t="str">
        <f t="shared" si="2"/>
        <v>('22Aug240008','070000162457','18806',(select max(to_number(i.premium_rcv_detail_code))+1
from ins_premium_det i),'18806','18806','02', '11000003','00','Request by Mr. Reheel Malik 22-Aug-2024 Renewal');</v>
      </c>
      <c r="H28" s="53" t="str">
        <f t="shared" si="3"/>
        <v>insert into ins_premium_det (premium_rcv_code,assorted_code, rec_amount,premium_rcv_detail_code,remaining_amt, payrec, mode_code,coinsurance_code,class_cd,it_remarks) values('22Aug240008','070000162457','18806',(select max(to_number(i.premium_rcv_detail_code))+1
from ins_premium_det i),'18806','18806','02', '11000003','00','Request by Mr. Reheel Malik 22-Aug-2024 Renewal');</v>
      </c>
    </row>
    <row r="29" spans="1:8" ht="20.25" customHeight="1" x14ac:dyDescent="0.25">
      <c r="A29" s="29" t="s">
        <v>706</v>
      </c>
      <c r="B29" s="48" t="str">
        <f>VLOOKUP(A29,[2]Sheet1!$B$2:$C$184,2,0)</f>
        <v>070000162525</v>
      </c>
      <c r="C29" s="25">
        <v>52900</v>
      </c>
      <c r="D29" s="49">
        <f t="shared" si="0"/>
        <v>52900</v>
      </c>
      <c r="E29" s="50" t="s">
        <v>1785</v>
      </c>
      <c r="F29" s="51" t="str">
        <f t="shared" si="1"/>
        <v>insert into ins_premium_det (premium_rcv_code,assorted_code, rec_amount,premium_rcv_detail_code,remaining_amt, payrec, mode_code,coinsurance_code,class_cd,it_remarks) values</v>
      </c>
      <c r="G29" s="52" t="str">
        <f t="shared" si="2"/>
        <v>('22Aug240008','070000162525','52900',(select max(to_number(i.premium_rcv_detail_code))+1
from ins_premium_det i),'52900','52900','02', '11000003','00','Request by Mr. Reheel Malik 22-Aug-2024 Renewal');</v>
      </c>
      <c r="H29" s="53" t="str">
        <f t="shared" si="3"/>
        <v>insert into ins_premium_det (premium_rcv_code,assorted_code, rec_amount,premium_rcv_detail_code,remaining_amt, payrec, mode_code,coinsurance_code,class_cd,it_remarks) values('22Aug240008','070000162525','52900',(select max(to_number(i.premium_rcv_detail_code))+1
from ins_premium_det i),'52900','52900','02', '11000003','00','Request by Mr. Reheel Malik 22-Aug-2024 Renewal');</v>
      </c>
    </row>
    <row r="30" spans="1:8" ht="20.25" customHeight="1" x14ac:dyDescent="0.25">
      <c r="A30" s="29" t="s">
        <v>714</v>
      </c>
      <c r="B30" s="48" t="str">
        <f>VLOOKUP(A30,[2]Sheet1!$B$2:$C$184,2,0)</f>
        <v>070000162610</v>
      </c>
      <c r="C30" s="25">
        <v>29280</v>
      </c>
      <c r="D30" s="49">
        <f t="shared" si="0"/>
        <v>29280</v>
      </c>
      <c r="E30" s="50" t="s">
        <v>1785</v>
      </c>
      <c r="F30" s="51" t="str">
        <f t="shared" si="1"/>
        <v>insert into ins_premium_det (premium_rcv_code,assorted_code, rec_amount,premium_rcv_detail_code,remaining_amt, payrec, mode_code,coinsurance_code,class_cd,it_remarks) values</v>
      </c>
      <c r="G30" s="52" t="str">
        <f t="shared" si="2"/>
        <v>('22Aug240008','070000162610','29280',(select max(to_number(i.premium_rcv_detail_code))+1
from ins_premium_det i),'29280','29280','02', '11000003','00','Request by Mr. Reheel Malik 22-Aug-2024 Renewal');</v>
      </c>
      <c r="H30" s="53" t="str">
        <f t="shared" si="3"/>
        <v>insert into ins_premium_det (premium_rcv_code,assorted_code, rec_amount,premium_rcv_detail_code,remaining_amt, payrec, mode_code,coinsurance_code,class_cd,it_remarks) values('22Aug240008','070000162610','29280',(select max(to_number(i.premium_rcv_detail_code))+1
from ins_premium_det i),'29280','29280','02', '11000003','00','Request by Mr. Reheel Malik 22-Aug-2024 Renewal');</v>
      </c>
    </row>
    <row r="31" spans="1:8" ht="20.25" customHeight="1" x14ac:dyDescent="0.25">
      <c r="A31" s="29" t="s">
        <v>722</v>
      </c>
      <c r="B31" s="48" t="str">
        <f>VLOOKUP(A31,[2]Sheet1!$B$2:$C$184,2,0)</f>
        <v>070000162554</v>
      </c>
      <c r="C31" s="25">
        <v>54060</v>
      </c>
      <c r="D31" s="49">
        <f t="shared" si="0"/>
        <v>54060</v>
      </c>
      <c r="E31" s="50" t="s">
        <v>1785</v>
      </c>
      <c r="F31" s="51" t="str">
        <f t="shared" si="1"/>
        <v>insert into ins_premium_det (premium_rcv_code,assorted_code, rec_amount,premium_rcv_detail_code,remaining_amt, payrec, mode_code,coinsurance_code,class_cd,it_remarks) values</v>
      </c>
      <c r="G31" s="52" t="str">
        <f t="shared" si="2"/>
        <v>('22Aug240008','070000162554','54060',(select max(to_number(i.premium_rcv_detail_code))+1
from ins_premium_det i),'54060','54060','02', '11000003','00','Request by Mr. Reheel Malik 22-Aug-2024 Renewal');</v>
      </c>
      <c r="H31" s="53" t="str">
        <f t="shared" si="3"/>
        <v>insert into ins_premium_det (premium_rcv_code,assorted_code, rec_amount,premium_rcv_detail_code,remaining_amt, payrec, mode_code,coinsurance_code,class_cd,it_remarks) values('22Aug240008','070000162554','54060',(select max(to_number(i.premium_rcv_detail_code))+1
from ins_premium_det i),'54060','54060','02', '11000003','00','Request by Mr. Reheel Malik 22-Aug-2024 Renewal');</v>
      </c>
    </row>
    <row r="32" spans="1:8" ht="20.25" customHeight="1" x14ac:dyDescent="0.25">
      <c r="A32" s="29" t="s">
        <v>730</v>
      </c>
      <c r="B32" s="48" t="str">
        <f>VLOOKUP(A32,[2]Sheet1!$B$2:$C$184,2,0)</f>
        <v>070000162540</v>
      </c>
      <c r="C32" s="25">
        <v>32660</v>
      </c>
      <c r="D32" s="49">
        <f t="shared" si="0"/>
        <v>32660</v>
      </c>
      <c r="E32" s="50" t="s">
        <v>1785</v>
      </c>
      <c r="F32" s="51" t="str">
        <f t="shared" si="1"/>
        <v>insert into ins_premium_det (premium_rcv_code,assorted_code, rec_amount,premium_rcv_detail_code,remaining_amt, payrec, mode_code,coinsurance_code,class_cd,it_remarks) values</v>
      </c>
      <c r="G32" s="52" t="str">
        <f t="shared" si="2"/>
        <v>('22Aug240008','070000162540','32660',(select max(to_number(i.premium_rcv_detail_code))+1
from ins_premium_det i),'32660','32660','02', '11000003','00','Request by Mr. Reheel Malik 22-Aug-2024 Renewal');</v>
      </c>
      <c r="H32" s="53" t="str">
        <f t="shared" si="3"/>
        <v>insert into ins_premium_det (premium_rcv_code,assorted_code, rec_amount,premium_rcv_detail_code,remaining_amt, payrec, mode_code,coinsurance_code,class_cd,it_remarks) values('22Aug240008','070000162540','32660',(select max(to_number(i.premium_rcv_detail_code))+1
from ins_premium_det i),'32660','32660','02', '11000003','00','Request by Mr. Reheel Malik 22-Aug-2024 Renewal');</v>
      </c>
    </row>
    <row r="33" spans="1:8" ht="20.25" customHeight="1" x14ac:dyDescent="0.25">
      <c r="A33" s="29" t="s">
        <v>738</v>
      </c>
      <c r="B33" s="48" t="str">
        <f>VLOOKUP(A33,[2]Sheet1!$B$2:$C$184,2,0)</f>
        <v>070000162553</v>
      </c>
      <c r="C33" s="25">
        <v>32200</v>
      </c>
      <c r="D33" s="49">
        <f t="shared" si="0"/>
        <v>32200</v>
      </c>
      <c r="E33" s="50" t="s">
        <v>1785</v>
      </c>
      <c r="F33" s="51" t="str">
        <f t="shared" si="1"/>
        <v>insert into ins_premium_det (premium_rcv_code,assorted_code, rec_amount,premium_rcv_detail_code,remaining_amt, payrec, mode_code,coinsurance_code,class_cd,it_remarks) values</v>
      </c>
      <c r="G33" s="52" t="str">
        <f t="shared" si="2"/>
        <v>('22Aug240008','070000162553','32200',(select max(to_number(i.premium_rcv_detail_code))+1
from ins_premium_det i),'32200','32200','02', '11000003','00','Request by Mr. Reheel Malik 22-Aug-2024 Renewal');</v>
      </c>
      <c r="H33" s="53" t="str">
        <f t="shared" si="3"/>
        <v>insert into ins_premium_det (premium_rcv_code,assorted_code, rec_amount,premium_rcv_detail_code,remaining_amt, payrec, mode_code,coinsurance_code,class_cd,it_remarks) values('22Aug240008','070000162553','32200',(select max(to_number(i.premium_rcv_detail_code))+1
from ins_premium_det i),'32200','32200','02', '11000003','00','Request by Mr. Reheel Malik 22-Aug-2024 Renewal');</v>
      </c>
    </row>
    <row r="34" spans="1:8" ht="20.25" customHeight="1" x14ac:dyDescent="0.25">
      <c r="A34" s="29" t="s">
        <v>745</v>
      </c>
      <c r="B34" s="48" t="str">
        <f>VLOOKUP(A34,[2]Sheet1!$B$2:$C$184,2,0)</f>
        <v>070000162542</v>
      </c>
      <c r="C34" s="25">
        <v>32200</v>
      </c>
      <c r="D34" s="49">
        <f t="shared" si="0"/>
        <v>32200</v>
      </c>
      <c r="E34" s="50" t="s">
        <v>1785</v>
      </c>
      <c r="F34" s="51" t="str">
        <f t="shared" si="1"/>
        <v>insert into ins_premium_det (premium_rcv_code,assorted_code, rec_amount,premium_rcv_detail_code,remaining_amt, payrec, mode_code,coinsurance_code,class_cd,it_remarks) values</v>
      </c>
      <c r="G34" s="52" t="str">
        <f t="shared" si="2"/>
        <v>('22Aug240008','070000162542','32200',(select max(to_number(i.premium_rcv_detail_code))+1
from ins_premium_det i),'32200','32200','02', '11000003','00','Request by Mr. Reheel Malik 22-Aug-2024 Renewal');</v>
      </c>
      <c r="H34" s="53" t="str">
        <f t="shared" si="3"/>
        <v>insert into ins_premium_det (premium_rcv_code,assorted_code, rec_amount,premium_rcv_detail_code,remaining_amt, payrec, mode_code,coinsurance_code,class_cd,it_remarks) values('22Aug240008','070000162542','32200',(select max(to_number(i.premium_rcv_detail_code))+1
from ins_premium_det i),'32200','32200','02', '11000003','00','Request by Mr. Reheel Malik 22-Aug-2024 Renewal');</v>
      </c>
    </row>
    <row r="35" spans="1:8" ht="20.25" customHeight="1" x14ac:dyDescent="0.25">
      <c r="A35" s="29" t="s">
        <v>752</v>
      </c>
      <c r="B35" s="48" t="str">
        <f>VLOOKUP(A35,[2]Sheet1!$B$2:$C$184,2,0)</f>
        <v>070000162550</v>
      </c>
      <c r="C35" s="25">
        <v>20980</v>
      </c>
      <c r="D35" s="49">
        <f t="shared" si="0"/>
        <v>20980</v>
      </c>
      <c r="E35" s="50" t="s">
        <v>1785</v>
      </c>
      <c r="F35" s="51" t="str">
        <f t="shared" si="1"/>
        <v>insert into ins_premium_det (premium_rcv_code,assorted_code, rec_amount,premium_rcv_detail_code,remaining_amt, payrec, mode_code,coinsurance_code,class_cd,it_remarks) values</v>
      </c>
      <c r="G35" s="52" t="str">
        <f t="shared" si="2"/>
        <v>('22Aug240008','070000162550','20980',(select max(to_number(i.premium_rcv_detail_code))+1
from ins_premium_det i),'20980','20980','02', '11000003','00','Request by Mr. Reheel Malik 22-Aug-2024 Renewal');</v>
      </c>
      <c r="H35" s="53" t="str">
        <f t="shared" si="3"/>
        <v>insert into ins_premium_det (premium_rcv_code,assorted_code, rec_amount,premium_rcv_detail_code,remaining_amt, payrec, mode_code,coinsurance_code,class_cd,it_remarks) values('22Aug240008','070000162550','20980',(select max(to_number(i.premium_rcv_detail_code))+1
from ins_premium_det i),'20980','20980','02', '11000003','00','Request by Mr. Reheel Malik 22-Aug-2024 Renewal');</v>
      </c>
    </row>
    <row r="36" spans="1:8" ht="20.25" customHeight="1" x14ac:dyDescent="0.25">
      <c r="A36" s="29" t="s">
        <v>759</v>
      </c>
      <c r="B36" s="48" t="str">
        <f>VLOOKUP(A36,[2]Sheet1!$B$2:$C$184,2,0)</f>
        <v>070000162532</v>
      </c>
      <c r="C36" s="25">
        <v>52900</v>
      </c>
      <c r="D36" s="49">
        <f t="shared" si="0"/>
        <v>52900</v>
      </c>
      <c r="E36" s="50" t="s">
        <v>1785</v>
      </c>
      <c r="F36" s="51" t="str">
        <f t="shared" si="1"/>
        <v>insert into ins_premium_det (premium_rcv_code,assorted_code, rec_amount,premium_rcv_detail_code,remaining_amt, payrec, mode_code,coinsurance_code,class_cd,it_remarks) values</v>
      </c>
      <c r="G36" s="52" t="str">
        <f t="shared" si="2"/>
        <v>('22Aug240008','070000162532','52900',(select max(to_number(i.premium_rcv_detail_code))+1
from ins_premium_det i),'52900','52900','02', '11000003','00','Request by Mr. Reheel Malik 22-Aug-2024 Renewal');</v>
      </c>
      <c r="H36" s="53" t="str">
        <f t="shared" si="3"/>
        <v>insert into ins_premium_det (premium_rcv_code,assorted_code, rec_amount,premium_rcv_detail_code,remaining_amt, payrec, mode_code,coinsurance_code,class_cd,it_remarks) values('22Aug240008','070000162532','52900',(select max(to_number(i.premium_rcv_detail_code))+1
from ins_premium_det i),'52900','52900','02', '11000003','00','Request by Mr. Reheel Malik 22-Aug-2024 Renewal');</v>
      </c>
    </row>
    <row r="37" spans="1:8" ht="20.25" customHeight="1" x14ac:dyDescent="0.25">
      <c r="A37" s="29" t="s">
        <v>767</v>
      </c>
      <c r="B37" s="48" t="str">
        <f>VLOOKUP(A37,[2]Sheet1!$B$2:$C$184,2,0)</f>
        <v>070000162538</v>
      </c>
      <c r="C37" s="25">
        <v>36600</v>
      </c>
      <c r="D37" s="49">
        <f t="shared" si="0"/>
        <v>36600</v>
      </c>
      <c r="E37" s="50" t="s">
        <v>1785</v>
      </c>
      <c r="F37" s="51" t="str">
        <f t="shared" si="1"/>
        <v>insert into ins_premium_det (premium_rcv_code,assorted_code, rec_amount,premium_rcv_detail_code,remaining_amt, payrec, mode_code,coinsurance_code,class_cd,it_remarks) values</v>
      </c>
      <c r="G37" s="52" t="str">
        <f t="shared" si="2"/>
        <v>('22Aug240008','070000162538','36600',(select max(to_number(i.premium_rcv_detail_code))+1
from ins_premium_det i),'36600','36600','02', '11000003','00','Request by Mr. Reheel Malik 22-Aug-2024 Renewal');</v>
      </c>
      <c r="H37" s="53" t="str">
        <f t="shared" si="3"/>
        <v>insert into ins_premium_det (premium_rcv_code,assorted_code, rec_amount,premium_rcv_detail_code,remaining_amt, payrec, mode_code,coinsurance_code,class_cd,it_remarks) values('22Aug240008','070000162538','36600',(select max(to_number(i.premium_rcv_detail_code))+1
from ins_premium_det i),'36600','36600','02', '11000003','00','Request by Mr. Reheel Malik 22-Aug-2024 Renewal');</v>
      </c>
    </row>
    <row r="38" spans="1:8" ht="20.25" customHeight="1" x14ac:dyDescent="0.25">
      <c r="A38" s="29" t="s">
        <v>774</v>
      </c>
      <c r="B38" s="48" t="str">
        <f>VLOOKUP(A38,[2]Sheet1!$B$2:$C$184,2,0)</f>
        <v>070000162523</v>
      </c>
      <c r="C38" s="25">
        <v>36600</v>
      </c>
      <c r="D38" s="49">
        <f t="shared" si="0"/>
        <v>36600</v>
      </c>
      <c r="E38" s="50" t="s">
        <v>1785</v>
      </c>
      <c r="F38" s="51" t="str">
        <f t="shared" si="1"/>
        <v>insert into ins_premium_det (premium_rcv_code,assorted_code, rec_amount,premium_rcv_detail_code,remaining_amt, payrec, mode_code,coinsurance_code,class_cd,it_remarks) values</v>
      </c>
      <c r="G38" s="52" t="str">
        <f t="shared" si="2"/>
        <v>('22Aug240008','070000162523','36600',(select max(to_number(i.premium_rcv_detail_code))+1
from ins_premium_det i),'36600','36600','02', '11000003','00','Request by Mr. Reheel Malik 22-Aug-2024 Renewal');</v>
      </c>
      <c r="H38" s="53" t="str">
        <f t="shared" si="3"/>
        <v>insert into ins_premium_det (premium_rcv_code,assorted_code, rec_amount,premium_rcv_detail_code,remaining_amt, payrec, mode_code,coinsurance_code,class_cd,it_remarks) values('22Aug240008','070000162523','36600',(select max(to_number(i.premium_rcv_detail_code))+1
from ins_premium_det i),'36600','36600','02', '11000003','00','Request by Mr. Reheel Malik 22-Aug-2024 Renewal');</v>
      </c>
    </row>
    <row r="39" spans="1:8" ht="20.25" customHeight="1" x14ac:dyDescent="0.25">
      <c r="A39" s="29" t="s">
        <v>781</v>
      </c>
      <c r="B39" s="48" t="str">
        <f>VLOOKUP(A39,[2]Sheet1!$B$2:$C$184,2,0)</f>
        <v>070000162504</v>
      </c>
      <c r="C39" s="25">
        <v>49524</v>
      </c>
      <c r="D39" s="49">
        <f t="shared" si="0"/>
        <v>49524</v>
      </c>
      <c r="E39" s="50" t="s">
        <v>1785</v>
      </c>
      <c r="F39" s="51" t="str">
        <f t="shared" si="1"/>
        <v>insert into ins_premium_det (premium_rcv_code,assorted_code, rec_amount,premium_rcv_detail_code,remaining_amt, payrec, mode_code,coinsurance_code,class_cd,it_remarks) values</v>
      </c>
      <c r="G39" s="52" t="str">
        <f t="shared" si="2"/>
        <v>('22Aug240008','070000162504','49524',(select max(to_number(i.premium_rcv_detail_code))+1
from ins_premium_det i),'49524','49524','02', '11000003','00','Request by Mr. Reheel Malik 22-Aug-2024 Renewal');</v>
      </c>
      <c r="H39" s="53" t="str">
        <f t="shared" si="3"/>
        <v>insert into ins_premium_det (premium_rcv_code,assorted_code, rec_amount,premium_rcv_detail_code,remaining_amt, payrec, mode_code,coinsurance_code,class_cd,it_remarks) values('22Aug240008','070000162504','49524',(select max(to_number(i.premium_rcv_detail_code))+1
from ins_premium_det i),'49524','49524','02', '11000003','00','Request by Mr. Reheel Malik 22-Aug-2024 Renewal');</v>
      </c>
    </row>
    <row r="40" spans="1:8" ht="20.25" customHeight="1" x14ac:dyDescent="0.25">
      <c r="A40" s="29" t="s">
        <v>788</v>
      </c>
      <c r="B40" s="48" t="str">
        <f>VLOOKUP(A40,[2]Sheet1!$B$2:$C$184,2,0)</f>
        <v>070000162615</v>
      </c>
      <c r="C40" s="25">
        <v>58050</v>
      </c>
      <c r="D40" s="49">
        <f t="shared" si="0"/>
        <v>58050</v>
      </c>
      <c r="E40" s="50" t="s">
        <v>1785</v>
      </c>
      <c r="F40" s="51" t="str">
        <f t="shared" si="1"/>
        <v>insert into ins_premium_det (premium_rcv_code,assorted_code, rec_amount,premium_rcv_detail_code,remaining_amt, payrec, mode_code,coinsurance_code,class_cd,it_remarks) values</v>
      </c>
      <c r="G40" s="52" t="str">
        <f t="shared" si="2"/>
        <v>('22Aug240008','070000162615','58050',(select max(to_number(i.premium_rcv_detail_code))+1
from ins_premium_det i),'58050','58050','02', '11000003','00','Request by Mr. Reheel Malik 22-Aug-2024 Renewal');</v>
      </c>
      <c r="H40" s="53" t="str">
        <f t="shared" si="3"/>
        <v>insert into ins_premium_det (premium_rcv_code,assorted_code, rec_amount,premium_rcv_detail_code,remaining_amt, payrec, mode_code,coinsurance_code,class_cd,it_remarks) values('22Aug240008','070000162615','58050',(select max(to_number(i.premium_rcv_detail_code))+1
from ins_premium_det i),'58050','58050','02', '11000003','00','Request by Mr. Reheel Malik 22-Aug-2024 Renewal');</v>
      </c>
    </row>
    <row r="41" spans="1:8" ht="20.25" customHeight="1" x14ac:dyDescent="0.25">
      <c r="A41" s="29" t="s">
        <v>797</v>
      </c>
      <c r="B41" s="48" t="str">
        <f>VLOOKUP(A41,[2]Sheet1!$B$2:$C$184,2,0)</f>
        <v>070000162583</v>
      </c>
      <c r="C41" s="25">
        <v>39375</v>
      </c>
      <c r="D41" s="49">
        <f t="shared" si="0"/>
        <v>39375</v>
      </c>
      <c r="E41" s="50" t="s">
        <v>1785</v>
      </c>
      <c r="F41" s="51" t="str">
        <f t="shared" si="1"/>
        <v>insert into ins_premium_det (premium_rcv_code,assorted_code, rec_amount,premium_rcv_detail_code,remaining_amt, payrec, mode_code,coinsurance_code,class_cd,it_remarks) values</v>
      </c>
      <c r="G41" s="52" t="str">
        <f t="shared" si="2"/>
        <v>('22Aug240008','070000162583','39375',(select max(to_number(i.premium_rcv_detail_code))+1
from ins_premium_det i),'39375','39375','02', '11000003','00','Request by Mr. Reheel Malik 22-Aug-2024 Renewal');</v>
      </c>
      <c r="H41" s="53" t="str">
        <f t="shared" si="3"/>
        <v>insert into ins_premium_det (premium_rcv_code,assorted_code, rec_amount,premium_rcv_detail_code,remaining_amt, payrec, mode_code,coinsurance_code,class_cd,it_remarks) values('22Aug240008','070000162583','39375',(select max(to_number(i.premium_rcv_detail_code))+1
from ins_premium_det i),'39375','39375','02', '11000003','00','Request by Mr. Reheel Malik 22-Aug-2024 Renewal');</v>
      </c>
    </row>
    <row r="42" spans="1:8" ht="20.25" customHeight="1" x14ac:dyDescent="0.25">
      <c r="A42" s="29" t="s">
        <v>804</v>
      </c>
      <c r="B42" s="48" t="str">
        <f>VLOOKUP(A42,[2]Sheet1!$B$2:$C$184,2,0)</f>
        <v>070000162501</v>
      </c>
      <c r="C42" s="25">
        <v>47175</v>
      </c>
      <c r="D42" s="49">
        <f t="shared" si="0"/>
        <v>47175</v>
      </c>
      <c r="E42" s="50" t="s">
        <v>1785</v>
      </c>
      <c r="F42" s="51" t="str">
        <f t="shared" si="1"/>
        <v>insert into ins_premium_det (premium_rcv_code,assorted_code, rec_amount,premium_rcv_detail_code,remaining_amt, payrec, mode_code,coinsurance_code,class_cd,it_remarks) values</v>
      </c>
      <c r="G42" s="52" t="str">
        <f t="shared" si="2"/>
        <v>('22Aug240008','070000162501','47175',(select max(to_number(i.premium_rcv_detail_code))+1
from ins_premium_det i),'47175','47175','02', '11000003','00','Request by Mr. Reheel Malik 22-Aug-2024 Renewal');</v>
      </c>
      <c r="H42" s="53" t="str">
        <f t="shared" si="3"/>
        <v>insert into ins_premium_det (premium_rcv_code,assorted_code, rec_amount,premium_rcv_detail_code,remaining_amt, payrec, mode_code,coinsurance_code,class_cd,it_remarks) values('22Aug240008','070000162501','47175',(select max(to_number(i.premium_rcv_detail_code))+1
from ins_premium_det i),'47175','47175','02', '11000003','00','Request by Mr. Reheel Malik 22-Aug-2024 Renewal');</v>
      </c>
    </row>
    <row r="43" spans="1:8" ht="20.25" customHeight="1" x14ac:dyDescent="0.25">
      <c r="A43" s="29" t="s">
        <v>812</v>
      </c>
      <c r="B43" s="48" t="str">
        <f>VLOOKUP(A43,[2]Sheet1!$B$2:$C$184,2,0)</f>
        <v>070000162596</v>
      </c>
      <c r="C43" s="25">
        <v>31687.5</v>
      </c>
      <c r="D43" s="49">
        <f t="shared" si="0"/>
        <v>31688</v>
      </c>
      <c r="E43" s="50" t="s">
        <v>1785</v>
      </c>
      <c r="F43" s="51" t="str">
        <f t="shared" si="1"/>
        <v>insert into ins_premium_det (premium_rcv_code,assorted_code, rec_amount,premium_rcv_detail_code,remaining_amt, payrec, mode_code,coinsurance_code,class_cd,it_remarks) values</v>
      </c>
      <c r="G43" s="52" t="str">
        <f t="shared" si="2"/>
        <v>('22Aug240008','070000162596','31688',(select max(to_number(i.premium_rcv_detail_code))+1
from ins_premium_det i),'31688','31688','02', '11000003','00','Request by Mr. Reheel Malik 22-Aug-2024 Renewal');</v>
      </c>
      <c r="H43" s="53" t="str">
        <f t="shared" si="3"/>
        <v>insert into ins_premium_det (premium_rcv_code,assorted_code, rec_amount,premium_rcv_detail_code,remaining_amt, payrec, mode_code,coinsurance_code,class_cd,it_remarks) values('22Aug240008','070000162596','31688',(select max(to_number(i.premium_rcv_detail_code))+1
from ins_premium_det i),'31688','31688','02', '11000003','00','Request by Mr. Reheel Malik 22-Aug-2024 Renewal');</v>
      </c>
    </row>
    <row r="44" spans="1:8" ht="20.25" customHeight="1" x14ac:dyDescent="0.25">
      <c r="A44" s="29" t="s">
        <v>821</v>
      </c>
      <c r="B44" s="48" t="str">
        <f>VLOOKUP(A44,[2]Sheet1!$B$2:$C$184,2,0)</f>
        <v>070000162444</v>
      </c>
      <c r="C44" s="25">
        <v>47808.250000000007</v>
      </c>
      <c r="D44" s="49">
        <f t="shared" si="0"/>
        <v>47808</v>
      </c>
      <c r="E44" s="50" t="s">
        <v>1785</v>
      </c>
      <c r="F44" s="51" t="str">
        <f t="shared" si="1"/>
        <v>insert into ins_premium_det (premium_rcv_code,assorted_code, rec_amount,premium_rcv_detail_code,remaining_amt, payrec, mode_code,coinsurance_code,class_cd,it_remarks) values</v>
      </c>
      <c r="G44" s="52" t="str">
        <f t="shared" si="2"/>
        <v>('22Aug240008','070000162444','47808',(select max(to_number(i.premium_rcv_detail_code))+1
from ins_premium_det i),'47808','47808','02', '11000003','00','Request by Mr. Reheel Malik 22-Aug-2024 Renewal');</v>
      </c>
      <c r="H44" s="53" t="str">
        <f t="shared" si="3"/>
        <v>insert into ins_premium_det (premium_rcv_code,assorted_code, rec_amount,premium_rcv_detail_code,remaining_amt, payrec, mode_code,coinsurance_code,class_cd,it_remarks) values('22Aug240008','070000162444','47808',(select max(to_number(i.premium_rcv_detail_code))+1
from ins_premium_det i),'47808','47808','02', '11000003','00','Request by Mr. Reheel Malik 22-Aug-2024 Renewal');</v>
      </c>
    </row>
    <row r="45" spans="1:8" ht="20.25" customHeight="1" x14ac:dyDescent="0.25">
      <c r="A45" s="29" t="s">
        <v>830</v>
      </c>
      <c r="B45" s="48" t="str">
        <f>VLOOKUP(A45,[2]Sheet1!$B$2:$C$184,2,0)</f>
        <v>070000162442</v>
      </c>
      <c r="C45" s="25">
        <v>22996.750000000004</v>
      </c>
      <c r="D45" s="49">
        <f t="shared" si="0"/>
        <v>22997</v>
      </c>
      <c r="E45" s="50" t="s">
        <v>1785</v>
      </c>
      <c r="F45" s="51" t="str">
        <f t="shared" si="1"/>
        <v>insert into ins_premium_det (premium_rcv_code,assorted_code, rec_amount,premium_rcv_detail_code,remaining_amt, payrec, mode_code,coinsurance_code,class_cd,it_remarks) values</v>
      </c>
      <c r="G45" s="52" t="str">
        <f t="shared" si="2"/>
        <v>('22Aug240008','070000162442','22997',(select max(to_number(i.premium_rcv_detail_code))+1
from ins_premium_det i),'22997','22997','02', '11000003','00','Request by Mr. Reheel Malik 22-Aug-2024 Renewal');</v>
      </c>
      <c r="H45" s="53" t="str">
        <f t="shared" si="3"/>
        <v>insert into ins_premium_det (premium_rcv_code,assorted_code, rec_amount,premium_rcv_detail_code,remaining_amt, payrec, mode_code,coinsurance_code,class_cd,it_remarks) values('22Aug240008','070000162442','22997',(select max(to_number(i.premium_rcv_detail_code))+1
from ins_premium_det i),'22997','22997','02', '11000003','00','Request by Mr. Reheel Malik 22-Aug-2024 Renewal');</v>
      </c>
    </row>
    <row r="46" spans="1:8" ht="20.25" customHeight="1" x14ac:dyDescent="0.25">
      <c r="A46" s="29" t="s">
        <v>838</v>
      </c>
      <c r="B46" s="48" t="str">
        <f>VLOOKUP(A46,[2]Sheet1!$B$2:$C$184,2,0)</f>
        <v>070000162445</v>
      </c>
      <c r="C46" s="25">
        <v>19426.750000000004</v>
      </c>
      <c r="D46" s="49">
        <f t="shared" si="0"/>
        <v>19427</v>
      </c>
      <c r="E46" s="50" t="s">
        <v>1785</v>
      </c>
      <c r="F46" s="51" t="str">
        <f t="shared" si="1"/>
        <v>insert into ins_premium_det (premium_rcv_code,assorted_code, rec_amount,premium_rcv_detail_code,remaining_amt, payrec, mode_code,coinsurance_code,class_cd,it_remarks) values</v>
      </c>
      <c r="G46" s="52" t="str">
        <f t="shared" si="2"/>
        <v>('22Aug240008','070000162445','19427',(select max(to_number(i.premium_rcv_detail_code))+1
from ins_premium_det i),'19427','19427','02', '11000003','00','Request by Mr. Reheel Malik 22-Aug-2024 Renewal');</v>
      </c>
      <c r="H46" s="53" t="str">
        <f t="shared" si="3"/>
        <v>insert into ins_premium_det (premium_rcv_code,assorted_code, rec_amount,premium_rcv_detail_code,remaining_amt, payrec, mode_code,coinsurance_code,class_cd,it_remarks) values('22Aug240008','070000162445','19427',(select max(to_number(i.premium_rcv_detail_code))+1
from ins_premium_det i),'19427','19427','02', '11000003','00','Request by Mr. Reheel Malik 22-Aug-2024 Renewal');</v>
      </c>
    </row>
    <row r="47" spans="1:8" ht="20.25" customHeight="1" x14ac:dyDescent="0.25">
      <c r="A47" s="29" t="s">
        <v>844</v>
      </c>
      <c r="B47" s="48" t="str">
        <f>VLOOKUP(A47,[2]Sheet1!$B$2:$C$184,2,0)</f>
        <v>070000162456</v>
      </c>
      <c r="C47" s="25">
        <v>32852.5</v>
      </c>
      <c r="D47" s="49">
        <f t="shared" si="0"/>
        <v>32853</v>
      </c>
      <c r="E47" s="50" t="s">
        <v>1785</v>
      </c>
      <c r="F47" s="51" t="str">
        <f t="shared" si="1"/>
        <v>insert into ins_premium_det (premium_rcv_code,assorted_code, rec_amount,premium_rcv_detail_code,remaining_amt, payrec, mode_code,coinsurance_code,class_cd,it_remarks) values</v>
      </c>
      <c r="G47" s="52" t="str">
        <f t="shared" si="2"/>
        <v>('22Aug240008','070000162456','32853',(select max(to_number(i.premium_rcv_detail_code))+1
from ins_premium_det i),'32853','32853','02', '11000003','00','Request by Mr. Reheel Malik 22-Aug-2024 Renewal');</v>
      </c>
      <c r="H47" s="53" t="str">
        <f t="shared" si="3"/>
        <v>insert into ins_premium_det (premium_rcv_code,assorted_code, rec_amount,premium_rcv_detail_code,remaining_amt, payrec, mode_code,coinsurance_code,class_cd,it_remarks) values('22Aug240008','070000162456','32853',(select max(to_number(i.premium_rcv_detail_code))+1
from ins_premium_det i),'32853','32853','02', '11000003','00','Request by Mr. Reheel Malik 22-Aug-2024 Renewal');</v>
      </c>
    </row>
    <row r="48" spans="1:8" ht="20.25" customHeight="1" x14ac:dyDescent="0.25">
      <c r="A48" s="29" t="s">
        <v>852</v>
      </c>
      <c r="B48" s="48" t="str">
        <f>VLOOKUP(A48,[2]Sheet1!$B$2:$C$184,2,0)</f>
        <v>070000162512</v>
      </c>
      <c r="C48" s="25">
        <v>19400</v>
      </c>
      <c r="D48" s="49">
        <f t="shared" si="0"/>
        <v>19400</v>
      </c>
      <c r="E48" s="50" t="s">
        <v>1785</v>
      </c>
      <c r="F48" s="51" t="str">
        <f t="shared" si="1"/>
        <v>insert into ins_premium_det (premium_rcv_code,assorted_code, rec_amount,premium_rcv_detail_code,remaining_amt, payrec, mode_code,coinsurance_code,class_cd,it_remarks) values</v>
      </c>
      <c r="G48" s="52" t="str">
        <f t="shared" si="2"/>
        <v>('22Aug240008','070000162512','19400',(select max(to_number(i.premium_rcv_detail_code))+1
from ins_premium_det i),'19400','19400','02', '11000003','00','Request by Mr. Reheel Malik 22-Aug-2024 Renewal');</v>
      </c>
      <c r="H48" s="53" t="str">
        <f t="shared" si="3"/>
        <v>insert into ins_premium_det (premium_rcv_code,assorted_code, rec_amount,premium_rcv_detail_code,remaining_amt, payrec, mode_code,coinsurance_code,class_cd,it_remarks) values('22Aug240008','070000162512','19400',(select max(to_number(i.premium_rcv_detail_code))+1
from ins_premium_det i),'19400','19400','02', '11000003','00','Request by Mr. Reheel Malik 22-Aug-2024 Renewal');</v>
      </c>
    </row>
    <row r="49" spans="1:8" ht="20.25" customHeight="1" x14ac:dyDescent="0.25">
      <c r="A49" s="29" t="s">
        <v>859</v>
      </c>
      <c r="B49" s="48" t="str">
        <f>VLOOKUP(A49,[2]Sheet1!$B$2:$C$184,2,0)</f>
        <v>070000162463</v>
      </c>
      <c r="C49" s="25">
        <v>47153.75</v>
      </c>
      <c r="D49" s="49">
        <f t="shared" si="0"/>
        <v>47154</v>
      </c>
      <c r="E49" s="50" t="s">
        <v>1785</v>
      </c>
      <c r="F49" s="51" t="str">
        <f t="shared" si="1"/>
        <v>insert into ins_premium_det (premium_rcv_code,assorted_code, rec_amount,premium_rcv_detail_code,remaining_amt, payrec, mode_code,coinsurance_code,class_cd,it_remarks) values</v>
      </c>
      <c r="G49" s="52" t="str">
        <f t="shared" si="2"/>
        <v>('22Aug240008','070000162463','47154',(select max(to_number(i.premium_rcv_detail_code))+1
from ins_premium_det i),'47154','47154','02', '11000003','00','Request by Mr. Reheel Malik 22-Aug-2024 Renewal');</v>
      </c>
      <c r="H49" s="53" t="str">
        <f t="shared" si="3"/>
        <v>insert into ins_premium_det (premium_rcv_code,assorted_code, rec_amount,premium_rcv_detail_code,remaining_amt, payrec, mode_code,coinsurance_code,class_cd,it_remarks) values('22Aug240008','070000162463','47154',(select max(to_number(i.premium_rcv_detail_code))+1
from ins_premium_det i),'47154','47154','02', '11000003','00','Request by Mr. Reheel Malik 22-Aug-2024 Renewal');</v>
      </c>
    </row>
    <row r="50" spans="1:8" ht="20.25" customHeight="1" x14ac:dyDescent="0.25">
      <c r="A50" s="29" t="s">
        <v>865</v>
      </c>
      <c r="B50" s="48" t="str">
        <f>VLOOKUP(A50,[2]Sheet1!$B$2:$C$184,2,0)</f>
        <v>070000162464</v>
      </c>
      <c r="C50" s="25">
        <v>33007.625</v>
      </c>
      <c r="D50" s="49">
        <f t="shared" si="0"/>
        <v>33008</v>
      </c>
      <c r="E50" s="50" t="s">
        <v>1785</v>
      </c>
      <c r="F50" s="51" t="str">
        <f t="shared" si="1"/>
        <v>insert into ins_premium_det (premium_rcv_code,assorted_code, rec_amount,premium_rcv_detail_code,remaining_amt, payrec, mode_code,coinsurance_code,class_cd,it_remarks) values</v>
      </c>
      <c r="G50" s="52" t="str">
        <f t="shared" si="2"/>
        <v>('22Aug240008','070000162464','33008',(select max(to_number(i.premium_rcv_detail_code))+1
from ins_premium_det i),'33008','33008','02', '11000003','00','Request by Mr. Reheel Malik 22-Aug-2024 Renewal');</v>
      </c>
      <c r="H50" s="53" t="str">
        <f t="shared" si="3"/>
        <v>insert into ins_premium_det (premium_rcv_code,assorted_code, rec_amount,premium_rcv_detail_code,remaining_amt, payrec, mode_code,coinsurance_code,class_cd,it_remarks) values('22Aug240008','070000162464','33008',(select max(to_number(i.premium_rcv_detail_code))+1
from ins_premium_det i),'33008','33008','02', '11000003','00','Request by Mr. Reheel Malik 22-Aug-2024 Renewal');</v>
      </c>
    </row>
    <row r="51" spans="1:8" ht="20.25" customHeight="1" x14ac:dyDescent="0.25">
      <c r="A51" s="29" t="s">
        <v>871</v>
      </c>
      <c r="B51" s="48" t="str">
        <f>VLOOKUP(A51,[2]Sheet1!$B$2:$C$184,2,0)</f>
        <v>070000162449</v>
      </c>
      <c r="C51" s="25">
        <v>19426.750000000004</v>
      </c>
      <c r="D51" s="49">
        <f t="shared" si="0"/>
        <v>19427</v>
      </c>
      <c r="E51" s="50" t="s">
        <v>1785</v>
      </c>
      <c r="F51" s="51" t="str">
        <f t="shared" si="1"/>
        <v>insert into ins_premium_det (premium_rcv_code,assorted_code, rec_amount,premium_rcv_detail_code,remaining_amt, payrec, mode_code,coinsurance_code,class_cd,it_remarks) values</v>
      </c>
      <c r="G51" s="52" t="str">
        <f t="shared" si="2"/>
        <v>('22Aug240008','070000162449','19427',(select max(to_number(i.premium_rcv_detail_code))+1
from ins_premium_det i),'19427','19427','02', '11000003','00','Request by Mr. Reheel Malik 22-Aug-2024 Renewal');</v>
      </c>
      <c r="H51" s="53" t="str">
        <f t="shared" si="3"/>
        <v>insert into ins_premium_det (premium_rcv_code,assorted_code, rec_amount,premium_rcv_detail_code,remaining_amt, payrec, mode_code,coinsurance_code,class_cd,it_remarks) values('22Aug240008','070000162449','19427',(select max(to_number(i.premium_rcv_detail_code))+1
from ins_premium_det i),'19427','19427','02', '11000003','00','Request by Mr. Reheel Malik 22-Aug-2024 Renewal');</v>
      </c>
    </row>
    <row r="52" spans="1:8" ht="20.25" customHeight="1" x14ac:dyDescent="0.25">
      <c r="A52" s="29" t="s">
        <v>879</v>
      </c>
      <c r="B52" s="48" t="str">
        <f>VLOOKUP(A52,[2]Sheet1!$B$2:$C$184,2,0)</f>
        <v>070000162474</v>
      </c>
      <c r="C52" s="25">
        <v>22996.750000000004</v>
      </c>
      <c r="D52" s="49">
        <f t="shared" si="0"/>
        <v>22997</v>
      </c>
      <c r="E52" s="50" t="s">
        <v>1785</v>
      </c>
      <c r="F52" s="51" t="str">
        <f t="shared" si="1"/>
        <v>insert into ins_premium_det (premium_rcv_code,assorted_code, rec_amount,premium_rcv_detail_code,remaining_amt, payrec, mode_code,coinsurance_code,class_cd,it_remarks) values</v>
      </c>
      <c r="G52" s="52" t="str">
        <f t="shared" si="2"/>
        <v>('22Aug240008','070000162474','22997',(select max(to_number(i.premium_rcv_detail_code))+1
from ins_premium_det i),'22997','22997','02', '11000003','00','Request by Mr. Reheel Malik 22-Aug-2024 Renewal');</v>
      </c>
      <c r="H52" s="53" t="str">
        <f t="shared" si="3"/>
        <v>insert into ins_premium_det (premium_rcv_code,assorted_code, rec_amount,premium_rcv_detail_code,remaining_amt, payrec, mode_code,coinsurance_code,class_cd,it_remarks) values('22Aug240008','070000162474','22997',(select max(to_number(i.premium_rcv_detail_code))+1
from ins_premium_det i),'22997','22997','02', '11000003','00','Request by Mr. Reheel Malik 22-Aug-2024 Renewal');</v>
      </c>
    </row>
    <row r="53" spans="1:8" ht="20.25" customHeight="1" x14ac:dyDescent="0.25">
      <c r="A53" s="29" t="s">
        <v>887</v>
      </c>
      <c r="B53" s="48" t="str">
        <f>VLOOKUP(A53,[2]Sheet1!$B$2:$C$184,2,0)</f>
        <v>070000162493</v>
      </c>
      <c r="C53" s="25">
        <v>32852.5</v>
      </c>
      <c r="D53" s="49">
        <f t="shared" si="0"/>
        <v>32853</v>
      </c>
      <c r="E53" s="50" t="s">
        <v>1785</v>
      </c>
      <c r="F53" s="51" t="str">
        <f t="shared" si="1"/>
        <v>insert into ins_premium_det (premium_rcv_code,assorted_code, rec_amount,premium_rcv_detail_code,remaining_amt, payrec, mode_code,coinsurance_code,class_cd,it_remarks) values</v>
      </c>
      <c r="G53" s="52" t="str">
        <f t="shared" si="2"/>
        <v>('22Aug240008','070000162493','32853',(select max(to_number(i.premium_rcv_detail_code))+1
from ins_premium_det i),'32853','32853','02', '11000003','00','Request by Mr. Reheel Malik 22-Aug-2024 Renewal');</v>
      </c>
      <c r="H53" s="53" t="str">
        <f t="shared" si="3"/>
        <v>insert into ins_premium_det (premium_rcv_code,assorted_code, rec_amount,premium_rcv_detail_code,remaining_amt, payrec, mode_code,coinsurance_code,class_cd,it_remarks) values('22Aug240008','070000162493','32853',(select max(to_number(i.premium_rcv_detail_code))+1
from ins_premium_det i),'32853','32853','02', '11000003','00','Request by Mr. Reheel Malik 22-Aug-2024 Renewal');</v>
      </c>
    </row>
    <row r="54" spans="1:8" ht="20.25" customHeight="1" x14ac:dyDescent="0.25">
      <c r="A54" s="29" t="s">
        <v>894</v>
      </c>
      <c r="B54" s="48" t="str">
        <f>VLOOKUP(A54,[2]Sheet1!$B$2:$C$184,2,0)</f>
        <v>070000162607</v>
      </c>
      <c r="C54" s="25">
        <v>37123.75</v>
      </c>
      <c r="D54" s="49">
        <f t="shared" si="0"/>
        <v>37124</v>
      </c>
      <c r="E54" s="50" t="s">
        <v>1785</v>
      </c>
      <c r="F54" s="51" t="str">
        <f t="shared" si="1"/>
        <v>insert into ins_premium_det (premium_rcv_code,assorted_code, rec_amount,premium_rcv_detail_code,remaining_amt, payrec, mode_code,coinsurance_code,class_cd,it_remarks) values</v>
      </c>
      <c r="G54" s="52" t="str">
        <f t="shared" si="2"/>
        <v>('22Aug240008','070000162607','37124',(select max(to_number(i.premium_rcv_detail_code))+1
from ins_premium_det i),'37124','37124','02', '11000003','00','Request by Mr. Reheel Malik 22-Aug-2024 Renewal');</v>
      </c>
      <c r="H54" s="53" t="str">
        <f t="shared" si="3"/>
        <v>insert into ins_premium_det (premium_rcv_code,assorted_code, rec_amount,premium_rcv_detail_code,remaining_amt, payrec, mode_code,coinsurance_code,class_cd,it_remarks) values('22Aug240008','070000162607','37124',(select max(to_number(i.premium_rcv_detail_code))+1
from ins_premium_det i),'37124','37124','02', '11000003','00','Request by Mr. Reheel Malik 22-Aug-2024 Renewal');</v>
      </c>
    </row>
    <row r="55" spans="1:8" ht="20.25" customHeight="1" x14ac:dyDescent="0.25">
      <c r="A55" s="29" t="s">
        <v>900</v>
      </c>
      <c r="B55" s="48" t="str">
        <f>VLOOKUP(A55,[2]Sheet1!$B$2:$C$184,2,0)</f>
        <v>070000162605</v>
      </c>
      <c r="C55" s="25">
        <v>56420.875000000007</v>
      </c>
      <c r="D55" s="49">
        <f t="shared" si="0"/>
        <v>56421</v>
      </c>
      <c r="E55" s="50" t="s">
        <v>1785</v>
      </c>
      <c r="F55" s="51" t="str">
        <f t="shared" si="1"/>
        <v>insert into ins_premium_det (premium_rcv_code,assorted_code, rec_amount,premium_rcv_detail_code,remaining_amt, payrec, mode_code,coinsurance_code,class_cd,it_remarks) values</v>
      </c>
      <c r="G55" s="52" t="str">
        <f t="shared" si="2"/>
        <v>('22Aug240008','070000162605','56421',(select max(to_number(i.premium_rcv_detail_code))+1
from ins_premium_det i),'56421','56421','02', '11000003','00','Request by Mr. Reheel Malik 22-Aug-2024 Renewal');</v>
      </c>
      <c r="H55" s="53" t="str">
        <f t="shared" si="3"/>
        <v>insert into ins_premium_det (premium_rcv_code,assorted_code, rec_amount,premium_rcv_detail_code,remaining_amt, payrec, mode_code,coinsurance_code,class_cd,it_remarks) values('22Aug240008','070000162605','56421',(select max(to_number(i.premium_rcv_detail_code))+1
from ins_premium_det i),'56421','56421','02', '11000003','00','Request by Mr. Reheel Malik 22-Aug-2024 Renewal');</v>
      </c>
    </row>
    <row r="56" spans="1:8" ht="20.25" customHeight="1" x14ac:dyDescent="0.25">
      <c r="A56" s="29" t="s">
        <v>906</v>
      </c>
      <c r="B56" s="48" t="str">
        <f>VLOOKUP(A56,[2]Sheet1!$B$2:$C$184,2,0)</f>
        <v>070000162447</v>
      </c>
      <c r="C56" s="25">
        <v>44000.250000000007</v>
      </c>
      <c r="D56" s="49">
        <f t="shared" si="0"/>
        <v>44000</v>
      </c>
      <c r="E56" s="50" t="s">
        <v>1785</v>
      </c>
      <c r="F56" s="51" t="str">
        <f t="shared" si="1"/>
        <v>insert into ins_premium_det (premium_rcv_code,assorted_code, rec_amount,premium_rcv_detail_code,remaining_amt, payrec, mode_code,coinsurance_code,class_cd,it_remarks) values</v>
      </c>
      <c r="G56" s="52" t="str">
        <f t="shared" si="2"/>
        <v>('22Aug240008','070000162447','44000',(select max(to_number(i.premium_rcv_detail_code))+1
from ins_premium_det i),'44000','44000','02', '11000003','00','Request by Mr. Reheel Malik 22-Aug-2024 Renewal');</v>
      </c>
      <c r="H56" s="53" t="str">
        <f t="shared" si="3"/>
        <v>insert into ins_premium_det (premium_rcv_code,assorted_code, rec_amount,premium_rcv_detail_code,remaining_amt, payrec, mode_code,coinsurance_code,class_cd,it_remarks) values('22Aug240008','070000162447','44000',(select max(to_number(i.premium_rcv_detail_code))+1
from ins_premium_det i),'44000','44000','02', '11000003','00','Request by Mr. Reheel Malik 22-Aug-2024 Renewal');</v>
      </c>
    </row>
    <row r="57" spans="1:8" ht="20.25" customHeight="1" x14ac:dyDescent="0.25">
      <c r="A57" s="29" t="s">
        <v>913</v>
      </c>
      <c r="B57" s="48" t="str">
        <f>VLOOKUP(A57,[2]Sheet1!$B$2:$C$184,2,0)</f>
        <v>070000162471</v>
      </c>
      <c r="C57" s="25">
        <v>27514.5</v>
      </c>
      <c r="D57" s="49">
        <f t="shared" si="0"/>
        <v>27515</v>
      </c>
      <c r="E57" s="50" t="s">
        <v>1785</v>
      </c>
      <c r="F57" s="51" t="str">
        <f t="shared" si="1"/>
        <v>insert into ins_premium_det (premium_rcv_code,assorted_code, rec_amount,premium_rcv_detail_code,remaining_amt, payrec, mode_code,coinsurance_code,class_cd,it_remarks) values</v>
      </c>
      <c r="G57" s="52" t="str">
        <f t="shared" si="2"/>
        <v>('22Aug240008','070000162471','27515',(select max(to_number(i.premium_rcv_detail_code))+1
from ins_premium_det i),'27515','27515','02', '11000003','00','Request by Mr. Reheel Malik 22-Aug-2024 Renewal');</v>
      </c>
      <c r="H57" s="53" t="str">
        <f t="shared" si="3"/>
        <v>insert into ins_premium_det (premium_rcv_code,assorted_code, rec_amount,premium_rcv_detail_code,remaining_amt, payrec, mode_code,coinsurance_code,class_cd,it_remarks) values('22Aug240008','070000162471','27515',(select max(to_number(i.premium_rcv_detail_code))+1
from ins_premium_det i),'27515','27515','02', '11000003','00','Request by Mr. Reheel Malik 22-Aug-2024 Renewal');</v>
      </c>
    </row>
    <row r="58" spans="1:8" ht="20.25" customHeight="1" x14ac:dyDescent="0.25">
      <c r="A58" s="29" t="s">
        <v>919</v>
      </c>
      <c r="B58" s="48" t="str">
        <f>VLOOKUP(A58,[2]Sheet1!$B$2:$C$184,2,0)</f>
        <v>070000162608</v>
      </c>
      <c r="C58" s="25">
        <v>52572.5</v>
      </c>
      <c r="D58" s="49">
        <f t="shared" si="0"/>
        <v>52573</v>
      </c>
      <c r="E58" s="50" t="s">
        <v>1785</v>
      </c>
      <c r="F58" s="51" t="str">
        <f t="shared" si="1"/>
        <v>insert into ins_premium_det (premium_rcv_code,assorted_code, rec_amount,premium_rcv_detail_code,remaining_amt, payrec, mode_code,coinsurance_code,class_cd,it_remarks) values</v>
      </c>
      <c r="G58" s="52" t="str">
        <f t="shared" si="2"/>
        <v>('22Aug240008','070000162608','52573',(select max(to_number(i.premium_rcv_detail_code))+1
from ins_premium_det i),'52573','52573','02', '11000003','00','Request by Mr. Reheel Malik 22-Aug-2024 Renewal');</v>
      </c>
      <c r="H58" s="53" t="str">
        <f t="shared" si="3"/>
        <v>insert into ins_premium_det (premium_rcv_code,assorted_code, rec_amount,premium_rcv_detail_code,remaining_amt, payrec, mode_code,coinsurance_code,class_cd,it_remarks) values('22Aug240008','070000162608','52573',(select max(to_number(i.premium_rcv_detail_code))+1
from ins_premium_det i),'52573','52573','02', '11000003','00','Request by Mr. Reheel Malik 22-Aug-2024 Renewal');</v>
      </c>
    </row>
    <row r="59" spans="1:8" ht="20.25" customHeight="1" x14ac:dyDescent="0.25">
      <c r="A59" s="29" t="s">
        <v>925</v>
      </c>
      <c r="B59" s="48" t="str">
        <f>VLOOKUP(A59,[2]Sheet1!$B$2:$C$184,2,0)</f>
        <v>070000162500</v>
      </c>
      <c r="C59" s="25">
        <v>32852.5</v>
      </c>
      <c r="D59" s="49">
        <f t="shared" si="0"/>
        <v>32853</v>
      </c>
      <c r="E59" s="50" t="s">
        <v>1785</v>
      </c>
      <c r="F59" s="51" t="str">
        <f t="shared" si="1"/>
        <v>insert into ins_premium_det (premium_rcv_code,assorted_code, rec_amount,premium_rcv_detail_code,remaining_amt, payrec, mode_code,coinsurance_code,class_cd,it_remarks) values</v>
      </c>
      <c r="G59" s="52" t="str">
        <f t="shared" si="2"/>
        <v>('22Aug240008','070000162500','32853',(select max(to_number(i.premium_rcv_detail_code))+1
from ins_premium_det i),'32853','32853','02', '11000003','00','Request by Mr. Reheel Malik 22-Aug-2024 Renewal');</v>
      </c>
      <c r="H59" s="53" t="str">
        <f t="shared" si="3"/>
        <v>insert into ins_premium_det (premium_rcv_code,assorted_code, rec_amount,premium_rcv_detail_code,remaining_amt, payrec, mode_code,coinsurance_code,class_cd,it_remarks) values('22Aug240008','070000162500','32853',(select max(to_number(i.premium_rcv_detail_code))+1
from ins_premium_det i),'32853','32853','02', '11000003','00','Request by Mr. Reheel Malik 22-Aug-2024 Renewal');</v>
      </c>
    </row>
    <row r="60" spans="1:8" ht="20.25" customHeight="1" x14ac:dyDescent="0.25">
      <c r="A60" s="29" t="s">
        <v>931</v>
      </c>
      <c r="B60" s="48" t="str">
        <f>VLOOKUP(A60,[2]Sheet1!$B$2:$C$184,2,0)</f>
        <v>070000162499</v>
      </c>
      <c r="C60" s="25">
        <v>30600</v>
      </c>
      <c r="D60" s="49">
        <f t="shared" si="0"/>
        <v>30600</v>
      </c>
      <c r="E60" s="50" t="s">
        <v>1785</v>
      </c>
      <c r="F60" s="51" t="str">
        <f t="shared" si="1"/>
        <v>insert into ins_premium_det (premium_rcv_code,assorted_code, rec_amount,premium_rcv_detail_code,remaining_amt, payrec, mode_code,coinsurance_code,class_cd,it_remarks) values</v>
      </c>
      <c r="G60" s="52" t="str">
        <f t="shared" si="2"/>
        <v>('22Aug240008','070000162499','30600',(select max(to_number(i.premium_rcv_detail_code))+1
from ins_premium_det i),'30600','30600','02', '11000003','00','Request by Mr. Reheel Malik 22-Aug-2024 Renewal');</v>
      </c>
      <c r="H60" s="53" t="str">
        <f t="shared" si="3"/>
        <v>insert into ins_premium_det (premium_rcv_code,assorted_code, rec_amount,premium_rcv_detail_code,remaining_amt, payrec, mode_code,coinsurance_code,class_cd,it_remarks) values('22Aug240008','070000162499','30600',(select max(to_number(i.premium_rcv_detail_code))+1
from ins_premium_det i),'30600','30600','02', '11000003','00','Request by Mr. Reheel Malik 22-Aug-2024 Renewal');</v>
      </c>
    </row>
    <row r="61" spans="1:8" ht="20.25" customHeight="1" x14ac:dyDescent="0.25">
      <c r="A61" s="29" t="s">
        <v>938</v>
      </c>
      <c r="B61" s="48" t="str">
        <f>VLOOKUP(A61,[2]Sheet1!$B$2:$C$184,2,0)</f>
        <v>070000162482</v>
      </c>
      <c r="C61" s="25">
        <v>66640</v>
      </c>
      <c r="D61" s="49">
        <f t="shared" si="0"/>
        <v>66640</v>
      </c>
      <c r="E61" s="50" t="s">
        <v>1785</v>
      </c>
      <c r="F61" s="51" t="str">
        <f t="shared" si="1"/>
        <v>insert into ins_premium_det (premium_rcv_code,assorted_code, rec_amount,premium_rcv_detail_code,remaining_amt, payrec, mode_code,coinsurance_code,class_cd,it_remarks) values</v>
      </c>
      <c r="G61" s="52" t="str">
        <f t="shared" si="2"/>
        <v>('22Aug240008','070000162482','66640',(select max(to_number(i.premium_rcv_detail_code))+1
from ins_premium_det i),'66640','66640','02', '11000003','00','Request by Mr. Reheel Malik 22-Aug-2024 Renewal');</v>
      </c>
      <c r="H61" s="53" t="str">
        <f t="shared" si="3"/>
        <v>insert into ins_premium_det (premium_rcv_code,assorted_code, rec_amount,premium_rcv_detail_code,remaining_amt, payrec, mode_code,coinsurance_code,class_cd,it_remarks) values('22Aug240008','070000162482','66640',(select max(to_number(i.premium_rcv_detail_code))+1
from ins_premium_det i),'66640','66640','02', '11000003','00','Request by Mr. Reheel Malik 22-Aug-2024 Renewal');</v>
      </c>
    </row>
    <row r="62" spans="1:8" ht="20.25" customHeight="1" x14ac:dyDescent="0.25">
      <c r="A62" s="29" t="s">
        <v>943</v>
      </c>
      <c r="B62" s="48" t="str">
        <f>VLOOKUP(A62,[2]Sheet1!$B$2:$C$184,2,0)</f>
        <v>070000162497</v>
      </c>
      <c r="C62" s="25">
        <v>28050</v>
      </c>
      <c r="D62" s="49">
        <f t="shared" si="0"/>
        <v>28050</v>
      </c>
      <c r="E62" s="50" t="s">
        <v>1785</v>
      </c>
      <c r="F62" s="51" t="str">
        <f t="shared" si="1"/>
        <v>insert into ins_premium_det (premium_rcv_code,assorted_code, rec_amount,premium_rcv_detail_code,remaining_amt, payrec, mode_code,coinsurance_code,class_cd,it_remarks) values</v>
      </c>
      <c r="G62" s="52" t="str">
        <f t="shared" si="2"/>
        <v>('22Aug240008','070000162497','28050',(select max(to_number(i.premium_rcv_detail_code))+1
from ins_premium_det i),'28050','28050','02', '11000003','00','Request by Mr. Reheel Malik 22-Aug-2024 Renewal');</v>
      </c>
      <c r="H62" s="53" t="str">
        <f t="shared" si="3"/>
        <v>insert into ins_premium_det (premium_rcv_code,assorted_code, rec_amount,premium_rcv_detail_code,remaining_amt, payrec, mode_code,coinsurance_code,class_cd,it_remarks) values('22Aug240008','070000162497','28050',(select max(to_number(i.premium_rcv_detail_code))+1
from ins_premium_det i),'28050','28050','02', '11000003','00','Request by Mr. Reheel Malik 22-Aug-2024 Renewal');</v>
      </c>
    </row>
    <row r="63" spans="1:8" ht="20.25" customHeight="1" x14ac:dyDescent="0.25">
      <c r="A63" s="29" t="s">
        <v>951</v>
      </c>
      <c r="B63" s="48" t="str">
        <f>VLOOKUP(A63,[2]Sheet1!$B$2:$C$184,2,0)</f>
        <v>070000162478</v>
      </c>
      <c r="C63" s="25">
        <v>33150</v>
      </c>
      <c r="D63" s="49">
        <f t="shared" si="0"/>
        <v>33150</v>
      </c>
      <c r="E63" s="50" t="s">
        <v>1785</v>
      </c>
      <c r="F63" s="51" t="str">
        <f t="shared" si="1"/>
        <v>insert into ins_premium_det (premium_rcv_code,assorted_code, rec_amount,premium_rcv_detail_code,remaining_amt, payrec, mode_code,coinsurance_code,class_cd,it_remarks) values</v>
      </c>
      <c r="G63" s="52" t="str">
        <f t="shared" si="2"/>
        <v>('22Aug240008','070000162478','33150',(select max(to_number(i.premium_rcv_detail_code))+1
from ins_premium_det i),'33150','33150','02', '11000003','00','Request by Mr. Reheel Malik 22-Aug-2024 Renewal');</v>
      </c>
      <c r="H63" s="53" t="str">
        <f t="shared" si="3"/>
        <v>insert into ins_premium_det (premium_rcv_code,assorted_code, rec_amount,premium_rcv_detail_code,remaining_amt, payrec, mode_code,coinsurance_code,class_cd,it_remarks) values('22Aug240008','070000162478','33150',(select max(to_number(i.premium_rcv_detail_code))+1
from ins_premium_det i),'33150','33150','02', '11000003','00','Request by Mr. Reheel Malik 22-Aug-2024 Renewal');</v>
      </c>
    </row>
    <row r="64" spans="1:8" ht="20.25" customHeight="1" x14ac:dyDescent="0.25">
      <c r="A64" s="29" t="s">
        <v>958</v>
      </c>
      <c r="B64" s="48" t="str">
        <f>VLOOKUP(A64,[2]Sheet1!$B$2:$C$184,2,0)</f>
        <v>070000162617</v>
      </c>
      <c r="C64" s="25">
        <v>38340</v>
      </c>
      <c r="D64" s="49">
        <f t="shared" si="0"/>
        <v>38340</v>
      </c>
      <c r="E64" s="50" t="s">
        <v>1785</v>
      </c>
      <c r="F64" s="51" t="str">
        <f t="shared" si="1"/>
        <v>insert into ins_premium_det (premium_rcv_code,assorted_code, rec_amount,premium_rcv_detail_code,remaining_amt, payrec, mode_code,coinsurance_code,class_cd,it_remarks) values</v>
      </c>
      <c r="G64" s="52" t="str">
        <f t="shared" si="2"/>
        <v>('22Aug240008','070000162617','38340',(select max(to_number(i.premium_rcv_detail_code))+1
from ins_premium_det i),'38340','38340','02', '11000003','00','Request by Mr. Reheel Malik 22-Aug-2024 Renewal');</v>
      </c>
      <c r="H64" s="53" t="str">
        <f t="shared" si="3"/>
        <v>insert into ins_premium_det (premium_rcv_code,assorted_code, rec_amount,premium_rcv_detail_code,remaining_amt, payrec, mode_code,coinsurance_code,class_cd,it_remarks) values('22Aug240008','070000162617','38340',(select max(to_number(i.premium_rcv_detail_code))+1
from ins_premium_det i),'38340','38340','02', '11000003','00','Request by Mr. Reheel Malik 22-Aug-2024 Renewal');</v>
      </c>
    </row>
    <row r="65" spans="1:8" ht="20.25" customHeight="1" x14ac:dyDescent="0.25">
      <c r="A65" s="29" t="s">
        <v>965</v>
      </c>
      <c r="B65" s="48" t="str">
        <f>VLOOKUP(A65,[2]Sheet1!$B$2:$C$184,2,0)</f>
        <v>070000162614</v>
      </c>
      <c r="C65" s="25">
        <v>71226</v>
      </c>
      <c r="D65" s="49">
        <f t="shared" si="0"/>
        <v>71226</v>
      </c>
      <c r="E65" s="50" t="s">
        <v>1785</v>
      </c>
      <c r="F65" s="51" t="str">
        <f t="shared" si="1"/>
        <v>insert into ins_premium_det (premium_rcv_code,assorted_code, rec_amount,premium_rcv_detail_code,remaining_amt, payrec, mode_code,coinsurance_code,class_cd,it_remarks) values</v>
      </c>
      <c r="G65" s="52" t="str">
        <f t="shared" si="2"/>
        <v>('22Aug240008','070000162614','71226',(select max(to_number(i.premium_rcv_detail_code))+1
from ins_premium_det i),'71226','71226','02', '11000003','00','Request by Mr. Reheel Malik 22-Aug-2024 Renewal');</v>
      </c>
      <c r="H65" s="53" t="str">
        <f t="shared" si="3"/>
        <v>insert into ins_premium_det (premium_rcv_code,assorted_code, rec_amount,premium_rcv_detail_code,remaining_amt, payrec, mode_code,coinsurance_code,class_cd,it_remarks) values('22Aug240008','070000162614','71226',(select max(to_number(i.premium_rcv_detail_code))+1
from ins_premium_det i),'71226','71226','02', '11000003','00','Request by Mr. Reheel Malik 22-Aug-2024 Renewal');</v>
      </c>
    </row>
    <row r="66" spans="1:8" ht="20.25" customHeight="1" x14ac:dyDescent="0.25">
      <c r="A66" s="29" t="s">
        <v>974</v>
      </c>
      <c r="B66" s="48" t="str">
        <f>VLOOKUP(A66,[2]Sheet1!$B$2:$C$184,2,0)</f>
        <v>070000162568</v>
      </c>
      <c r="C66" s="25">
        <v>76125</v>
      </c>
      <c r="D66" s="49">
        <f t="shared" ref="D66:D129" si="4">ROUND(C66,0)</f>
        <v>76125</v>
      </c>
      <c r="E66" s="50" t="s">
        <v>1785</v>
      </c>
      <c r="F66" s="51" t="str">
        <f t="shared" ref="F66:F129" si="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52" t="str">
        <f t="shared" ref="G66:G129" si="6">"('"&amp;E66&amp;"','"&amp;B66&amp;"','"&amp;D66&amp;"',(select max(to_number(i.premium_rcv_detail_code))+1
from ins_premium_det i),'"&amp;D66&amp;"','"&amp;D66&amp;"','02', '11000003','00','Request by Mr. Reheel Malik 22-Aug-2024 Renewal');"</f>
        <v>('22Aug240008','070000162568','76125',(select max(to_number(i.premium_rcv_detail_code))+1
from ins_premium_det i),'76125','76125','02', '11000003','00','Request by Mr. Reheel Malik 22-Aug-2024 Renewal');</v>
      </c>
      <c r="H66" s="53" t="str">
        <f t="shared" ref="H66:H129" si="7">F66&amp;G66</f>
        <v>insert into ins_premium_det (premium_rcv_code,assorted_code, rec_amount,premium_rcv_detail_code,remaining_amt, payrec, mode_code,coinsurance_code,class_cd,it_remarks) values('22Aug240008','070000162568','76125',(select max(to_number(i.premium_rcv_detail_code))+1
from ins_premium_det i),'76125','76125','02', '11000003','00','Request by Mr. Reheel Malik 22-Aug-2024 Renewal');</v>
      </c>
    </row>
    <row r="67" spans="1:8" ht="20.25" customHeight="1" x14ac:dyDescent="0.25">
      <c r="A67" s="29" t="s">
        <v>981</v>
      </c>
      <c r="B67" s="48" t="str">
        <f>VLOOKUP(A67,[2]Sheet1!$B$2:$C$184,2,0)</f>
        <v>070000162589</v>
      </c>
      <c r="C67" s="25">
        <v>45613.125</v>
      </c>
      <c r="D67" s="49">
        <f t="shared" si="4"/>
        <v>45613</v>
      </c>
      <c r="E67" s="50" t="s">
        <v>1785</v>
      </c>
      <c r="F67" s="51" t="str">
        <f t="shared" si="5"/>
        <v>insert into ins_premium_det (premium_rcv_code,assorted_code, rec_amount,premium_rcv_detail_code,remaining_amt, payrec, mode_code,coinsurance_code,class_cd,it_remarks) values</v>
      </c>
      <c r="G67" s="52" t="str">
        <f t="shared" si="6"/>
        <v>('22Aug240008','070000162589','45613',(select max(to_number(i.premium_rcv_detail_code))+1
from ins_premium_det i),'45613','45613','02', '11000003','00','Request by Mr. Reheel Malik 22-Aug-2024 Renewal');</v>
      </c>
      <c r="H67" s="53" t="str">
        <f t="shared" si="7"/>
        <v>insert into ins_premium_det (premium_rcv_code,assorted_code, rec_amount,premium_rcv_detail_code,remaining_amt, payrec, mode_code,coinsurance_code,class_cd,it_remarks) values('22Aug240008','070000162589','45613',(select max(to_number(i.premium_rcv_detail_code))+1
from ins_premium_det i),'45613','45613','02', '11000003','00','Request by Mr. Reheel Malik 22-Aug-2024 Renewal');</v>
      </c>
    </row>
    <row r="68" spans="1:8" ht="20.25" customHeight="1" x14ac:dyDescent="0.25">
      <c r="A68" s="29" t="s">
        <v>988</v>
      </c>
      <c r="B68" s="48" t="str">
        <f>VLOOKUP(A68,[2]Sheet1!$B$2:$C$184,2,0)</f>
        <v>070000162592</v>
      </c>
      <c r="C68" s="25">
        <v>55828.125</v>
      </c>
      <c r="D68" s="49">
        <f t="shared" si="4"/>
        <v>55828</v>
      </c>
      <c r="E68" s="50" t="s">
        <v>1785</v>
      </c>
      <c r="F68" s="51" t="str">
        <f t="shared" si="5"/>
        <v>insert into ins_premium_det (premium_rcv_code,assorted_code, rec_amount,premium_rcv_detail_code,remaining_amt, payrec, mode_code,coinsurance_code,class_cd,it_remarks) values</v>
      </c>
      <c r="G68" s="52" t="str">
        <f t="shared" si="6"/>
        <v>('22Aug240008','070000162592','55828',(select max(to_number(i.premium_rcv_detail_code))+1
from ins_premium_det i),'55828','55828','02', '11000003','00','Request by Mr. Reheel Malik 22-Aug-2024 Renewal');</v>
      </c>
      <c r="H68" s="53" t="str">
        <f t="shared" si="7"/>
        <v>insert into ins_premium_det (premium_rcv_code,assorted_code, rec_amount,premium_rcv_detail_code,remaining_amt, payrec, mode_code,coinsurance_code,class_cd,it_remarks) values('22Aug240008','070000162592','55828',(select max(to_number(i.premium_rcv_detail_code))+1
from ins_premium_det i),'55828','55828','02', '11000003','00','Request by Mr. Reheel Malik 22-Aug-2024 Renewal');</v>
      </c>
    </row>
    <row r="69" spans="1:8" ht="20.25" customHeight="1" x14ac:dyDescent="0.25">
      <c r="A69" s="29" t="s">
        <v>996</v>
      </c>
      <c r="B69" s="48" t="str">
        <f>VLOOKUP(A69,[2]Sheet1!$B$2:$C$184,2,0)</f>
        <v>070000162587</v>
      </c>
      <c r="C69" s="25">
        <v>34361.25</v>
      </c>
      <c r="D69" s="49">
        <f t="shared" si="4"/>
        <v>34361</v>
      </c>
      <c r="E69" s="50" t="s">
        <v>1785</v>
      </c>
      <c r="F69" s="51" t="str">
        <f t="shared" si="5"/>
        <v>insert into ins_premium_det (premium_rcv_code,assorted_code, rec_amount,premium_rcv_detail_code,remaining_amt, payrec, mode_code,coinsurance_code,class_cd,it_remarks) values</v>
      </c>
      <c r="G69" s="52" t="str">
        <f t="shared" si="6"/>
        <v>('22Aug240008','070000162587','34361',(select max(to_number(i.premium_rcv_detail_code))+1
from ins_premium_det i),'34361','34361','02', '11000003','00','Request by Mr. Reheel Malik 22-Aug-2024 Renewal');</v>
      </c>
      <c r="H69" s="53" t="str">
        <f t="shared" si="7"/>
        <v>insert into ins_premium_det (premium_rcv_code,assorted_code, rec_amount,premium_rcv_detail_code,remaining_amt, payrec, mode_code,coinsurance_code,class_cd,it_remarks) values('22Aug240008','070000162587','34361',(select max(to_number(i.premium_rcv_detail_code))+1
from ins_premium_det i),'34361','34361','02', '11000003','00','Request by Mr. Reheel Malik 22-Aug-2024 Renewal');</v>
      </c>
    </row>
    <row r="70" spans="1:8" ht="20.25" customHeight="1" x14ac:dyDescent="0.25">
      <c r="A70" s="29" t="s">
        <v>1004</v>
      </c>
      <c r="B70" s="48" t="str">
        <f>VLOOKUP(A70,[2]Sheet1!$B$2:$C$184,2,0)</f>
        <v>070000162469</v>
      </c>
      <c r="C70" s="25">
        <v>48450</v>
      </c>
      <c r="D70" s="49">
        <f t="shared" si="4"/>
        <v>48450</v>
      </c>
      <c r="E70" s="50" t="s">
        <v>1785</v>
      </c>
      <c r="F70" s="51" t="str">
        <f t="shared" si="5"/>
        <v>insert into ins_premium_det (premium_rcv_code,assorted_code, rec_amount,premium_rcv_detail_code,remaining_amt, payrec, mode_code,coinsurance_code,class_cd,it_remarks) values</v>
      </c>
      <c r="G70" s="52" t="str">
        <f t="shared" si="6"/>
        <v>('22Aug240008','070000162469','48450',(select max(to_number(i.premium_rcv_detail_code))+1
from ins_premium_det i),'48450','48450','02', '11000003','00','Request by Mr. Reheel Malik 22-Aug-2024 Renewal');</v>
      </c>
      <c r="H70" s="53" t="str">
        <f t="shared" si="7"/>
        <v>insert into ins_premium_det (premium_rcv_code,assorted_code, rec_amount,premium_rcv_detail_code,remaining_amt, payrec, mode_code,coinsurance_code,class_cd,it_remarks) values('22Aug240008','070000162469','48450',(select max(to_number(i.premium_rcv_detail_code))+1
from ins_premium_det i),'48450','48450','02', '11000003','00','Request by Mr. Reheel Malik 22-Aug-2024 Renewal');</v>
      </c>
    </row>
    <row r="71" spans="1:8" ht="20.25" customHeight="1" x14ac:dyDescent="0.25">
      <c r="A71" s="29" t="s">
        <v>1011</v>
      </c>
      <c r="B71" s="48" t="str">
        <f>VLOOKUP(A71,[2]Sheet1!$B$2:$C$184,2,0)</f>
        <v>070000162527</v>
      </c>
      <c r="C71" s="25">
        <v>48234</v>
      </c>
      <c r="D71" s="49">
        <f t="shared" si="4"/>
        <v>48234</v>
      </c>
      <c r="E71" s="50" t="s">
        <v>1785</v>
      </c>
      <c r="F71" s="51" t="str">
        <f t="shared" si="5"/>
        <v>insert into ins_premium_det (premium_rcv_code,assorted_code, rec_amount,premium_rcv_detail_code,remaining_amt, payrec, mode_code,coinsurance_code,class_cd,it_remarks) values</v>
      </c>
      <c r="G71" s="52" t="str">
        <f t="shared" si="6"/>
        <v>('22Aug240008','070000162527','48234',(select max(to_number(i.premium_rcv_detail_code))+1
from ins_premium_det i),'48234','48234','02', '11000003','00','Request by Mr. Reheel Malik 22-Aug-2024 Renewal');</v>
      </c>
      <c r="H71" s="53" t="str">
        <f t="shared" si="7"/>
        <v>insert into ins_premium_det (premium_rcv_code,assorted_code, rec_amount,premium_rcv_detail_code,remaining_amt, payrec, mode_code,coinsurance_code,class_cd,it_remarks) values('22Aug240008','070000162527','48234',(select max(to_number(i.premium_rcv_detail_code))+1
from ins_premium_det i),'48234','48234','02', '11000003','00','Request by Mr. Reheel Malik 22-Aug-2024 Renewal');</v>
      </c>
    </row>
    <row r="72" spans="1:8" ht="20.25" customHeight="1" x14ac:dyDescent="0.25">
      <c r="A72" s="29" t="s">
        <v>1017</v>
      </c>
      <c r="B72" s="48" t="str">
        <f>VLOOKUP(A72,[2]Sheet1!$B$2:$C$184,2,0)</f>
        <v>070000162558</v>
      </c>
      <c r="C72" s="25">
        <v>32800</v>
      </c>
      <c r="D72" s="49">
        <f t="shared" si="4"/>
        <v>32800</v>
      </c>
      <c r="E72" s="50" t="s">
        <v>1785</v>
      </c>
      <c r="F72" s="51" t="str">
        <f t="shared" si="5"/>
        <v>insert into ins_premium_det (premium_rcv_code,assorted_code, rec_amount,premium_rcv_detail_code,remaining_amt, payrec, mode_code,coinsurance_code,class_cd,it_remarks) values</v>
      </c>
      <c r="G72" s="52" t="str">
        <f t="shared" si="6"/>
        <v>('22Aug240008','070000162558','32800',(select max(to_number(i.premium_rcv_detail_code))+1
from ins_premium_det i),'32800','32800','02', '11000003','00','Request by Mr. Reheel Malik 22-Aug-2024 Renewal');</v>
      </c>
      <c r="H72" s="53" t="str">
        <f t="shared" si="7"/>
        <v>insert into ins_premium_det (premium_rcv_code,assorted_code, rec_amount,premium_rcv_detail_code,remaining_amt, payrec, mode_code,coinsurance_code,class_cd,it_remarks) values('22Aug240008','070000162558','32800',(select max(to_number(i.premium_rcv_detail_code))+1
from ins_premium_det i),'32800','32800','02', '11000003','00','Request by Mr. Reheel Malik 22-Aug-2024 Renewal');</v>
      </c>
    </row>
    <row r="73" spans="1:8" ht="20.25" customHeight="1" x14ac:dyDescent="0.25">
      <c r="A73" s="29" t="s">
        <v>1023</v>
      </c>
      <c r="B73" s="48" t="str">
        <f>VLOOKUP(A73,[2]Sheet1!$B$2:$C$184,2,0)</f>
        <v>070000162543</v>
      </c>
      <c r="C73" s="25">
        <v>67800</v>
      </c>
      <c r="D73" s="49">
        <f t="shared" si="4"/>
        <v>67800</v>
      </c>
      <c r="E73" s="50" t="s">
        <v>1785</v>
      </c>
      <c r="F73" s="51" t="str">
        <f t="shared" si="5"/>
        <v>insert into ins_premium_det (premium_rcv_code,assorted_code, rec_amount,premium_rcv_detail_code,remaining_amt, payrec, mode_code,coinsurance_code,class_cd,it_remarks) values</v>
      </c>
      <c r="G73" s="52" t="str">
        <f t="shared" si="6"/>
        <v>('22Aug240008','070000162543','67800',(select max(to_number(i.premium_rcv_detail_code))+1
from ins_premium_det i),'67800','67800','02', '11000003','00','Request by Mr. Reheel Malik 22-Aug-2024 Renewal');</v>
      </c>
      <c r="H73" s="53" t="str">
        <f t="shared" si="7"/>
        <v>insert into ins_premium_det (premium_rcv_code,assorted_code, rec_amount,premium_rcv_detail_code,remaining_amt, payrec, mode_code,coinsurance_code,class_cd,it_remarks) values('22Aug240008','070000162543','67800',(select max(to_number(i.premium_rcv_detail_code))+1
from ins_premium_det i),'67800','67800','02', '11000003','00','Request by Mr. Reheel Malik 22-Aug-2024 Renewal');</v>
      </c>
    </row>
    <row r="74" spans="1:8" ht="20.25" customHeight="1" x14ac:dyDescent="0.25">
      <c r="A74" s="29" t="s">
        <v>1031</v>
      </c>
      <c r="B74" s="48" t="str">
        <f>VLOOKUP(A74,[2]Sheet1!$B$2:$C$184,2,0)</f>
        <v>070000162559</v>
      </c>
      <c r="C74" s="25">
        <v>30000</v>
      </c>
      <c r="D74" s="49">
        <f t="shared" si="4"/>
        <v>30000</v>
      </c>
      <c r="E74" s="50" t="s">
        <v>1785</v>
      </c>
      <c r="F74" s="51" t="str">
        <f t="shared" si="5"/>
        <v>insert into ins_premium_det (premium_rcv_code,assorted_code, rec_amount,premium_rcv_detail_code,remaining_amt, payrec, mode_code,coinsurance_code,class_cd,it_remarks) values</v>
      </c>
      <c r="G74" s="52" t="str">
        <f t="shared" si="6"/>
        <v>('22Aug240008','070000162559','30000',(select max(to_number(i.premium_rcv_detail_code))+1
from ins_premium_det i),'30000','30000','02', '11000003','00','Request by Mr. Reheel Malik 22-Aug-2024 Renewal');</v>
      </c>
      <c r="H74" s="53" t="str">
        <f t="shared" si="7"/>
        <v>insert into ins_premium_det (premium_rcv_code,assorted_code, rec_amount,premium_rcv_detail_code,remaining_amt, payrec, mode_code,coinsurance_code,class_cd,it_remarks) values('22Aug240008','070000162559','30000',(select max(to_number(i.premium_rcv_detail_code))+1
from ins_premium_det i),'30000','30000','02', '11000003','00','Request by Mr. Reheel Malik 22-Aug-2024 Renewal');</v>
      </c>
    </row>
    <row r="75" spans="1:8" ht="20.25" customHeight="1" x14ac:dyDescent="0.25">
      <c r="A75" s="29" t="s">
        <v>1039</v>
      </c>
      <c r="B75" s="48" t="str">
        <f>VLOOKUP(A75,[2]Sheet1!$B$2:$C$184,2,0)</f>
        <v>070000162521</v>
      </c>
      <c r="C75" s="25">
        <v>49602</v>
      </c>
      <c r="D75" s="49">
        <f t="shared" si="4"/>
        <v>49602</v>
      </c>
      <c r="E75" s="50" t="s">
        <v>1785</v>
      </c>
      <c r="F75" s="51" t="str">
        <f t="shared" si="5"/>
        <v>insert into ins_premium_det (premium_rcv_code,assorted_code, rec_amount,premium_rcv_detail_code,remaining_amt, payrec, mode_code,coinsurance_code,class_cd,it_remarks) values</v>
      </c>
      <c r="G75" s="52" t="str">
        <f t="shared" si="6"/>
        <v>('22Aug240008','070000162521','49602',(select max(to_number(i.premium_rcv_detail_code))+1
from ins_premium_det i),'49602','49602','02', '11000003','00','Request by Mr. Reheel Malik 22-Aug-2024 Renewal');</v>
      </c>
      <c r="H75" s="53" t="str">
        <f t="shared" si="7"/>
        <v>insert into ins_premium_det (premium_rcv_code,assorted_code, rec_amount,premium_rcv_detail_code,remaining_amt, payrec, mode_code,coinsurance_code,class_cd,it_remarks) values('22Aug240008','070000162521','49602',(select max(to_number(i.premium_rcv_detail_code))+1
from ins_premium_det i),'49602','49602','02', '11000003','00','Request by Mr. Reheel Malik 22-Aug-2024 Renewal');</v>
      </c>
    </row>
    <row r="76" spans="1:8" ht="20.25" customHeight="1" x14ac:dyDescent="0.25">
      <c r="A76" s="29" t="s">
        <v>1046</v>
      </c>
      <c r="B76" s="48" t="str">
        <f>VLOOKUP(A76,[2]Sheet1!$B$2:$C$184,2,0)</f>
        <v>070000162496</v>
      </c>
      <c r="C76" s="25">
        <v>52530</v>
      </c>
      <c r="D76" s="49">
        <f t="shared" si="4"/>
        <v>52530</v>
      </c>
      <c r="E76" s="50" t="s">
        <v>1785</v>
      </c>
      <c r="F76" s="51" t="str">
        <f t="shared" si="5"/>
        <v>insert into ins_premium_det (premium_rcv_code,assorted_code, rec_amount,premium_rcv_detail_code,remaining_amt, payrec, mode_code,coinsurance_code,class_cd,it_remarks) values</v>
      </c>
      <c r="G76" s="52" t="str">
        <f t="shared" si="6"/>
        <v>('22Aug240008','070000162496','52530',(select max(to_number(i.premium_rcv_detail_code))+1
from ins_premium_det i),'52530','52530','02', '11000003','00','Request by Mr. Reheel Malik 22-Aug-2024 Renewal');</v>
      </c>
      <c r="H76" s="53" t="str">
        <f t="shared" si="7"/>
        <v>insert into ins_premium_det (premium_rcv_code,assorted_code, rec_amount,premium_rcv_detail_code,remaining_amt, payrec, mode_code,coinsurance_code,class_cd,it_remarks) values('22Aug240008','070000162496','52530',(select max(to_number(i.premium_rcv_detail_code))+1
from ins_premium_det i),'52530','52530','02', '11000003','00','Request by Mr. Reheel Malik 22-Aug-2024 Renewal');</v>
      </c>
    </row>
    <row r="77" spans="1:8" ht="20.25" customHeight="1" x14ac:dyDescent="0.25">
      <c r="A77" s="29" t="s">
        <v>1054</v>
      </c>
      <c r="B77" s="48" t="str">
        <f>VLOOKUP(A77,[2]Sheet1!$B$2:$C$184,2,0)</f>
        <v>070000162526</v>
      </c>
      <c r="C77" s="25">
        <v>75432</v>
      </c>
      <c r="D77" s="49">
        <f t="shared" si="4"/>
        <v>75432</v>
      </c>
      <c r="E77" s="50" t="s">
        <v>1785</v>
      </c>
      <c r="F77" s="51" t="str">
        <f t="shared" si="5"/>
        <v>insert into ins_premium_det (premium_rcv_code,assorted_code, rec_amount,premium_rcv_detail_code,remaining_amt, payrec, mode_code,coinsurance_code,class_cd,it_remarks) values</v>
      </c>
      <c r="G77" s="52" t="str">
        <f t="shared" si="6"/>
        <v>('22Aug240008','070000162526','75432',(select max(to_number(i.premium_rcv_detail_code))+1
from ins_premium_det i),'75432','75432','02', '11000003','00','Request by Mr. Reheel Malik 22-Aug-2024 Renewal');</v>
      </c>
      <c r="H77" s="53" t="str">
        <f t="shared" si="7"/>
        <v>insert into ins_premium_det (premium_rcv_code,assorted_code, rec_amount,premium_rcv_detail_code,remaining_amt, payrec, mode_code,coinsurance_code,class_cd,it_remarks) values('22Aug240008','070000162526','75432',(select max(to_number(i.premium_rcv_detail_code))+1
from ins_premium_det i),'75432','75432','02', '11000003','00','Request by Mr. Reheel Malik 22-Aug-2024 Renewal');</v>
      </c>
    </row>
    <row r="78" spans="1:8" ht="20.25" customHeight="1" x14ac:dyDescent="0.25">
      <c r="A78" s="29" t="s">
        <v>1062</v>
      </c>
      <c r="B78" s="48" t="str">
        <f>VLOOKUP(A78,[2]Sheet1!$B$2:$C$184,2,0)</f>
        <v>070000162451</v>
      </c>
      <c r="C78" s="25">
        <v>32852.5</v>
      </c>
      <c r="D78" s="49">
        <f t="shared" si="4"/>
        <v>32853</v>
      </c>
      <c r="E78" s="50" t="s">
        <v>1785</v>
      </c>
      <c r="F78" s="51" t="str">
        <f t="shared" si="5"/>
        <v>insert into ins_premium_det (premium_rcv_code,assorted_code, rec_amount,premium_rcv_detail_code,remaining_amt, payrec, mode_code,coinsurance_code,class_cd,it_remarks) values</v>
      </c>
      <c r="G78" s="52" t="str">
        <f t="shared" si="6"/>
        <v>('22Aug240008','070000162451','32853',(select max(to_number(i.premium_rcv_detail_code))+1
from ins_premium_det i),'32853','32853','02', '11000003','00','Request by Mr. Reheel Malik 22-Aug-2024 Renewal');</v>
      </c>
      <c r="H78" s="53" t="str">
        <f t="shared" si="7"/>
        <v>insert into ins_premium_det (premium_rcv_code,assorted_code, rec_amount,premium_rcv_detail_code,remaining_amt, payrec, mode_code,coinsurance_code,class_cd,it_remarks) values('22Aug240008','070000162451','32853',(select max(to_number(i.premium_rcv_detail_code))+1
from ins_premium_det i),'32853','32853','02', '11000003','00','Request by Mr. Reheel Malik 22-Aug-2024 Renewal');</v>
      </c>
    </row>
    <row r="79" spans="1:8" ht="20.25" customHeight="1" x14ac:dyDescent="0.25">
      <c r="A79" s="29" t="s">
        <v>1068</v>
      </c>
      <c r="B79" s="48" t="str">
        <f>VLOOKUP(A79,[2]Sheet1!$B$2:$C$184,2,0)</f>
        <v>070000162472</v>
      </c>
      <c r="C79" s="25">
        <v>32852.5</v>
      </c>
      <c r="D79" s="49">
        <f t="shared" si="4"/>
        <v>32853</v>
      </c>
      <c r="E79" s="50" t="s">
        <v>1785</v>
      </c>
      <c r="F79" s="51" t="str">
        <f t="shared" si="5"/>
        <v>insert into ins_premium_det (premium_rcv_code,assorted_code, rec_amount,premium_rcv_detail_code,remaining_amt, payrec, mode_code,coinsurance_code,class_cd,it_remarks) values</v>
      </c>
      <c r="G79" s="52" t="str">
        <f t="shared" si="6"/>
        <v>('22Aug240008','070000162472','32853',(select max(to_number(i.premium_rcv_detail_code))+1
from ins_premium_det i),'32853','32853','02', '11000003','00','Request by Mr. Reheel Malik 22-Aug-2024 Renewal');</v>
      </c>
      <c r="H79" s="53" t="str">
        <f t="shared" si="7"/>
        <v>insert into ins_premium_det (premium_rcv_code,assorted_code, rec_amount,premium_rcv_detail_code,remaining_amt, payrec, mode_code,coinsurance_code,class_cd,it_remarks) values('22Aug240008','070000162472','32853',(select max(to_number(i.premium_rcv_detail_code))+1
from ins_premium_det i),'32853','32853','02', '11000003','00','Request by Mr. Reheel Malik 22-Aug-2024 Renewal');</v>
      </c>
    </row>
    <row r="80" spans="1:8" ht="20.25" customHeight="1" x14ac:dyDescent="0.25">
      <c r="A80" s="29" t="s">
        <v>1074</v>
      </c>
      <c r="B80" s="48" t="str">
        <f>VLOOKUP(A80,[2]Sheet1!$B$2:$C$184,2,0)</f>
        <v>070000162481</v>
      </c>
      <c r="C80" s="25">
        <v>19426.750000000004</v>
      </c>
      <c r="D80" s="49">
        <f t="shared" si="4"/>
        <v>19427</v>
      </c>
      <c r="E80" s="50" t="s">
        <v>1785</v>
      </c>
      <c r="F80" s="51" t="str">
        <f t="shared" si="5"/>
        <v>insert into ins_premium_det (premium_rcv_code,assorted_code, rec_amount,premium_rcv_detail_code,remaining_amt, payrec, mode_code,coinsurance_code,class_cd,it_remarks) values</v>
      </c>
      <c r="G80" s="52" t="str">
        <f t="shared" si="6"/>
        <v>('22Aug240008','070000162481','19427',(select max(to_number(i.premium_rcv_detail_code))+1
from ins_premium_det i),'19427','19427','02', '11000003','00','Request by Mr. Reheel Malik 22-Aug-2024 Renewal');</v>
      </c>
      <c r="H80" s="53" t="str">
        <f t="shared" si="7"/>
        <v>insert into ins_premium_det (premium_rcv_code,assorted_code, rec_amount,premium_rcv_detail_code,remaining_amt, payrec, mode_code,coinsurance_code,class_cd,it_remarks) values('22Aug240008','070000162481','19427',(select max(to_number(i.premium_rcv_detail_code))+1
from ins_premium_det i),'19427','19427','02', '11000003','00','Request by Mr. Reheel Malik 22-Aug-2024 Renewal');</v>
      </c>
    </row>
    <row r="81" spans="1:8" ht="20.25" customHeight="1" x14ac:dyDescent="0.25">
      <c r="A81" s="29" t="s">
        <v>1081</v>
      </c>
      <c r="B81" s="48" t="str">
        <f>VLOOKUP(A81,[2]Sheet1!$B$2:$C$184,2,0)</f>
        <v>070000162483</v>
      </c>
      <c r="C81" s="25">
        <v>37123.75</v>
      </c>
      <c r="D81" s="49">
        <f t="shared" si="4"/>
        <v>37124</v>
      </c>
      <c r="E81" s="50" t="s">
        <v>1785</v>
      </c>
      <c r="F81" s="51" t="str">
        <f t="shared" si="5"/>
        <v>insert into ins_premium_det (premium_rcv_code,assorted_code, rec_amount,premium_rcv_detail_code,remaining_amt, payrec, mode_code,coinsurance_code,class_cd,it_remarks) values</v>
      </c>
      <c r="G81" s="52" t="str">
        <f t="shared" si="6"/>
        <v>('22Aug240008','070000162483','37124',(select max(to_number(i.premium_rcv_detail_code))+1
from ins_premium_det i),'37124','37124','02', '11000003','00','Request by Mr. Reheel Malik 22-Aug-2024 Renewal');</v>
      </c>
      <c r="H81" s="53" t="str">
        <f t="shared" si="7"/>
        <v>insert into ins_premium_det (premium_rcv_code,assorted_code, rec_amount,premium_rcv_detail_code,remaining_amt, payrec, mode_code,coinsurance_code,class_cd,it_remarks) values('22Aug240008','070000162483','37124',(select max(to_number(i.premium_rcv_detail_code))+1
from ins_premium_det i),'37124','37124','02', '11000003','00','Request by Mr. Reheel Malik 22-Aug-2024 Renewal');</v>
      </c>
    </row>
    <row r="82" spans="1:8" ht="20.25" customHeight="1" x14ac:dyDescent="0.25">
      <c r="A82" s="29" t="s">
        <v>1087</v>
      </c>
      <c r="B82" s="48" t="str">
        <f>VLOOKUP(A82,[2]Sheet1!$B$2:$C$184,2,0)</f>
        <v>070000162570</v>
      </c>
      <c r="C82" s="25">
        <v>43312.5</v>
      </c>
      <c r="D82" s="49">
        <f t="shared" si="4"/>
        <v>43313</v>
      </c>
      <c r="E82" s="50" t="s">
        <v>1785</v>
      </c>
      <c r="F82" s="51" t="str">
        <f t="shared" si="5"/>
        <v>insert into ins_premium_det (premium_rcv_code,assorted_code, rec_amount,premium_rcv_detail_code,remaining_amt, payrec, mode_code,coinsurance_code,class_cd,it_remarks) values</v>
      </c>
      <c r="G82" s="52" t="str">
        <f t="shared" si="6"/>
        <v>('22Aug240008','070000162570','43313',(select max(to_number(i.premium_rcv_detail_code))+1
from ins_premium_det i),'43313','43313','02', '11000003','00','Request by Mr. Reheel Malik 22-Aug-2024 Renewal');</v>
      </c>
      <c r="H82" s="53" t="str">
        <f t="shared" si="7"/>
        <v>insert into ins_premium_det (premium_rcv_code,assorted_code, rec_amount,premium_rcv_detail_code,remaining_amt, payrec, mode_code,coinsurance_code,class_cd,it_remarks) values('22Aug240008','070000162570','43313',(select max(to_number(i.premium_rcv_detail_code))+1
from ins_premium_det i),'43313','43313','02', '11000003','00','Request by Mr. Reheel Malik 22-Aug-2024 Renewal');</v>
      </c>
    </row>
    <row r="83" spans="1:8" ht="20.25" customHeight="1" x14ac:dyDescent="0.25">
      <c r="A83" s="29" t="s">
        <v>1094</v>
      </c>
      <c r="B83" s="48" t="str">
        <f>VLOOKUP(A83,[2]Sheet1!$B$2:$C$184,2,0)</f>
        <v>070000162502</v>
      </c>
      <c r="C83" s="25">
        <v>38250</v>
      </c>
      <c r="D83" s="49">
        <f t="shared" si="4"/>
        <v>38250</v>
      </c>
      <c r="E83" s="50" t="s">
        <v>1785</v>
      </c>
      <c r="F83" s="51" t="str">
        <f t="shared" si="5"/>
        <v>insert into ins_premium_det (premium_rcv_code,assorted_code, rec_amount,premium_rcv_detail_code,remaining_amt, payrec, mode_code,coinsurance_code,class_cd,it_remarks) values</v>
      </c>
      <c r="G83" s="52" t="str">
        <f t="shared" si="6"/>
        <v>('22Aug240008','070000162502','38250',(select max(to_number(i.premium_rcv_detail_code))+1
from ins_premium_det i),'38250','38250','02', '11000003','00','Request by Mr. Reheel Malik 22-Aug-2024 Renewal');</v>
      </c>
      <c r="H83" s="53" t="str">
        <f t="shared" si="7"/>
        <v>insert into ins_premium_det (premium_rcv_code,assorted_code, rec_amount,premium_rcv_detail_code,remaining_amt, payrec, mode_code,coinsurance_code,class_cd,it_remarks) values('22Aug240008','070000162502','38250',(select max(to_number(i.premium_rcv_detail_code))+1
from ins_premium_det i),'38250','38250','02', '11000003','00','Request by Mr. Reheel Malik 22-Aug-2024 Renewal');</v>
      </c>
    </row>
    <row r="84" spans="1:8" ht="20.25" customHeight="1" x14ac:dyDescent="0.25">
      <c r="A84" s="29" t="s">
        <v>1101</v>
      </c>
      <c r="B84" s="48" t="str">
        <f>VLOOKUP(A84,[2]Sheet1!$B$2:$C$184,2,0)</f>
        <v>070000162622</v>
      </c>
      <c r="C84" s="25">
        <v>54000</v>
      </c>
      <c r="D84" s="49">
        <f t="shared" si="4"/>
        <v>54000</v>
      </c>
      <c r="E84" s="50" t="s">
        <v>1785</v>
      </c>
      <c r="F84" s="51" t="str">
        <f t="shared" si="5"/>
        <v>insert into ins_premium_det (premium_rcv_code,assorted_code, rec_amount,premium_rcv_detail_code,remaining_amt, payrec, mode_code,coinsurance_code,class_cd,it_remarks) values</v>
      </c>
      <c r="G84" s="52" t="str">
        <f t="shared" si="6"/>
        <v>('22Aug240008','070000162622','54000',(select max(to_number(i.premium_rcv_detail_code))+1
from ins_premium_det i),'54000','54000','02', '11000003','00','Request by Mr. Reheel Malik 22-Aug-2024 Renewal');</v>
      </c>
      <c r="H84" s="53" t="str">
        <f t="shared" si="7"/>
        <v>insert into ins_premium_det (premium_rcv_code,assorted_code, rec_amount,premium_rcv_detail_code,remaining_amt, payrec, mode_code,coinsurance_code,class_cd,it_remarks) values('22Aug240008','070000162622','54000',(select max(to_number(i.premium_rcv_detail_code))+1
from ins_premium_det i),'54000','54000','02', '11000003','00','Request by Mr. Reheel Malik 22-Aug-2024 Renewal');</v>
      </c>
    </row>
    <row r="85" spans="1:8" ht="20.25" customHeight="1" x14ac:dyDescent="0.25">
      <c r="A85" s="29" t="s">
        <v>1107</v>
      </c>
      <c r="B85" s="48" t="str">
        <f>VLOOKUP(A85,[2]Sheet1!$B$2:$C$184,2,0)</f>
        <v>070000162619</v>
      </c>
      <c r="C85" s="25">
        <v>26100</v>
      </c>
      <c r="D85" s="49">
        <f t="shared" si="4"/>
        <v>26100</v>
      </c>
      <c r="E85" s="50" t="s">
        <v>1785</v>
      </c>
      <c r="F85" s="51" t="str">
        <f t="shared" si="5"/>
        <v>insert into ins_premium_det (premium_rcv_code,assorted_code, rec_amount,premium_rcv_detail_code,remaining_amt, payrec, mode_code,coinsurance_code,class_cd,it_remarks) values</v>
      </c>
      <c r="G85" s="52" t="str">
        <f t="shared" si="6"/>
        <v>('22Aug240008','070000162619','26100',(select max(to_number(i.premium_rcv_detail_code))+1
from ins_premium_det i),'26100','26100','02', '11000003','00','Request by Mr. Reheel Malik 22-Aug-2024 Renewal');</v>
      </c>
      <c r="H85" s="53" t="str">
        <f t="shared" si="7"/>
        <v>insert into ins_premium_det (premium_rcv_code,assorted_code, rec_amount,premium_rcv_detail_code,remaining_amt, payrec, mode_code,coinsurance_code,class_cd,it_remarks) values('22Aug240008','070000162619','26100',(select max(to_number(i.premium_rcv_detail_code))+1
from ins_premium_det i),'26100','26100','02', '11000003','00','Request by Mr. Reheel Malik 22-Aug-2024 Renewal');</v>
      </c>
    </row>
    <row r="86" spans="1:8" ht="20.25" customHeight="1" x14ac:dyDescent="0.25">
      <c r="A86" s="29" t="s">
        <v>1114</v>
      </c>
      <c r="B86" s="48" t="str">
        <f>VLOOKUP(A86,[2]Sheet1!$B$2:$C$184,2,0)</f>
        <v>070000162511</v>
      </c>
      <c r="C86" s="25">
        <v>25000</v>
      </c>
      <c r="D86" s="49">
        <f t="shared" si="4"/>
        <v>25000</v>
      </c>
      <c r="E86" s="50" t="s">
        <v>1785</v>
      </c>
      <c r="F86" s="51" t="str">
        <f t="shared" si="5"/>
        <v>insert into ins_premium_det (premium_rcv_code,assorted_code, rec_amount,premium_rcv_detail_code,remaining_amt, payrec, mode_code,coinsurance_code,class_cd,it_remarks) values</v>
      </c>
      <c r="G86" s="52" t="str">
        <f t="shared" si="6"/>
        <v>('22Aug240008','070000162511','25000',(select max(to_number(i.premium_rcv_detail_code))+1
from ins_premium_det i),'25000','25000','02', '11000003','00','Request by Mr. Reheel Malik 22-Aug-2024 Renewal');</v>
      </c>
      <c r="H86" s="53" t="str">
        <f t="shared" si="7"/>
        <v>insert into ins_premium_det (premium_rcv_code,assorted_code, rec_amount,premium_rcv_detail_code,remaining_amt, payrec, mode_code,coinsurance_code,class_cd,it_remarks) values('22Aug240008','070000162511','25000',(select max(to_number(i.premium_rcv_detail_code))+1
from ins_premium_det i),'25000','25000','02', '11000003','00','Request by Mr. Reheel Malik 22-Aug-2024 Renewal');</v>
      </c>
    </row>
    <row r="87" spans="1:8" ht="20.25" customHeight="1" x14ac:dyDescent="0.25">
      <c r="A87" s="29" t="s">
        <v>1120</v>
      </c>
      <c r="B87" s="48" t="str">
        <f>VLOOKUP(A87,[2]Sheet1!$B$2:$C$184,2,0)</f>
        <v>070000162588</v>
      </c>
      <c r="C87" s="25">
        <v>56250</v>
      </c>
      <c r="D87" s="49">
        <f t="shared" si="4"/>
        <v>56250</v>
      </c>
      <c r="E87" s="50" t="s">
        <v>1785</v>
      </c>
      <c r="F87" s="51" t="str">
        <f t="shared" si="5"/>
        <v>insert into ins_premium_det (premium_rcv_code,assorted_code, rec_amount,premium_rcv_detail_code,remaining_amt, payrec, mode_code,coinsurance_code,class_cd,it_remarks) values</v>
      </c>
      <c r="G87" s="52" t="str">
        <f t="shared" si="6"/>
        <v>('22Aug240008','070000162588','56250',(select max(to_number(i.premium_rcv_detail_code))+1
from ins_premium_det i),'56250','56250','02', '11000003','00','Request by Mr. Reheel Malik 22-Aug-2024 Renewal');</v>
      </c>
      <c r="H87" s="53" t="str">
        <f t="shared" si="7"/>
        <v>insert into ins_premium_det (premium_rcv_code,assorted_code, rec_amount,premium_rcv_detail_code,remaining_amt, payrec, mode_code,coinsurance_code,class_cd,it_remarks) values('22Aug240008','070000162588','56250',(select max(to_number(i.premium_rcv_detail_code))+1
from ins_premium_det i),'56250','56250','02', '11000003','00','Request by Mr. Reheel Malik 22-Aug-2024 Renewal');</v>
      </c>
    </row>
    <row r="88" spans="1:8" ht="20.25" customHeight="1" x14ac:dyDescent="0.25">
      <c r="A88" s="29" t="s">
        <v>1128</v>
      </c>
      <c r="B88" s="54" t="s">
        <v>1885</v>
      </c>
      <c r="C88" s="25">
        <v>400000</v>
      </c>
      <c r="D88" s="49">
        <f t="shared" si="4"/>
        <v>400000</v>
      </c>
      <c r="E88" s="50" t="s">
        <v>1785</v>
      </c>
      <c r="F88" s="51" t="str">
        <f t="shared" si="5"/>
        <v>insert into ins_premium_det (premium_rcv_code,assorted_code, rec_amount,premium_rcv_detail_code,remaining_amt, payrec, mode_code,coinsurance_code,class_cd,it_remarks) values</v>
      </c>
      <c r="G88" s="52" t="str">
        <f t="shared" si="6"/>
        <v>('22Aug240008','040000179442','400000',(select max(to_number(i.premium_rcv_detail_code))+1
from ins_premium_det i),'400000','400000','02', '11000003','00','Request by Mr. Reheel Malik 22-Aug-2024 Renewal');</v>
      </c>
      <c r="H88" s="53" t="str">
        <f t="shared" si="7"/>
        <v>insert into ins_premium_det (premium_rcv_code,assorted_code, rec_amount,premium_rcv_detail_code,remaining_amt, payrec, mode_code,coinsurance_code,class_cd,it_remarks) values('22Aug240008','040000179442','400000',(select max(to_number(i.premium_rcv_detail_code))+1
from ins_premium_det i),'400000','400000','02', '11000003','00','Request by Mr. Reheel Malik 22-Aug-2024 Renewal');</v>
      </c>
    </row>
    <row r="89" spans="1:8" ht="20.25" customHeight="1" x14ac:dyDescent="0.25">
      <c r="A89" s="29" t="s">
        <v>1138</v>
      </c>
      <c r="B89" s="48" t="str">
        <f>VLOOKUP(A89,[2]Sheet1!$B$2:$C$184,2,0)</f>
        <v>070000162564</v>
      </c>
      <c r="C89" s="25">
        <v>77343.75</v>
      </c>
      <c r="D89" s="49">
        <f t="shared" si="4"/>
        <v>77344</v>
      </c>
      <c r="E89" s="50" t="s">
        <v>1785</v>
      </c>
      <c r="F89" s="51" t="str">
        <f t="shared" si="5"/>
        <v>insert into ins_premium_det (premium_rcv_code,assorted_code, rec_amount,premium_rcv_detail_code,remaining_amt, payrec, mode_code,coinsurance_code,class_cd,it_remarks) values</v>
      </c>
      <c r="G89" s="52" t="str">
        <f t="shared" si="6"/>
        <v>('22Aug240008','070000162564','77344',(select max(to_number(i.premium_rcv_detail_code))+1
from ins_premium_det i),'77344','77344','02', '11000003','00','Request by Mr. Reheel Malik 22-Aug-2024 Renewal');</v>
      </c>
      <c r="H89" s="53" t="str">
        <f t="shared" si="7"/>
        <v>insert into ins_premium_det (premium_rcv_code,assorted_code, rec_amount,premium_rcv_detail_code,remaining_amt, payrec, mode_code,coinsurance_code,class_cd,it_remarks) values('22Aug240008','070000162564','77344',(select max(to_number(i.premium_rcv_detail_code))+1
from ins_premium_det i),'77344','77344','02', '11000003','00','Request by Mr. Reheel Malik 22-Aug-2024 Renewal');</v>
      </c>
    </row>
    <row r="90" spans="1:8" ht="20.25" customHeight="1" x14ac:dyDescent="0.25">
      <c r="A90" s="29" t="s">
        <v>1144</v>
      </c>
      <c r="B90" s="48" t="str">
        <f>VLOOKUP(A90,[2]Sheet1!$B$2:$C$184,2,0)</f>
        <v>070000162491</v>
      </c>
      <c r="C90" s="25">
        <v>33575</v>
      </c>
      <c r="D90" s="49">
        <f t="shared" si="4"/>
        <v>33575</v>
      </c>
      <c r="E90" s="50" t="s">
        <v>1785</v>
      </c>
      <c r="F90" s="51" t="str">
        <f t="shared" si="5"/>
        <v>insert into ins_premium_det (premium_rcv_code,assorted_code, rec_amount,premium_rcv_detail_code,remaining_amt, payrec, mode_code,coinsurance_code,class_cd,it_remarks) values</v>
      </c>
      <c r="G90" s="52" t="str">
        <f t="shared" si="6"/>
        <v>('22Aug240008','070000162491','33575',(select max(to_number(i.premium_rcv_detail_code))+1
from ins_premium_det i),'33575','33575','02', '11000003','00','Request by Mr. Reheel Malik 22-Aug-2024 Renewal');</v>
      </c>
      <c r="H90" s="53" t="str">
        <f t="shared" si="7"/>
        <v>insert into ins_premium_det (premium_rcv_code,assorted_code, rec_amount,premium_rcv_detail_code,remaining_amt, payrec, mode_code,coinsurance_code,class_cd,it_remarks) values('22Aug240008','070000162491','33575',(select max(to_number(i.premium_rcv_detail_code))+1
from ins_premium_det i),'33575','33575','02', '11000003','00','Request by Mr. Reheel Malik 22-Aug-2024 Renewal');</v>
      </c>
    </row>
    <row r="91" spans="1:8" ht="20.25" customHeight="1" x14ac:dyDescent="0.25">
      <c r="A91" s="29" t="s">
        <v>1150</v>
      </c>
      <c r="B91" s="48" t="str">
        <f>VLOOKUP(A91,[2]Sheet1!$B$2:$C$184,2,0)</f>
        <v>070000162470</v>
      </c>
      <c r="C91" s="25">
        <v>33150</v>
      </c>
      <c r="D91" s="49">
        <f t="shared" si="4"/>
        <v>33150</v>
      </c>
      <c r="E91" s="50" t="s">
        <v>1785</v>
      </c>
      <c r="F91" s="51" t="str">
        <f t="shared" si="5"/>
        <v>insert into ins_premium_det (premium_rcv_code,assorted_code, rec_amount,premium_rcv_detail_code,remaining_amt, payrec, mode_code,coinsurance_code,class_cd,it_remarks) values</v>
      </c>
      <c r="G91" s="52" t="str">
        <f t="shared" si="6"/>
        <v>('22Aug240008','070000162470','33150',(select max(to_number(i.premium_rcv_detail_code))+1
from ins_premium_det i),'33150','33150','02', '11000003','00','Request by Mr. Reheel Malik 22-Aug-2024 Renewal');</v>
      </c>
      <c r="H91" s="53" t="str">
        <f t="shared" si="7"/>
        <v>insert into ins_premium_det (premium_rcv_code,assorted_code, rec_amount,premium_rcv_detail_code,remaining_amt, payrec, mode_code,coinsurance_code,class_cd,it_remarks) values('22Aug240008','070000162470','33150',(select max(to_number(i.premium_rcv_detail_code))+1
from ins_premium_det i),'33150','33150','02', '11000003','00','Request by Mr. Reheel Malik 22-Aug-2024 Renewal');</v>
      </c>
    </row>
    <row r="92" spans="1:8" ht="20.25" customHeight="1" x14ac:dyDescent="0.25">
      <c r="A92" s="29" t="s">
        <v>1156</v>
      </c>
      <c r="B92" s="48" t="str">
        <f>VLOOKUP(A92,[2]Sheet1!$B$2:$C$184,2,0)</f>
        <v>070000162582</v>
      </c>
      <c r="C92" s="25">
        <v>42656.250000000007</v>
      </c>
      <c r="D92" s="49">
        <f t="shared" si="4"/>
        <v>42656</v>
      </c>
      <c r="E92" s="50" t="s">
        <v>1785</v>
      </c>
      <c r="F92" s="51" t="str">
        <f t="shared" si="5"/>
        <v>insert into ins_premium_det (premium_rcv_code,assorted_code, rec_amount,premium_rcv_detail_code,remaining_amt, payrec, mode_code,coinsurance_code,class_cd,it_remarks) values</v>
      </c>
      <c r="G92" s="52" t="str">
        <f t="shared" si="6"/>
        <v>('22Aug240008','070000162582','42656',(select max(to_number(i.premium_rcv_detail_code))+1
from ins_premium_det i),'42656','42656','02', '11000003','00','Request by Mr. Reheel Malik 22-Aug-2024 Renewal');</v>
      </c>
      <c r="H92" s="53" t="str">
        <f t="shared" si="7"/>
        <v>insert into ins_premium_det (premium_rcv_code,assorted_code, rec_amount,premium_rcv_detail_code,remaining_amt, payrec, mode_code,coinsurance_code,class_cd,it_remarks) values('22Aug240008','070000162582','42656',(select max(to_number(i.premium_rcv_detail_code))+1
from ins_premium_det i),'42656','42656','02', '11000003','00','Request by Mr. Reheel Malik 22-Aug-2024 Renewal');</v>
      </c>
    </row>
    <row r="93" spans="1:8" ht="20.25" customHeight="1" x14ac:dyDescent="0.25">
      <c r="A93" s="29" t="s">
        <v>1164</v>
      </c>
      <c r="B93" s="48" t="str">
        <f>VLOOKUP(A93,[2]Sheet1!$B$2:$C$184,2,0)</f>
        <v>070000162569</v>
      </c>
      <c r="C93" s="25">
        <v>23409.375</v>
      </c>
      <c r="D93" s="49">
        <f t="shared" si="4"/>
        <v>23409</v>
      </c>
      <c r="E93" s="50" t="s">
        <v>1785</v>
      </c>
      <c r="F93" s="51" t="str">
        <f t="shared" si="5"/>
        <v>insert into ins_premium_det (premium_rcv_code,assorted_code, rec_amount,premium_rcv_detail_code,remaining_amt, payrec, mode_code,coinsurance_code,class_cd,it_remarks) values</v>
      </c>
      <c r="G93" s="52" t="str">
        <f t="shared" si="6"/>
        <v>('22Aug240008','070000162569','23409',(select max(to_number(i.premium_rcv_detail_code))+1
from ins_premium_det i),'23409','23409','02', '11000003','00','Request by Mr. Reheel Malik 22-Aug-2024 Renewal');</v>
      </c>
      <c r="H93" s="53" t="str">
        <f t="shared" si="7"/>
        <v>insert into ins_premium_det (premium_rcv_code,assorted_code, rec_amount,premium_rcv_detail_code,remaining_amt, payrec, mode_code,coinsurance_code,class_cd,it_remarks) values('22Aug240008','070000162569','23409',(select max(to_number(i.premium_rcv_detail_code))+1
from ins_premium_det i),'23409','23409','02', '11000003','00','Request by Mr. Reheel Malik 22-Aug-2024 Renewal');</v>
      </c>
    </row>
    <row r="94" spans="1:8" ht="20.25" customHeight="1" x14ac:dyDescent="0.25">
      <c r="A94" s="29" t="s">
        <v>1171</v>
      </c>
      <c r="B94" s="48" t="str">
        <f>VLOOKUP(A94,[2]Sheet1!$B$2:$C$184,2,0)</f>
        <v>070000162581</v>
      </c>
      <c r="C94" s="25">
        <v>47671.875</v>
      </c>
      <c r="D94" s="49">
        <f t="shared" si="4"/>
        <v>47672</v>
      </c>
      <c r="E94" s="50" t="s">
        <v>1785</v>
      </c>
      <c r="F94" s="51" t="str">
        <f t="shared" si="5"/>
        <v>insert into ins_premium_det (premium_rcv_code,assorted_code, rec_amount,premium_rcv_detail_code,remaining_amt, payrec, mode_code,coinsurance_code,class_cd,it_remarks) values</v>
      </c>
      <c r="G94" s="52" t="str">
        <f t="shared" si="6"/>
        <v>('22Aug240008','070000162581','47672',(select max(to_number(i.premium_rcv_detail_code))+1
from ins_premium_det i),'47672','47672','02', '11000003','00','Request by Mr. Reheel Malik 22-Aug-2024 Renewal');</v>
      </c>
      <c r="H94" s="53" t="str">
        <f t="shared" si="7"/>
        <v>insert into ins_premium_det (premium_rcv_code,assorted_code, rec_amount,premium_rcv_detail_code,remaining_amt, payrec, mode_code,coinsurance_code,class_cd,it_remarks) values('22Aug240008','070000162581','47672',(select max(to_number(i.premium_rcv_detail_code))+1
from ins_premium_det i),'47672','47672','02', '11000003','00','Request by Mr. Reheel Malik 22-Aug-2024 Renewal');</v>
      </c>
    </row>
    <row r="95" spans="1:8" ht="20.25" customHeight="1" x14ac:dyDescent="0.25">
      <c r="A95" s="29" t="s">
        <v>1178</v>
      </c>
      <c r="B95" s="48" t="str">
        <f>VLOOKUP(A95,[2]Sheet1!$B$2:$C$184,2,0)</f>
        <v>070000162590</v>
      </c>
      <c r="C95" s="25">
        <v>44943.75</v>
      </c>
      <c r="D95" s="49">
        <f t="shared" si="4"/>
        <v>44944</v>
      </c>
      <c r="E95" s="50" t="s">
        <v>1785</v>
      </c>
      <c r="F95" s="51" t="str">
        <f t="shared" si="5"/>
        <v>insert into ins_premium_det (premium_rcv_code,assorted_code, rec_amount,premium_rcv_detail_code,remaining_amt, payrec, mode_code,coinsurance_code,class_cd,it_remarks) values</v>
      </c>
      <c r="G95" s="52" t="str">
        <f t="shared" si="6"/>
        <v>('22Aug240008','070000162590','44944',(select max(to_number(i.premium_rcv_detail_code))+1
from ins_premium_det i),'44944','44944','02', '11000003','00','Request by Mr. Reheel Malik 22-Aug-2024 Renewal');</v>
      </c>
      <c r="H95" s="53" t="str">
        <f t="shared" si="7"/>
        <v>insert into ins_premium_det (premium_rcv_code,assorted_code, rec_amount,premium_rcv_detail_code,remaining_amt, payrec, mode_code,coinsurance_code,class_cd,it_remarks) values('22Aug240008','070000162590','44944',(select max(to_number(i.premium_rcv_detail_code))+1
from ins_premium_det i),'44944','44944','02', '11000003','00','Request by Mr. Reheel Malik 22-Aug-2024 Renewal');</v>
      </c>
    </row>
    <row r="96" spans="1:8" ht="20.25" customHeight="1" x14ac:dyDescent="0.25">
      <c r="A96" s="29" t="s">
        <v>1184</v>
      </c>
      <c r="B96" s="48" t="str">
        <f>VLOOKUP(A96,[2]Sheet1!$B$2:$C$184,2,0)</f>
        <v>070000162580</v>
      </c>
      <c r="C96" s="25">
        <v>39318.75</v>
      </c>
      <c r="D96" s="49">
        <f t="shared" si="4"/>
        <v>39319</v>
      </c>
      <c r="E96" s="50" t="s">
        <v>1785</v>
      </c>
      <c r="F96" s="51" t="str">
        <f t="shared" si="5"/>
        <v>insert into ins_premium_det (premium_rcv_code,assorted_code, rec_amount,premium_rcv_detail_code,remaining_amt, payrec, mode_code,coinsurance_code,class_cd,it_remarks) values</v>
      </c>
      <c r="G96" s="52" t="str">
        <f t="shared" si="6"/>
        <v>('22Aug240008','070000162580','39319',(select max(to_number(i.premium_rcv_detail_code))+1
from ins_premium_det i),'39319','39319','02', '11000003','00','Request by Mr. Reheel Malik 22-Aug-2024 Renewal');</v>
      </c>
      <c r="H96" s="53" t="str">
        <f t="shared" si="7"/>
        <v>insert into ins_premium_det (premium_rcv_code,assorted_code, rec_amount,premium_rcv_detail_code,remaining_amt, payrec, mode_code,coinsurance_code,class_cd,it_remarks) values('22Aug240008','070000162580','39319',(select max(to_number(i.premium_rcv_detail_code))+1
from ins_premium_det i),'39319','39319','02', '11000003','00','Request by Mr. Reheel Malik 22-Aug-2024 Renewal');</v>
      </c>
    </row>
    <row r="97" spans="1:8" ht="20.25" customHeight="1" x14ac:dyDescent="0.25">
      <c r="A97" s="29" t="s">
        <v>1191</v>
      </c>
      <c r="B97" s="48" t="str">
        <f>VLOOKUP(A97,[2]Sheet1!$B$2:$C$184,2,0)</f>
        <v>070000162460</v>
      </c>
      <c r="C97" s="25">
        <v>68403.75</v>
      </c>
      <c r="D97" s="49">
        <f t="shared" si="4"/>
        <v>68404</v>
      </c>
      <c r="E97" s="50" t="s">
        <v>1785</v>
      </c>
      <c r="F97" s="51" t="str">
        <f t="shared" si="5"/>
        <v>insert into ins_premium_det (premium_rcv_code,assorted_code, rec_amount,premium_rcv_detail_code,remaining_amt, payrec, mode_code,coinsurance_code,class_cd,it_remarks) values</v>
      </c>
      <c r="G97" s="52" t="str">
        <f t="shared" si="6"/>
        <v>('22Aug240008','070000162460','68404',(select max(to_number(i.premium_rcv_detail_code))+1
from ins_premium_det i),'68404','68404','02', '11000003','00','Request by Mr. Reheel Malik 22-Aug-2024 Renewal');</v>
      </c>
      <c r="H97" s="53" t="str">
        <f t="shared" si="7"/>
        <v>insert into ins_premium_det (premium_rcv_code,assorted_code, rec_amount,premium_rcv_detail_code,remaining_amt, payrec, mode_code,coinsurance_code,class_cd,it_remarks) values('22Aug240008','070000162460','68404',(select max(to_number(i.premium_rcv_detail_code))+1
from ins_premium_det i),'68404','68404','02', '11000003','00','Request by Mr. Reheel Malik 22-Aug-2024 Renewal');</v>
      </c>
    </row>
    <row r="98" spans="1:8" ht="20.25" customHeight="1" x14ac:dyDescent="0.25">
      <c r="A98" s="29" t="s">
        <v>1199</v>
      </c>
      <c r="B98" s="48" t="str">
        <f>VLOOKUP(A98,[2]Sheet1!$B$2:$C$184,2,0)</f>
        <v>070000162506</v>
      </c>
      <c r="C98" s="25">
        <v>67500</v>
      </c>
      <c r="D98" s="49">
        <f t="shared" si="4"/>
        <v>67500</v>
      </c>
      <c r="E98" s="50" t="s">
        <v>1785</v>
      </c>
      <c r="F98" s="51" t="str">
        <f t="shared" si="5"/>
        <v>insert into ins_premium_det (premium_rcv_code,assorted_code, rec_amount,premium_rcv_detail_code,remaining_amt, payrec, mode_code,coinsurance_code,class_cd,it_remarks) values</v>
      </c>
      <c r="G98" s="52" t="str">
        <f t="shared" si="6"/>
        <v>('22Aug240008','070000162506','67500',(select max(to_number(i.premium_rcv_detail_code))+1
from ins_premium_det i),'67500','67500','02', '11000003','00','Request by Mr. Reheel Malik 22-Aug-2024 Renewal');</v>
      </c>
      <c r="H98" s="53" t="str">
        <f t="shared" si="7"/>
        <v>insert into ins_premium_det (premium_rcv_code,assorted_code, rec_amount,premium_rcv_detail_code,remaining_amt, payrec, mode_code,coinsurance_code,class_cd,it_remarks) values('22Aug240008','070000162506','67500',(select max(to_number(i.premium_rcv_detail_code))+1
from ins_premium_det i),'67500','67500','02', '11000003','00','Request by Mr. Reheel Malik 22-Aug-2024 Renewal');</v>
      </c>
    </row>
    <row r="99" spans="1:8" ht="20.25" customHeight="1" x14ac:dyDescent="0.25">
      <c r="A99" s="29" t="s">
        <v>1206</v>
      </c>
      <c r="B99" s="48" t="str">
        <f>VLOOKUP(A99,[2]Sheet1!$B$2:$C$184,2,0)</f>
        <v>070000162515</v>
      </c>
      <c r="C99" s="25">
        <v>32864</v>
      </c>
      <c r="D99" s="49">
        <f t="shared" si="4"/>
        <v>32864</v>
      </c>
      <c r="E99" s="50" t="s">
        <v>1785</v>
      </c>
      <c r="F99" s="51" t="str">
        <f t="shared" si="5"/>
        <v>insert into ins_premium_det (premium_rcv_code,assorted_code, rec_amount,premium_rcv_detail_code,remaining_amt, payrec, mode_code,coinsurance_code,class_cd,it_remarks) values</v>
      </c>
      <c r="G99" s="52" t="str">
        <f t="shared" si="6"/>
        <v>('22Aug240008','070000162515','32864',(select max(to_number(i.premium_rcv_detail_code))+1
from ins_premium_det i),'32864','32864','02', '11000003','00','Request by Mr. Reheel Malik 22-Aug-2024 Renewal');</v>
      </c>
      <c r="H99" s="53" t="str">
        <f t="shared" si="7"/>
        <v>insert into ins_premium_det (premium_rcv_code,assorted_code, rec_amount,premium_rcv_detail_code,remaining_amt, payrec, mode_code,coinsurance_code,class_cd,it_remarks) values('22Aug240008','070000162515','32864',(select max(to_number(i.premium_rcv_detail_code))+1
from ins_premium_det i),'32864','32864','02', '11000003','00','Request by Mr. Reheel Malik 22-Aug-2024 Renewal');</v>
      </c>
    </row>
    <row r="100" spans="1:8" ht="20.25" customHeight="1" x14ac:dyDescent="0.25">
      <c r="A100" s="29" t="s">
        <v>1213</v>
      </c>
      <c r="B100" s="48" t="str">
        <f>VLOOKUP(A100,[2]Sheet1!$B$2:$C$184,2,0)</f>
        <v>070000162618</v>
      </c>
      <c r="C100" s="25">
        <v>54000</v>
      </c>
      <c r="D100" s="49">
        <f t="shared" si="4"/>
        <v>54000</v>
      </c>
      <c r="E100" s="50" t="s">
        <v>1785</v>
      </c>
      <c r="F100" s="51" t="str">
        <f t="shared" si="5"/>
        <v>insert into ins_premium_det (premium_rcv_code,assorted_code, rec_amount,premium_rcv_detail_code,remaining_amt, payrec, mode_code,coinsurance_code,class_cd,it_remarks) values</v>
      </c>
      <c r="G100" s="52" t="str">
        <f t="shared" si="6"/>
        <v>('22Aug240008','070000162618','54000',(select max(to_number(i.premium_rcv_detail_code))+1
from ins_premium_det i),'54000','54000','02', '11000003','00','Request by Mr. Reheel Malik 22-Aug-2024 Renewal');</v>
      </c>
      <c r="H100" s="53" t="str">
        <f t="shared" si="7"/>
        <v>insert into ins_premium_det (premium_rcv_code,assorted_code, rec_amount,premium_rcv_detail_code,remaining_amt, payrec, mode_code,coinsurance_code,class_cd,it_remarks) values('22Aug240008','070000162618','54000',(select max(to_number(i.premium_rcv_detail_code))+1
from ins_premium_det i),'54000','54000','02', '11000003','00','Request by Mr. Reheel Malik 22-Aug-2024 Renewal');</v>
      </c>
    </row>
    <row r="101" spans="1:8" ht="20.25" customHeight="1" x14ac:dyDescent="0.25">
      <c r="A101" s="29" t="s">
        <v>1220</v>
      </c>
      <c r="B101" s="48" t="str">
        <f>VLOOKUP(A101,[2]Sheet1!$B$2:$C$184,2,0)</f>
        <v>070000162452</v>
      </c>
      <c r="C101" s="25">
        <v>46934.875</v>
      </c>
      <c r="D101" s="49">
        <f t="shared" si="4"/>
        <v>46935</v>
      </c>
      <c r="E101" s="50" t="s">
        <v>1785</v>
      </c>
      <c r="F101" s="51" t="str">
        <f t="shared" si="5"/>
        <v>insert into ins_premium_det (premium_rcv_code,assorted_code, rec_amount,premium_rcv_detail_code,remaining_amt, payrec, mode_code,coinsurance_code,class_cd,it_remarks) values</v>
      </c>
      <c r="G101" s="52" t="str">
        <f t="shared" si="6"/>
        <v>('22Aug240008','070000162452','46935',(select max(to_number(i.premium_rcv_detail_code))+1
from ins_premium_det i),'46935','46935','02', '11000003','00','Request by Mr. Reheel Malik 22-Aug-2024 Renewal');</v>
      </c>
      <c r="H101" s="53" t="str">
        <f t="shared" si="7"/>
        <v>insert into ins_premium_det (premium_rcv_code,assorted_code, rec_amount,premium_rcv_detail_code,remaining_amt, payrec, mode_code,coinsurance_code,class_cd,it_remarks) values('22Aug240008','070000162452','46935',(select max(to_number(i.premium_rcv_detail_code))+1
from ins_premium_det i),'46935','46935','02', '11000003','00','Request by Mr. Reheel Malik 22-Aug-2024 Renewal');</v>
      </c>
    </row>
    <row r="102" spans="1:8" ht="20.25" customHeight="1" x14ac:dyDescent="0.25">
      <c r="A102" s="29" t="s">
        <v>1227</v>
      </c>
      <c r="B102" s="48" t="str">
        <f>VLOOKUP(A102,[2]Sheet1!$B$2:$C$184,2,0)</f>
        <v>070000162480</v>
      </c>
      <c r="C102" s="25">
        <v>50265.854999999996</v>
      </c>
      <c r="D102" s="49">
        <f t="shared" si="4"/>
        <v>50266</v>
      </c>
      <c r="E102" s="50" t="s">
        <v>1785</v>
      </c>
      <c r="F102" s="51" t="str">
        <f t="shared" si="5"/>
        <v>insert into ins_premium_det (premium_rcv_code,assorted_code, rec_amount,premium_rcv_detail_code,remaining_amt, payrec, mode_code,coinsurance_code,class_cd,it_remarks) values</v>
      </c>
      <c r="G102" s="52" t="str">
        <f t="shared" si="6"/>
        <v>('22Aug240008','070000162480','50266',(select max(to_number(i.premium_rcv_detail_code))+1
from ins_premium_det i),'50266','50266','02', '11000003','00','Request by Mr. Reheel Malik 22-Aug-2024 Renewal');</v>
      </c>
      <c r="H102" s="53" t="str">
        <f t="shared" si="7"/>
        <v>insert into ins_premium_det (premium_rcv_code,assorted_code, rec_amount,premium_rcv_detail_code,remaining_amt, payrec, mode_code,coinsurance_code,class_cd,it_remarks) values('22Aug240008','070000162480','50266',(select max(to_number(i.premium_rcv_detail_code))+1
from ins_premium_det i),'50266','50266','02', '11000003','00','Request by Mr. Reheel Malik 22-Aug-2024 Renewal');</v>
      </c>
    </row>
    <row r="103" spans="1:8" ht="20.25" customHeight="1" x14ac:dyDescent="0.25">
      <c r="A103" s="29" t="s">
        <v>1234</v>
      </c>
      <c r="B103" s="48" t="str">
        <f>VLOOKUP(A103,[2]Sheet1!$B$2:$C$184,2,0)</f>
        <v>070000162612</v>
      </c>
      <c r="C103" s="25">
        <v>59400</v>
      </c>
      <c r="D103" s="49">
        <f t="shared" si="4"/>
        <v>59400</v>
      </c>
      <c r="E103" s="50" t="s">
        <v>1785</v>
      </c>
      <c r="F103" s="51" t="str">
        <f t="shared" si="5"/>
        <v>insert into ins_premium_det (premium_rcv_code,assorted_code, rec_amount,premium_rcv_detail_code,remaining_amt, payrec, mode_code,coinsurance_code,class_cd,it_remarks) values</v>
      </c>
      <c r="G103" s="52" t="str">
        <f t="shared" si="6"/>
        <v>('22Aug240008','070000162612','59400',(select max(to_number(i.premium_rcv_detail_code))+1
from ins_premium_det i),'59400','59400','02', '11000003','00','Request by Mr. Reheel Malik 22-Aug-2024 Renewal');</v>
      </c>
      <c r="H103" s="53" t="str">
        <f t="shared" si="7"/>
        <v>insert into ins_premium_det (premium_rcv_code,assorted_code, rec_amount,premium_rcv_detail_code,remaining_amt, payrec, mode_code,coinsurance_code,class_cd,it_remarks) values('22Aug240008','070000162612','59400',(select max(to_number(i.premium_rcv_detail_code))+1
from ins_premium_det i),'59400','59400','02', '11000003','00','Request by Mr. Reheel Malik 22-Aug-2024 Renewal');</v>
      </c>
    </row>
    <row r="104" spans="1:8" ht="20.25" customHeight="1" x14ac:dyDescent="0.25">
      <c r="A104" s="29" t="s">
        <v>1242</v>
      </c>
      <c r="B104" s="48" t="str">
        <f>VLOOKUP(A104,[2]Sheet1!$B$2:$C$184,2,0)</f>
        <v>070000162438</v>
      </c>
      <c r="C104" s="25">
        <v>20680</v>
      </c>
      <c r="D104" s="49">
        <f t="shared" si="4"/>
        <v>20680</v>
      </c>
      <c r="E104" s="50" t="s">
        <v>1785</v>
      </c>
      <c r="F104" s="51" t="str">
        <f t="shared" si="5"/>
        <v>insert into ins_premium_det (premium_rcv_code,assorted_code, rec_amount,premium_rcv_detail_code,remaining_amt, payrec, mode_code,coinsurance_code,class_cd,it_remarks) values</v>
      </c>
      <c r="G104" s="52" t="str">
        <f t="shared" si="6"/>
        <v>('22Aug240008','070000162438','20680',(select max(to_number(i.premium_rcv_detail_code))+1
from ins_premium_det i),'20680','20680','02', '11000003','00','Request by Mr. Reheel Malik 22-Aug-2024 Renewal');</v>
      </c>
      <c r="H104" s="53" t="str">
        <f t="shared" si="7"/>
        <v>insert into ins_premium_det (premium_rcv_code,assorted_code, rec_amount,premium_rcv_detail_code,remaining_amt, payrec, mode_code,coinsurance_code,class_cd,it_remarks) values('22Aug240008','070000162438','20680',(select max(to_number(i.premium_rcv_detail_code))+1
from ins_premium_det i),'20680','20680','02', '11000003','00','Request by Mr. Reheel Malik 22-Aug-2024 Renewal');</v>
      </c>
    </row>
    <row r="105" spans="1:8" ht="20.25" customHeight="1" x14ac:dyDescent="0.25">
      <c r="A105" s="29" t="s">
        <v>1250</v>
      </c>
      <c r="B105" s="48" t="str">
        <f>VLOOKUP(A105,[2]Sheet1!$B$2:$C$184,2,0)</f>
        <v>070000162498</v>
      </c>
      <c r="C105" s="25">
        <v>14450</v>
      </c>
      <c r="D105" s="49">
        <f t="shared" si="4"/>
        <v>14450</v>
      </c>
      <c r="E105" s="50" t="s">
        <v>1785</v>
      </c>
      <c r="F105" s="51" t="str">
        <f t="shared" si="5"/>
        <v>insert into ins_premium_det (premium_rcv_code,assorted_code, rec_amount,premium_rcv_detail_code,remaining_amt, payrec, mode_code,coinsurance_code,class_cd,it_remarks) values</v>
      </c>
      <c r="G105" s="52" t="str">
        <f t="shared" si="6"/>
        <v>('22Aug240008','070000162498','14450',(select max(to_number(i.premium_rcv_detail_code))+1
from ins_premium_det i),'14450','14450','02', '11000003','00','Request by Mr. Reheel Malik 22-Aug-2024 Renewal');</v>
      </c>
      <c r="H105" s="53" t="str">
        <f t="shared" si="7"/>
        <v>insert into ins_premium_det (premium_rcv_code,assorted_code, rec_amount,premium_rcv_detail_code,remaining_amt, payrec, mode_code,coinsurance_code,class_cd,it_remarks) values('22Aug240008','070000162498','14450',(select max(to_number(i.premium_rcv_detail_code))+1
from ins_premium_det i),'14450','14450','02', '11000003','00','Request by Mr. Reheel Malik 22-Aug-2024 Renewal');</v>
      </c>
    </row>
    <row r="106" spans="1:8" ht="20.25" customHeight="1" x14ac:dyDescent="0.25">
      <c r="A106" s="29" t="s">
        <v>1257</v>
      </c>
      <c r="B106" s="48" t="str">
        <f>VLOOKUP(A106,[2]Sheet1!$B$2:$C$184,2,0)</f>
        <v>070000162546</v>
      </c>
      <c r="C106" s="25">
        <v>78000</v>
      </c>
      <c r="D106" s="49">
        <f t="shared" si="4"/>
        <v>78000</v>
      </c>
      <c r="E106" s="50" t="s">
        <v>1785</v>
      </c>
      <c r="F106" s="51" t="str">
        <f t="shared" si="5"/>
        <v>insert into ins_premium_det (premium_rcv_code,assorted_code, rec_amount,premium_rcv_detail_code,remaining_amt, payrec, mode_code,coinsurance_code,class_cd,it_remarks) values</v>
      </c>
      <c r="G106" s="52" t="str">
        <f t="shared" si="6"/>
        <v>('22Aug240008','070000162546','78000',(select max(to_number(i.premium_rcv_detail_code))+1
from ins_premium_det i),'78000','78000','02', '11000003','00','Request by Mr. Reheel Malik 22-Aug-2024 Renewal');</v>
      </c>
      <c r="H106" s="53" t="str">
        <f t="shared" si="7"/>
        <v>insert into ins_premium_det (premium_rcv_code,assorted_code, rec_amount,premium_rcv_detail_code,remaining_amt, payrec, mode_code,coinsurance_code,class_cd,it_remarks) values('22Aug240008','070000162546','78000',(select max(to_number(i.premium_rcv_detail_code))+1
from ins_premium_det i),'78000','78000','02', '11000003','00','Request by Mr. Reheel Malik 22-Aug-2024 Renewal');</v>
      </c>
    </row>
    <row r="107" spans="1:8" ht="20.25" customHeight="1" x14ac:dyDescent="0.25">
      <c r="A107" s="29" t="s">
        <v>1264</v>
      </c>
      <c r="B107" s="48" t="str">
        <f>VLOOKUP(A107,[2]Sheet1!$B$2:$C$184,2,0)</f>
        <v>070000162437</v>
      </c>
      <c r="C107" s="25">
        <v>21352</v>
      </c>
      <c r="D107" s="49">
        <f t="shared" si="4"/>
        <v>21352</v>
      </c>
      <c r="E107" s="50" t="s">
        <v>1785</v>
      </c>
      <c r="F107" s="51" t="str">
        <f t="shared" si="5"/>
        <v>insert into ins_premium_det (premium_rcv_code,assorted_code, rec_amount,premium_rcv_detail_code,remaining_amt, payrec, mode_code,coinsurance_code,class_cd,it_remarks) values</v>
      </c>
      <c r="G107" s="52" t="str">
        <f t="shared" si="6"/>
        <v>('22Aug240008','070000162437','21352',(select max(to_number(i.premium_rcv_detail_code))+1
from ins_premium_det i),'21352','21352','02', '11000003','00','Request by Mr. Reheel Malik 22-Aug-2024 Renewal');</v>
      </c>
      <c r="H107" s="53" t="str">
        <f t="shared" si="7"/>
        <v>insert into ins_premium_det (premium_rcv_code,assorted_code, rec_amount,premium_rcv_detail_code,remaining_amt, payrec, mode_code,coinsurance_code,class_cd,it_remarks) values('22Aug240008','070000162437','21352',(select max(to_number(i.premium_rcv_detail_code))+1
from ins_premium_det i),'21352','21352','02', '11000003','00','Request by Mr. Reheel Malik 22-Aug-2024 Renewal');</v>
      </c>
    </row>
    <row r="108" spans="1:8" ht="20.25" customHeight="1" x14ac:dyDescent="0.25">
      <c r="A108" s="29" t="s">
        <v>1270</v>
      </c>
      <c r="B108" s="48" t="str">
        <f>VLOOKUP(A108,[2]Sheet1!$B$2:$C$184,2,0)</f>
        <v>070000162573</v>
      </c>
      <c r="C108" s="25">
        <v>58162.5</v>
      </c>
      <c r="D108" s="49">
        <f t="shared" si="4"/>
        <v>58163</v>
      </c>
      <c r="E108" s="50" t="s">
        <v>1785</v>
      </c>
      <c r="F108" s="51" t="str">
        <f t="shared" si="5"/>
        <v>insert into ins_premium_det (premium_rcv_code,assorted_code, rec_amount,premium_rcv_detail_code,remaining_amt, payrec, mode_code,coinsurance_code,class_cd,it_remarks) values</v>
      </c>
      <c r="G108" s="52" t="str">
        <f t="shared" si="6"/>
        <v>('22Aug240008','070000162573','58163',(select max(to_number(i.premium_rcv_detail_code))+1
from ins_premium_det i),'58163','58163','02', '11000003','00','Request by Mr. Reheel Malik 22-Aug-2024 Renewal');</v>
      </c>
      <c r="H108" s="53" t="str">
        <f t="shared" si="7"/>
        <v>insert into ins_premium_det (premium_rcv_code,assorted_code, rec_amount,premium_rcv_detail_code,remaining_amt, payrec, mode_code,coinsurance_code,class_cd,it_remarks) values('22Aug240008','070000162573','58163',(select max(to_number(i.premium_rcv_detail_code))+1
from ins_premium_det i),'58163','58163','02', '11000003','00','Request by Mr. Reheel Malik 22-Aug-2024 Renewal');</v>
      </c>
    </row>
    <row r="109" spans="1:8" ht="20.25" customHeight="1" x14ac:dyDescent="0.25">
      <c r="A109" s="29" t="s">
        <v>1276</v>
      </c>
      <c r="B109" s="48" t="str">
        <f>VLOOKUP(A109,[2]Sheet1!$B$2:$C$184,2,0)</f>
        <v>070000162572</v>
      </c>
      <c r="C109" s="25">
        <v>41625</v>
      </c>
      <c r="D109" s="49">
        <f t="shared" si="4"/>
        <v>41625</v>
      </c>
      <c r="E109" s="50" t="s">
        <v>1785</v>
      </c>
      <c r="F109" s="51" t="str">
        <f t="shared" si="5"/>
        <v>insert into ins_premium_det (premium_rcv_code,assorted_code, rec_amount,premium_rcv_detail_code,remaining_amt, payrec, mode_code,coinsurance_code,class_cd,it_remarks) values</v>
      </c>
      <c r="G109" s="52" t="str">
        <f t="shared" si="6"/>
        <v>('22Aug240008','070000162572','41625',(select max(to_number(i.premium_rcv_detail_code))+1
from ins_premium_det i),'41625','41625','02', '11000003','00','Request by Mr. Reheel Malik 22-Aug-2024 Renewal');</v>
      </c>
      <c r="H109" s="53" t="str">
        <f t="shared" si="7"/>
        <v>insert into ins_premium_det (premium_rcv_code,assorted_code, rec_amount,premium_rcv_detail_code,remaining_amt, payrec, mode_code,coinsurance_code,class_cd,it_remarks) values('22Aug240008','070000162572','41625',(select max(to_number(i.premium_rcv_detail_code))+1
from ins_premium_det i),'41625','41625','02', '11000003','00','Request by Mr. Reheel Malik 22-Aug-2024 Renewal');</v>
      </c>
    </row>
    <row r="110" spans="1:8" ht="20.25" customHeight="1" x14ac:dyDescent="0.25">
      <c r="A110" s="29" t="s">
        <v>1283</v>
      </c>
      <c r="B110" s="48" t="str">
        <f>VLOOKUP(A110,[2]Sheet1!$B$2:$C$184,2,0)</f>
        <v>070000162585</v>
      </c>
      <c r="C110" s="25">
        <v>74250</v>
      </c>
      <c r="D110" s="49">
        <f t="shared" si="4"/>
        <v>74250</v>
      </c>
      <c r="E110" s="50" t="s">
        <v>1785</v>
      </c>
      <c r="F110" s="51" t="str">
        <f t="shared" si="5"/>
        <v>insert into ins_premium_det (premium_rcv_code,assorted_code, rec_amount,premium_rcv_detail_code,remaining_amt, payrec, mode_code,coinsurance_code,class_cd,it_remarks) values</v>
      </c>
      <c r="G110" s="52" t="str">
        <f t="shared" si="6"/>
        <v>('22Aug240008','070000162585','74250',(select max(to_number(i.premium_rcv_detail_code))+1
from ins_premium_det i),'74250','74250','02', '11000003','00','Request by Mr. Reheel Malik 22-Aug-2024 Renewal');</v>
      </c>
      <c r="H110" s="53" t="str">
        <f t="shared" si="7"/>
        <v>insert into ins_premium_det (premium_rcv_code,assorted_code, rec_amount,premium_rcv_detail_code,remaining_amt, payrec, mode_code,coinsurance_code,class_cd,it_remarks) values('22Aug240008','070000162585','74250',(select max(to_number(i.premium_rcv_detail_code))+1
from ins_premium_det i),'74250','74250','02', '11000003','00','Request by Mr. Reheel Malik 22-Aug-2024 Renewal');</v>
      </c>
    </row>
    <row r="111" spans="1:8" ht="20.25" customHeight="1" x14ac:dyDescent="0.25">
      <c r="A111" s="29" t="s">
        <v>1291</v>
      </c>
      <c r="B111" s="48" t="str">
        <f>VLOOKUP(A111,[2]Sheet1!$B$2:$C$184,2,0)</f>
        <v>070000162598</v>
      </c>
      <c r="C111" s="25">
        <v>52774.8</v>
      </c>
      <c r="D111" s="49">
        <f t="shared" si="4"/>
        <v>52775</v>
      </c>
      <c r="E111" s="50" t="s">
        <v>1785</v>
      </c>
      <c r="F111" s="51" t="str">
        <f t="shared" si="5"/>
        <v>insert into ins_premium_det (premium_rcv_code,assorted_code, rec_amount,premium_rcv_detail_code,remaining_amt, payrec, mode_code,coinsurance_code,class_cd,it_remarks) values</v>
      </c>
      <c r="G111" s="52" t="str">
        <f t="shared" si="6"/>
        <v>('22Aug240008','070000162598','52775',(select max(to_number(i.premium_rcv_detail_code))+1
from ins_premium_det i),'52775','52775','02', '11000003','00','Request by Mr. Reheel Malik 22-Aug-2024 Renewal');</v>
      </c>
      <c r="H111" s="53" t="str">
        <f t="shared" si="7"/>
        <v>insert into ins_premium_det (premium_rcv_code,assorted_code, rec_amount,premium_rcv_detail_code,remaining_amt, payrec, mode_code,coinsurance_code,class_cd,it_remarks) values('22Aug240008','070000162598','52775',(select max(to_number(i.premium_rcv_detail_code))+1
from ins_premium_det i),'52775','52775','02', '11000003','00','Request by Mr. Reheel Malik 22-Aug-2024 Renewal');</v>
      </c>
    </row>
    <row r="112" spans="1:8" ht="20.25" customHeight="1" x14ac:dyDescent="0.25">
      <c r="A112" s="29" t="s">
        <v>1299</v>
      </c>
      <c r="B112" s="48" t="str">
        <f>VLOOKUP(A112,[2]Sheet1!$B$2:$C$184,2,0)</f>
        <v>070000162519</v>
      </c>
      <c r="C112" s="25">
        <v>32000</v>
      </c>
      <c r="D112" s="49">
        <f t="shared" si="4"/>
        <v>32000</v>
      </c>
      <c r="E112" s="50" t="s">
        <v>1785</v>
      </c>
      <c r="F112" s="51" t="str">
        <f t="shared" si="5"/>
        <v>insert into ins_premium_det (premium_rcv_code,assorted_code, rec_amount,premium_rcv_detail_code,remaining_amt, payrec, mode_code,coinsurance_code,class_cd,it_remarks) values</v>
      </c>
      <c r="G112" s="52" t="str">
        <f t="shared" si="6"/>
        <v>('22Aug240008','070000162519','32000',(select max(to_number(i.premium_rcv_detail_code))+1
from ins_premium_det i),'32000','32000','02', '11000003','00','Request by Mr. Reheel Malik 22-Aug-2024 Renewal');</v>
      </c>
      <c r="H112" s="53" t="str">
        <f t="shared" si="7"/>
        <v>insert into ins_premium_det (premium_rcv_code,assorted_code, rec_amount,premium_rcv_detail_code,remaining_amt, payrec, mode_code,coinsurance_code,class_cd,it_remarks) values('22Aug240008','070000162519','32000',(select max(to_number(i.premium_rcv_detail_code))+1
from ins_premium_det i),'32000','32000','02', '11000003','00','Request by Mr. Reheel Malik 22-Aug-2024 Renewal');</v>
      </c>
    </row>
    <row r="113" spans="1:8" ht="20.25" customHeight="1" x14ac:dyDescent="0.25">
      <c r="A113" s="29" t="s">
        <v>1306</v>
      </c>
      <c r="B113" s="48" t="str">
        <f>VLOOKUP(A113,[2]Sheet1!$B$2:$C$184,2,0)</f>
        <v>070000162626</v>
      </c>
      <c r="C113" s="25">
        <v>18000</v>
      </c>
      <c r="D113" s="49">
        <f t="shared" si="4"/>
        <v>18000</v>
      </c>
      <c r="E113" s="50" t="s">
        <v>1785</v>
      </c>
      <c r="F113" s="51" t="str">
        <f t="shared" si="5"/>
        <v>insert into ins_premium_det (premium_rcv_code,assorted_code, rec_amount,premium_rcv_detail_code,remaining_amt, payrec, mode_code,coinsurance_code,class_cd,it_remarks) values</v>
      </c>
      <c r="G113" s="52" t="str">
        <f t="shared" si="6"/>
        <v>('22Aug240008','070000162626','18000',(select max(to_number(i.premium_rcv_detail_code))+1
from ins_premium_det i),'18000','18000','02', '11000003','00','Request by Mr. Reheel Malik 22-Aug-2024 Renewal');</v>
      </c>
      <c r="H113" s="53" t="str">
        <f t="shared" si="7"/>
        <v>insert into ins_premium_det (premium_rcv_code,assorted_code, rec_amount,premium_rcv_detail_code,remaining_amt, payrec, mode_code,coinsurance_code,class_cd,it_remarks) values('22Aug240008','070000162626','18000',(select max(to_number(i.premium_rcv_detail_code))+1
from ins_premium_det i),'18000','18000','02', '11000003','00','Request by Mr. Reheel Malik 22-Aug-2024 Renewal');</v>
      </c>
    </row>
    <row r="114" spans="1:8" ht="20.25" customHeight="1" x14ac:dyDescent="0.25">
      <c r="A114" s="29" t="s">
        <v>1313</v>
      </c>
      <c r="B114" s="48" t="str">
        <f>VLOOKUP(A114,[2]Sheet1!$B$2:$C$184,2,0)</f>
        <v>070000162602</v>
      </c>
      <c r="C114" s="25">
        <v>66093.75</v>
      </c>
      <c r="D114" s="49">
        <f t="shared" si="4"/>
        <v>66094</v>
      </c>
      <c r="E114" s="50" t="s">
        <v>1785</v>
      </c>
      <c r="F114" s="51" t="str">
        <f t="shared" si="5"/>
        <v>insert into ins_premium_det (premium_rcv_code,assorted_code, rec_amount,premium_rcv_detail_code,remaining_amt, payrec, mode_code,coinsurance_code,class_cd,it_remarks) values</v>
      </c>
      <c r="G114" s="52" t="str">
        <f t="shared" si="6"/>
        <v>('22Aug240008','070000162602','66094',(select max(to_number(i.premium_rcv_detail_code))+1
from ins_premium_det i),'66094','66094','02', '11000003','00','Request by Mr. Reheel Malik 22-Aug-2024 Renewal');</v>
      </c>
      <c r="H114" s="53" t="str">
        <f t="shared" si="7"/>
        <v>insert into ins_premium_det (premium_rcv_code,assorted_code, rec_amount,premium_rcv_detail_code,remaining_amt, payrec, mode_code,coinsurance_code,class_cd,it_remarks) values('22Aug240008','070000162602','66094',(select max(to_number(i.premium_rcv_detail_code))+1
from ins_premium_det i),'66094','66094','02', '11000003','00','Request by Mr. Reheel Malik 22-Aug-2024 Renewal');</v>
      </c>
    </row>
    <row r="115" spans="1:8" ht="20.25" customHeight="1" x14ac:dyDescent="0.25">
      <c r="A115" s="29" t="s">
        <v>1321</v>
      </c>
      <c r="B115" s="48" t="str">
        <f>VLOOKUP(A115,[2]Sheet1!$B$2:$C$184,2,0)</f>
        <v>070000162567</v>
      </c>
      <c r="C115" s="25">
        <v>42000.000000000007</v>
      </c>
      <c r="D115" s="49">
        <f t="shared" si="4"/>
        <v>42000</v>
      </c>
      <c r="E115" s="50" t="s">
        <v>1785</v>
      </c>
      <c r="F115" s="51" t="str">
        <f t="shared" si="5"/>
        <v>insert into ins_premium_det (premium_rcv_code,assorted_code, rec_amount,premium_rcv_detail_code,remaining_amt, payrec, mode_code,coinsurance_code,class_cd,it_remarks) values</v>
      </c>
      <c r="G115" s="52" t="str">
        <f t="shared" si="6"/>
        <v>('22Aug240008','070000162567','42000',(select max(to_number(i.premium_rcv_detail_code))+1
from ins_premium_det i),'42000','42000','02', '11000003','00','Request by Mr. Reheel Malik 22-Aug-2024 Renewal');</v>
      </c>
      <c r="H115" s="53" t="str">
        <f t="shared" si="7"/>
        <v>insert into ins_premium_det (premium_rcv_code,assorted_code, rec_amount,premium_rcv_detail_code,remaining_amt, payrec, mode_code,coinsurance_code,class_cd,it_remarks) values('22Aug240008','070000162567','42000',(select max(to_number(i.premium_rcv_detail_code))+1
from ins_premium_det i),'42000','42000','02', '11000003','00','Request by Mr. Reheel Malik 22-Aug-2024 Renewal');</v>
      </c>
    </row>
    <row r="116" spans="1:8" ht="20.25" customHeight="1" x14ac:dyDescent="0.25">
      <c r="A116" s="29" t="s">
        <v>1329</v>
      </c>
      <c r="B116" s="48" t="str">
        <f>VLOOKUP(A116,[2]Sheet1!$B$2:$C$184,2,0)</f>
        <v>070000162594</v>
      </c>
      <c r="C116" s="25">
        <v>59062.5</v>
      </c>
      <c r="D116" s="49">
        <f t="shared" si="4"/>
        <v>59063</v>
      </c>
      <c r="E116" s="50" t="s">
        <v>1785</v>
      </c>
      <c r="F116" s="51" t="str">
        <f t="shared" si="5"/>
        <v>insert into ins_premium_det (premium_rcv_code,assorted_code, rec_amount,premium_rcv_detail_code,remaining_amt, payrec, mode_code,coinsurance_code,class_cd,it_remarks) values</v>
      </c>
      <c r="G116" s="52" t="str">
        <f t="shared" si="6"/>
        <v>('22Aug240008','070000162594','59063',(select max(to_number(i.premium_rcv_detail_code))+1
from ins_premium_det i),'59063','59063','02', '11000003','00','Request by Mr. Reheel Malik 22-Aug-2024 Renewal');</v>
      </c>
      <c r="H116" s="53" t="str">
        <f t="shared" si="7"/>
        <v>insert into ins_premium_det (premium_rcv_code,assorted_code, rec_amount,premium_rcv_detail_code,remaining_amt, payrec, mode_code,coinsurance_code,class_cd,it_remarks) values('22Aug240008','070000162594','59063',(select max(to_number(i.premium_rcv_detail_code))+1
from ins_premium_det i),'59063','59063','02', '11000003','00','Request by Mr. Reheel Malik 22-Aug-2024 Renewal');</v>
      </c>
    </row>
    <row r="117" spans="1:8" ht="20.25" customHeight="1" x14ac:dyDescent="0.25">
      <c r="A117" s="29" t="s">
        <v>1337</v>
      </c>
      <c r="B117" s="48" t="str">
        <f>VLOOKUP(A117,[2]Sheet1!$B$2:$C$184,2,0)</f>
        <v>070000162620</v>
      </c>
      <c r="C117" s="25">
        <v>17370</v>
      </c>
      <c r="D117" s="49">
        <f t="shared" si="4"/>
        <v>17370</v>
      </c>
      <c r="E117" s="50" t="s">
        <v>1785</v>
      </c>
      <c r="F117" s="51" t="str">
        <f t="shared" si="5"/>
        <v>insert into ins_premium_det (premium_rcv_code,assorted_code, rec_amount,premium_rcv_detail_code,remaining_amt, payrec, mode_code,coinsurance_code,class_cd,it_remarks) values</v>
      </c>
      <c r="G117" s="52" t="str">
        <f t="shared" si="6"/>
        <v>('22Aug240008','070000162620','17370',(select max(to_number(i.premium_rcv_detail_code))+1
from ins_premium_det i),'17370','17370','02', '11000003','00','Request by Mr. Reheel Malik 22-Aug-2024 Renewal');</v>
      </c>
      <c r="H117" s="53" t="str">
        <f t="shared" si="7"/>
        <v>insert into ins_premium_det (premium_rcv_code,assorted_code, rec_amount,premium_rcv_detail_code,remaining_amt, payrec, mode_code,coinsurance_code,class_cd,it_remarks) values('22Aug240008','070000162620','17370',(select max(to_number(i.premium_rcv_detail_code))+1
from ins_premium_det i),'17370','17370','02', '11000003','00','Request by Mr. Reheel Malik 22-Aug-2024 Renewal');</v>
      </c>
    </row>
    <row r="118" spans="1:8" ht="20.25" customHeight="1" x14ac:dyDescent="0.25">
      <c r="A118" s="29" t="s">
        <v>1344</v>
      </c>
      <c r="B118" s="48" t="str">
        <f>VLOOKUP(A118,[2]Sheet1!$B$2:$C$184,2,0)</f>
        <v>070000162907</v>
      </c>
      <c r="C118" s="25">
        <v>49500</v>
      </c>
      <c r="D118" s="49">
        <f t="shared" si="4"/>
        <v>49500</v>
      </c>
      <c r="E118" s="50" t="s">
        <v>1785</v>
      </c>
      <c r="F118" s="51" t="str">
        <f t="shared" si="5"/>
        <v>insert into ins_premium_det (premium_rcv_code,assorted_code, rec_amount,premium_rcv_detail_code,remaining_amt, payrec, mode_code,coinsurance_code,class_cd,it_remarks) values</v>
      </c>
      <c r="G118" s="52" t="str">
        <f t="shared" si="6"/>
        <v>('22Aug240008','070000162907','49500',(select max(to_number(i.premium_rcv_detail_code))+1
from ins_premium_det i),'49500','49500','02', '11000003','00','Request by Mr. Reheel Malik 22-Aug-2024 Renewal');</v>
      </c>
      <c r="H118" s="53" t="str">
        <f t="shared" si="7"/>
        <v>insert into ins_premium_det (premium_rcv_code,assorted_code, rec_amount,premium_rcv_detail_code,remaining_amt, payrec, mode_code,coinsurance_code,class_cd,it_remarks) values('22Aug240008','070000162907','49500',(select max(to_number(i.premium_rcv_detail_code))+1
from ins_premium_det i),'49500','49500','02', '11000003','00','Request by Mr. Reheel Malik 22-Aug-2024 Renewal');</v>
      </c>
    </row>
    <row r="119" spans="1:8" ht="20.25" customHeight="1" x14ac:dyDescent="0.25">
      <c r="A119" s="29" t="s">
        <v>1351</v>
      </c>
      <c r="B119" s="48" t="str">
        <f>VLOOKUP(A119,[2]Sheet1!$B$2:$C$184,2,0)</f>
        <v>070000162603</v>
      </c>
      <c r="C119" s="25">
        <v>39600</v>
      </c>
      <c r="D119" s="49">
        <f t="shared" si="4"/>
        <v>39600</v>
      </c>
      <c r="E119" s="50" t="s">
        <v>1785</v>
      </c>
      <c r="F119" s="51" t="str">
        <f t="shared" si="5"/>
        <v>insert into ins_premium_det (premium_rcv_code,assorted_code, rec_amount,premium_rcv_detail_code,remaining_amt, payrec, mode_code,coinsurance_code,class_cd,it_remarks) values</v>
      </c>
      <c r="G119" s="52" t="str">
        <f t="shared" si="6"/>
        <v>('22Aug240008','070000162603','39600',(select max(to_number(i.premium_rcv_detail_code))+1
from ins_premium_det i),'39600','39600','02', '11000003','00','Request by Mr. Reheel Malik 22-Aug-2024 Renewal');</v>
      </c>
      <c r="H119" s="53" t="str">
        <f t="shared" si="7"/>
        <v>insert into ins_premium_det (premium_rcv_code,assorted_code, rec_amount,premium_rcv_detail_code,remaining_amt, payrec, mode_code,coinsurance_code,class_cd,it_remarks) values('22Aug240008','070000162603','39600',(select max(to_number(i.premium_rcv_detail_code))+1
from ins_premium_det i),'39600','39600','02', '11000003','00','Request by Mr. Reheel Malik 22-Aug-2024 Renewal');</v>
      </c>
    </row>
    <row r="120" spans="1:8" ht="20.25" customHeight="1" x14ac:dyDescent="0.25">
      <c r="A120" s="29" t="s">
        <v>1359</v>
      </c>
      <c r="B120" s="48" t="str">
        <f>VLOOKUP(A120,[2]Sheet1!$B$2:$C$184,2,0)</f>
        <v>070000162621</v>
      </c>
      <c r="C120" s="25">
        <v>47250</v>
      </c>
      <c r="D120" s="49">
        <f t="shared" si="4"/>
        <v>47250</v>
      </c>
      <c r="E120" s="50" t="s">
        <v>1785</v>
      </c>
      <c r="F120" s="51" t="str">
        <f t="shared" si="5"/>
        <v>insert into ins_premium_det (premium_rcv_code,assorted_code, rec_amount,premium_rcv_detail_code,remaining_amt, payrec, mode_code,coinsurance_code,class_cd,it_remarks) values</v>
      </c>
      <c r="G120" s="52" t="str">
        <f t="shared" si="6"/>
        <v>('22Aug240008','070000162621','47250',(select max(to_number(i.premium_rcv_detail_code))+1
from ins_premium_det i),'47250','47250','02', '11000003','00','Request by Mr. Reheel Malik 22-Aug-2024 Renewal');</v>
      </c>
      <c r="H120" s="53" t="str">
        <f t="shared" si="7"/>
        <v>insert into ins_premium_det (premium_rcv_code,assorted_code, rec_amount,premium_rcv_detail_code,remaining_amt, payrec, mode_code,coinsurance_code,class_cd,it_remarks) values('22Aug240008','070000162621','47250',(select max(to_number(i.premium_rcv_detail_code))+1
from ins_premium_det i),'47250','47250','02', '11000003','00','Request by Mr. Reheel Malik 22-Aug-2024 Renewal');</v>
      </c>
    </row>
    <row r="121" spans="1:8" ht="20.25" customHeight="1" x14ac:dyDescent="0.25">
      <c r="A121" s="29" t="s">
        <v>1365</v>
      </c>
      <c r="B121" s="48" t="str">
        <f>VLOOKUP(A121,[2]Sheet1!$B$2:$C$184,2,0)</f>
        <v>070000162623</v>
      </c>
      <c r="C121" s="25">
        <v>45000</v>
      </c>
      <c r="D121" s="49">
        <f t="shared" si="4"/>
        <v>45000</v>
      </c>
      <c r="E121" s="50" t="s">
        <v>1785</v>
      </c>
      <c r="F121" s="51" t="str">
        <f t="shared" si="5"/>
        <v>insert into ins_premium_det (premium_rcv_code,assorted_code, rec_amount,premium_rcv_detail_code,remaining_amt, payrec, mode_code,coinsurance_code,class_cd,it_remarks) values</v>
      </c>
      <c r="G121" s="52" t="str">
        <f t="shared" si="6"/>
        <v>('22Aug240008','070000162623','45000',(select max(to_number(i.premium_rcv_detail_code))+1
from ins_premium_det i),'45000','45000','02', '11000003','00','Request by Mr. Reheel Malik 22-Aug-2024 Renewal');</v>
      </c>
      <c r="H121" s="53" t="str">
        <f t="shared" si="7"/>
        <v>insert into ins_premium_det (premium_rcv_code,assorted_code, rec_amount,premium_rcv_detail_code,remaining_amt, payrec, mode_code,coinsurance_code,class_cd,it_remarks) values('22Aug240008','070000162623','45000',(select max(to_number(i.premium_rcv_detail_code))+1
from ins_premium_det i),'45000','45000','02', '11000003','00','Request by Mr. Reheel Malik 22-Aug-2024 Renewal');</v>
      </c>
    </row>
    <row r="122" spans="1:8" ht="20.25" customHeight="1" x14ac:dyDescent="0.25">
      <c r="A122" s="29" t="s">
        <v>1371</v>
      </c>
      <c r="B122" s="48" t="str">
        <f>VLOOKUP(A122,[2]Sheet1!$B$2:$C$184,2,0)</f>
        <v>070000162562</v>
      </c>
      <c r="C122" s="25">
        <v>64350</v>
      </c>
      <c r="D122" s="49">
        <f t="shared" si="4"/>
        <v>64350</v>
      </c>
      <c r="E122" s="50" t="s">
        <v>1785</v>
      </c>
      <c r="F122" s="51" t="str">
        <f t="shared" si="5"/>
        <v>insert into ins_premium_det (premium_rcv_code,assorted_code, rec_amount,premium_rcv_detail_code,remaining_amt, payrec, mode_code,coinsurance_code,class_cd,it_remarks) values</v>
      </c>
      <c r="G122" s="52" t="str">
        <f t="shared" si="6"/>
        <v>('22Aug240008','070000162562','64350',(select max(to_number(i.premium_rcv_detail_code))+1
from ins_premium_det i),'64350','64350','02', '11000003','00','Request by Mr. Reheel Malik 22-Aug-2024 Renewal');</v>
      </c>
      <c r="H122" s="53" t="str">
        <f t="shared" si="7"/>
        <v>insert into ins_premium_det (premium_rcv_code,assorted_code, rec_amount,premium_rcv_detail_code,remaining_amt, payrec, mode_code,coinsurance_code,class_cd,it_remarks) values('22Aug240008','070000162562','64350',(select max(to_number(i.premium_rcv_detail_code))+1
from ins_premium_det i),'64350','64350','02', '11000003','00','Request by Mr. Reheel Malik 22-Aug-2024 Renewal');</v>
      </c>
    </row>
    <row r="123" spans="1:8" ht="20.25" customHeight="1" x14ac:dyDescent="0.25">
      <c r="A123" s="29" t="s">
        <v>1377</v>
      </c>
      <c r="B123" s="48" t="str">
        <f>VLOOKUP(A123,[2]Sheet1!$B$2:$C$184,2,0)</f>
        <v>070000162910</v>
      </c>
      <c r="C123" s="25">
        <v>33993.75</v>
      </c>
      <c r="D123" s="49">
        <f t="shared" si="4"/>
        <v>33994</v>
      </c>
      <c r="E123" s="50" t="s">
        <v>1785</v>
      </c>
      <c r="F123" s="51" t="str">
        <f t="shared" si="5"/>
        <v>insert into ins_premium_det (premium_rcv_code,assorted_code, rec_amount,premium_rcv_detail_code,remaining_amt, payrec, mode_code,coinsurance_code,class_cd,it_remarks) values</v>
      </c>
      <c r="G123" s="52" t="str">
        <f t="shared" si="6"/>
        <v>('22Aug240008','070000162910','33994',(select max(to_number(i.premium_rcv_detail_code))+1
from ins_premium_det i),'33994','33994','02', '11000003','00','Request by Mr. Reheel Malik 22-Aug-2024 Renewal');</v>
      </c>
      <c r="H123" s="53" t="str">
        <f t="shared" si="7"/>
        <v>insert into ins_premium_det (premium_rcv_code,assorted_code, rec_amount,premium_rcv_detail_code,remaining_amt, payrec, mode_code,coinsurance_code,class_cd,it_remarks) values('22Aug240008','070000162910','33994',(select max(to_number(i.premium_rcv_detail_code))+1
from ins_premium_det i),'33994','33994','02', '11000003','00','Request by Mr. Reheel Malik 22-Aug-2024 Renewal');</v>
      </c>
    </row>
    <row r="124" spans="1:8" ht="20.25" customHeight="1" x14ac:dyDescent="0.25">
      <c r="A124" s="29" t="s">
        <v>1384</v>
      </c>
      <c r="B124" s="48" t="str">
        <f>VLOOKUP(A124,[2]Sheet1!$B$2:$C$184,2,0)</f>
        <v>070000162574</v>
      </c>
      <c r="C124" s="25">
        <v>52453.125</v>
      </c>
      <c r="D124" s="49">
        <f t="shared" si="4"/>
        <v>52453</v>
      </c>
      <c r="E124" s="50" t="s">
        <v>1785</v>
      </c>
      <c r="F124" s="51" t="str">
        <f t="shared" si="5"/>
        <v>insert into ins_premium_det (premium_rcv_code,assorted_code, rec_amount,premium_rcv_detail_code,remaining_amt, payrec, mode_code,coinsurance_code,class_cd,it_remarks) values</v>
      </c>
      <c r="G124" s="52" t="str">
        <f t="shared" si="6"/>
        <v>('22Aug240008','070000162574','52453',(select max(to_number(i.premium_rcv_detail_code))+1
from ins_premium_det i),'52453','52453','02', '11000003','00','Request by Mr. Reheel Malik 22-Aug-2024 Renewal');</v>
      </c>
      <c r="H124" s="53" t="str">
        <f t="shared" si="7"/>
        <v>insert into ins_premium_det (premium_rcv_code,assorted_code, rec_amount,premium_rcv_detail_code,remaining_amt, payrec, mode_code,coinsurance_code,class_cd,it_remarks) values('22Aug240008','070000162574','52453',(select max(to_number(i.premium_rcv_detail_code))+1
from ins_premium_det i),'52453','52453','02', '11000003','00','Request by Mr. Reheel Malik 22-Aug-2024 Renewal');</v>
      </c>
    </row>
    <row r="125" spans="1:8" ht="20.25" customHeight="1" x14ac:dyDescent="0.25">
      <c r="A125" s="29" t="s">
        <v>1391</v>
      </c>
      <c r="B125" s="48" t="str">
        <f>VLOOKUP(A125,[2]Sheet1!$B$2:$C$184,2,0)</f>
        <v>070000162616</v>
      </c>
      <c r="C125" s="25">
        <v>24300</v>
      </c>
      <c r="D125" s="49">
        <f t="shared" si="4"/>
        <v>24300</v>
      </c>
      <c r="E125" s="50" t="s">
        <v>1785</v>
      </c>
      <c r="F125" s="51" t="str">
        <f t="shared" si="5"/>
        <v>insert into ins_premium_det (premium_rcv_code,assorted_code, rec_amount,premium_rcv_detail_code,remaining_amt, payrec, mode_code,coinsurance_code,class_cd,it_remarks) values</v>
      </c>
      <c r="G125" s="52" t="str">
        <f t="shared" si="6"/>
        <v>('22Aug240008','070000162616','24300',(select max(to_number(i.premium_rcv_detail_code))+1
from ins_premium_det i),'24300','24300','02', '11000003','00','Request by Mr. Reheel Malik 22-Aug-2024 Renewal');</v>
      </c>
      <c r="H125" s="53" t="str">
        <f t="shared" si="7"/>
        <v>insert into ins_premium_det (premium_rcv_code,assorted_code, rec_amount,premium_rcv_detail_code,remaining_amt, payrec, mode_code,coinsurance_code,class_cd,it_remarks) values('22Aug240008','070000162616','24300',(select max(to_number(i.premium_rcv_detail_code))+1
from ins_premium_det i),'24300','24300','02', '11000003','00','Request by Mr. Reheel Malik 22-Aug-2024 Renewal');</v>
      </c>
    </row>
    <row r="126" spans="1:8" ht="20.25" customHeight="1" x14ac:dyDescent="0.25">
      <c r="A126" s="29" t="s">
        <v>1398</v>
      </c>
      <c r="B126" s="48" t="str">
        <f>VLOOKUP(A126,[2]Sheet1!$B$2:$C$184,2,0)</f>
        <v>070000162443</v>
      </c>
      <c r="C126" s="25">
        <v>45241.25</v>
      </c>
      <c r="D126" s="49">
        <f t="shared" si="4"/>
        <v>45241</v>
      </c>
      <c r="E126" s="50" t="s">
        <v>1785</v>
      </c>
      <c r="F126" s="51" t="str">
        <f t="shared" si="5"/>
        <v>insert into ins_premium_det (premium_rcv_code,assorted_code, rec_amount,premium_rcv_detail_code,remaining_amt, payrec, mode_code,coinsurance_code,class_cd,it_remarks) values</v>
      </c>
      <c r="G126" s="52" t="str">
        <f t="shared" si="6"/>
        <v>('22Aug240008','070000162443','45241',(select max(to_number(i.premium_rcv_detail_code))+1
from ins_premium_det i),'45241','45241','02', '11000003','00','Request by Mr. Reheel Malik 22-Aug-2024 Renewal');</v>
      </c>
      <c r="H126" s="53" t="str">
        <f t="shared" si="7"/>
        <v>insert into ins_premium_det (premium_rcv_code,assorted_code, rec_amount,premium_rcv_detail_code,remaining_amt, payrec, mode_code,coinsurance_code,class_cd,it_remarks) values('22Aug240008','070000162443','45241',(select max(to_number(i.premium_rcv_detail_code))+1
from ins_premium_det i),'45241','45241','02', '11000003','00','Request by Mr. Reheel Malik 22-Aug-2024 Renewal');</v>
      </c>
    </row>
    <row r="127" spans="1:8" ht="20.25" customHeight="1" x14ac:dyDescent="0.25">
      <c r="A127" s="29" t="s">
        <v>1403</v>
      </c>
      <c r="B127" s="48" t="str">
        <f>VLOOKUP(A127,[2]Sheet1!$B$2:$C$184,2,0)</f>
        <v>070000162446</v>
      </c>
      <c r="C127" s="25">
        <v>22996.750000000004</v>
      </c>
      <c r="D127" s="49">
        <f t="shared" si="4"/>
        <v>22997</v>
      </c>
      <c r="E127" s="50" t="s">
        <v>1785</v>
      </c>
      <c r="F127" s="51" t="str">
        <f t="shared" si="5"/>
        <v>insert into ins_premium_det (premium_rcv_code,assorted_code, rec_amount,premium_rcv_detail_code,remaining_amt, payrec, mode_code,coinsurance_code,class_cd,it_remarks) values</v>
      </c>
      <c r="G127" s="52" t="str">
        <f t="shared" si="6"/>
        <v>('22Aug240008','070000162446','22997',(select max(to_number(i.premium_rcv_detail_code))+1
from ins_premium_det i),'22997','22997','02', '11000003','00','Request by Mr. Reheel Malik 22-Aug-2024 Renewal');</v>
      </c>
      <c r="H127" s="53" t="str">
        <f t="shared" si="7"/>
        <v>insert into ins_premium_det (premium_rcv_code,assorted_code, rec_amount,premium_rcv_detail_code,remaining_amt, payrec, mode_code,coinsurance_code,class_cd,it_remarks) values('22Aug240008','070000162446','22997',(select max(to_number(i.premium_rcv_detail_code))+1
from ins_premium_det i),'22997','22997','02', '11000003','00','Request by Mr. Reheel Malik 22-Aug-2024 Renewal');</v>
      </c>
    </row>
    <row r="128" spans="1:8" ht="20.25" customHeight="1" x14ac:dyDescent="0.25">
      <c r="A128" s="29" t="s">
        <v>1411</v>
      </c>
      <c r="B128" s="48" t="str">
        <f>VLOOKUP(A128,[2]Sheet1!$B$2:$C$184,2,0)</f>
        <v>070000162453</v>
      </c>
      <c r="C128" s="25">
        <v>39610</v>
      </c>
      <c r="D128" s="49">
        <f t="shared" si="4"/>
        <v>39610</v>
      </c>
      <c r="E128" s="50" t="s">
        <v>1785</v>
      </c>
      <c r="F128" s="51" t="str">
        <f t="shared" si="5"/>
        <v>insert into ins_premium_det (premium_rcv_code,assorted_code, rec_amount,premium_rcv_detail_code,remaining_amt, payrec, mode_code,coinsurance_code,class_cd,it_remarks) values</v>
      </c>
      <c r="G128" s="52" t="str">
        <f t="shared" si="6"/>
        <v>('22Aug240008','070000162453','39610',(select max(to_number(i.premium_rcv_detail_code))+1
from ins_premium_det i),'39610','39610','02', '11000003','00','Request by Mr. Reheel Malik 22-Aug-2024 Renewal');</v>
      </c>
      <c r="H128" s="53" t="str">
        <f t="shared" si="7"/>
        <v>insert into ins_premium_det (premium_rcv_code,assorted_code, rec_amount,premium_rcv_detail_code,remaining_amt, payrec, mode_code,coinsurance_code,class_cd,it_remarks) values('22Aug240008','070000162453','39610',(select max(to_number(i.premium_rcv_detail_code))+1
from ins_premium_det i),'39610','39610','02', '11000003','00','Request by Mr. Reheel Malik 22-Aug-2024 Renewal');</v>
      </c>
    </row>
    <row r="129" spans="1:8" ht="20.25" customHeight="1" x14ac:dyDescent="0.25">
      <c r="A129" s="29" t="s">
        <v>1418</v>
      </c>
      <c r="B129" s="48" t="str">
        <f>VLOOKUP(A129,[2]Sheet1!$B$2:$C$184,2,0)</f>
        <v>070000162455</v>
      </c>
      <c r="C129" s="25">
        <v>32852.5</v>
      </c>
      <c r="D129" s="49">
        <f t="shared" si="4"/>
        <v>32853</v>
      </c>
      <c r="E129" s="50" t="s">
        <v>1785</v>
      </c>
      <c r="F129" s="51" t="str">
        <f t="shared" si="5"/>
        <v>insert into ins_premium_det (premium_rcv_code,assorted_code, rec_amount,premium_rcv_detail_code,remaining_amt, payrec, mode_code,coinsurance_code,class_cd,it_remarks) values</v>
      </c>
      <c r="G129" s="52" t="str">
        <f t="shared" si="6"/>
        <v>('22Aug240008','070000162455','32853',(select max(to_number(i.premium_rcv_detail_code))+1
from ins_premium_det i),'32853','32853','02', '11000003','00','Request by Mr. Reheel Malik 22-Aug-2024 Renewal');</v>
      </c>
      <c r="H129" s="53" t="str">
        <f t="shared" si="7"/>
        <v>insert into ins_premium_det (premium_rcv_code,assorted_code, rec_amount,premium_rcv_detail_code,remaining_amt, payrec, mode_code,coinsurance_code,class_cd,it_remarks) values('22Aug240008','070000162455','32853',(select max(to_number(i.premium_rcv_detail_code))+1
from ins_premium_det i),'32853','32853','02', '11000003','00','Request by Mr. Reheel Malik 22-Aug-2024 Renewal');</v>
      </c>
    </row>
    <row r="130" spans="1:8" ht="20.25" customHeight="1" x14ac:dyDescent="0.25">
      <c r="A130" s="29" t="s">
        <v>1424</v>
      </c>
      <c r="B130" s="48" t="str">
        <f>VLOOKUP(A130,[2]Sheet1!$B$2:$C$184,2,0)</f>
        <v>070000162458</v>
      </c>
      <c r="C130" s="25">
        <v>33007.625</v>
      </c>
      <c r="D130" s="49">
        <f t="shared" ref="D130:D184" si="8">ROUND(C130,0)</f>
        <v>33008</v>
      </c>
      <c r="E130" s="50" t="s">
        <v>1785</v>
      </c>
      <c r="F130" s="51" t="str">
        <f t="shared" ref="F130:F184" si="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52" t="str">
        <f t="shared" ref="G130:G184" si="10">"('"&amp;E130&amp;"','"&amp;B130&amp;"','"&amp;D130&amp;"',(select max(to_number(i.premium_rcv_detail_code))+1
from ins_premium_det i),'"&amp;D130&amp;"','"&amp;D130&amp;"','02', '11000003','00','Request by Mr. Reheel Malik 22-Aug-2024 Renewal');"</f>
        <v>('22Aug240008','070000162458','33008',(select max(to_number(i.premium_rcv_detail_code))+1
from ins_premium_det i),'33008','33008','02', '11000003','00','Request by Mr. Reheel Malik 22-Aug-2024 Renewal');</v>
      </c>
      <c r="H130" s="53" t="str">
        <f t="shared" ref="H130:H184" si="11">F130&amp;G130</f>
        <v>insert into ins_premium_det (premium_rcv_code,assorted_code, rec_amount,premium_rcv_detail_code,remaining_amt, payrec, mode_code,coinsurance_code,class_cd,it_remarks) values('22Aug240008','070000162458','33008',(select max(to_number(i.premium_rcv_detail_code))+1
from ins_premium_det i),'33008','33008','02', '11000003','00','Request by Mr. Reheel Malik 22-Aug-2024 Renewal');</v>
      </c>
    </row>
    <row r="131" spans="1:8" ht="20.25" customHeight="1" x14ac:dyDescent="0.25">
      <c r="A131" s="29" t="s">
        <v>1430</v>
      </c>
      <c r="B131" s="48" t="str">
        <f>VLOOKUP(A131,[2]Sheet1!$B$2:$C$184,2,0)</f>
        <v>070000162461</v>
      </c>
      <c r="C131" s="25">
        <v>19426.750000000004</v>
      </c>
      <c r="D131" s="49">
        <f t="shared" si="8"/>
        <v>19427</v>
      </c>
      <c r="E131" s="50" t="s">
        <v>1785</v>
      </c>
      <c r="F131" s="51" t="str">
        <f t="shared" si="9"/>
        <v>insert into ins_premium_det (premium_rcv_code,assorted_code, rec_amount,premium_rcv_detail_code,remaining_amt, payrec, mode_code,coinsurance_code,class_cd,it_remarks) values</v>
      </c>
      <c r="G131" s="52" t="str">
        <f t="shared" si="10"/>
        <v>('22Aug240008','070000162461','19427',(select max(to_number(i.premium_rcv_detail_code))+1
from ins_premium_det i),'19427','19427','02', '11000003','00','Request by Mr. Reheel Malik 22-Aug-2024 Renewal');</v>
      </c>
      <c r="H131" s="53" t="str">
        <f t="shared" si="11"/>
        <v>insert into ins_premium_det (premium_rcv_code,assorted_code, rec_amount,premium_rcv_detail_code,remaining_amt, payrec, mode_code,coinsurance_code,class_cd,it_remarks) values('22Aug240008','070000162461','19427',(select max(to_number(i.premium_rcv_detail_code))+1
from ins_premium_det i),'19427','19427','02', '11000003','00','Request by Mr. Reheel Malik 22-Aug-2024 Renewal');</v>
      </c>
    </row>
    <row r="132" spans="1:8" ht="20.25" customHeight="1" x14ac:dyDescent="0.25">
      <c r="A132" s="29" t="s">
        <v>1437</v>
      </c>
      <c r="B132" s="48" t="str">
        <f>VLOOKUP(A132,[2]Sheet1!$B$2:$C$184,2,0)</f>
        <v>070000162467</v>
      </c>
      <c r="C132" s="25">
        <v>33007.625</v>
      </c>
      <c r="D132" s="49">
        <f t="shared" si="8"/>
        <v>33008</v>
      </c>
      <c r="E132" s="50" t="s">
        <v>1785</v>
      </c>
      <c r="F132" s="51" t="str">
        <f t="shared" si="9"/>
        <v>insert into ins_premium_det (premium_rcv_code,assorted_code, rec_amount,premium_rcv_detail_code,remaining_amt, payrec, mode_code,coinsurance_code,class_cd,it_remarks) values</v>
      </c>
      <c r="G132" s="52" t="str">
        <f t="shared" si="10"/>
        <v>('22Aug240008','070000162467','33008',(select max(to_number(i.premium_rcv_detail_code))+1
from ins_premium_det i),'33008','33008','02', '11000003','00','Request by Mr. Reheel Malik 22-Aug-2024 Renewal');</v>
      </c>
      <c r="H132" s="53" t="str">
        <f t="shared" si="11"/>
        <v>insert into ins_premium_det (premium_rcv_code,assorted_code, rec_amount,premium_rcv_detail_code,remaining_amt, payrec, mode_code,coinsurance_code,class_cd,it_remarks) values('22Aug240008','070000162467','33008',(select max(to_number(i.premium_rcv_detail_code))+1
from ins_premium_det i),'33008','33008','02', '11000003','00','Request by Mr. Reheel Malik 22-Aug-2024 Renewal');</v>
      </c>
    </row>
    <row r="133" spans="1:8" ht="20.25" customHeight="1" x14ac:dyDescent="0.25">
      <c r="A133" s="29" t="s">
        <v>1444</v>
      </c>
      <c r="B133" s="48" t="str">
        <f>VLOOKUP(A133,[2]Sheet1!$B$2:$C$184,2,0)</f>
        <v>070000162475</v>
      </c>
      <c r="C133" s="25">
        <v>32257.5</v>
      </c>
      <c r="D133" s="49">
        <f t="shared" si="8"/>
        <v>32258</v>
      </c>
      <c r="E133" s="50" t="s">
        <v>1785</v>
      </c>
      <c r="F133" s="51" t="str">
        <f t="shared" si="9"/>
        <v>insert into ins_premium_det (premium_rcv_code,assorted_code, rec_amount,premium_rcv_detail_code,remaining_amt, payrec, mode_code,coinsurance_code,class_cd,it_remarks) values</v>
      </c>
      <c r="G133" s="52" t="str">
        <f t="shared" si="10"/>
        <v>('22Aug240008','070000162475','32258',(select max(to_number(i.premium_rcv_detail_code))+1
from ins_premium_det i),'32258','32258','02', '11000003','00','Request by Mr. Reheel Malik 22-Aug-2024 Renewal');</v>
      </c>
      <c r="H133" s="53" t="str">
        <f t="shared" si="11"/>
        <v>insert into ins_premium_det (premium_rcv_code,assorted_code, rec_amount,premium_rcv_detail_code,remaining_amt, payrec, mode_code,coinsurance_code,class_cd,it_remarks) values('22Aug240008','070000162475','32258',(select max(to_number(i.premium_rcv_detail_code))+1
from ins_premium_det i),'32258','32258','02', '11000003','00','Request by Mr. Reheel Malik 22-Aug-2024 Renewal');</v>
      </c>
    </row>
    <row r="134" spans="1:8" ht="20.25" customHeight="1" x14ac:dyDescent="0.25">
      <c r="A134" s="29" t="s">
        <v>1450</v>
      </c>
      <c r="B134" s="48" t="str">
        <f>VLOOKUP(A134,[2]Sheet1!$B$2:$C$184,2,0)</f>
        <v>070000162477</v>
      </c>
      <c r="C134" s="25">
        <v>43432.875</v>
      </c>
      <c r="D134" s="49">
        <f t="shared" si="8"/>
        <v>43433</v>
      </c>
      <c r="E134" s="50" t="s">
        <v>1785</v>
      </c>
      <c r="F134" s="51" t="str">
        <f t="shared" si="9"/>
        <v>insert into ins_premium_det (premium_rcv_code,assorted_code, rec_amount,premium_rcv_detail_code,remaining_amt, payrec, mode_code,coinsurance_code,class_cd,it_remarks) values</v>
      </c>
      <c r="G134" s="52" t="str">
        <f t="shared" si="10"/>
        <v>('22Aug240008','070000162477','43433',(select max(to_number(i.premium_rcv_detail_code))+1
from ins_premium_det i),'43433','43433','02', '11000003','00','Request by Mr. Reheel Malik 22-Aug-2024 Renewal');</v>
      </c>
      <c r="H134" s="53" t="str">
        <f t="shared" si="11"/>
        <v>insert into ins_premium_det (premium_rcv_code,assorted_code, rec_amount,premium_rcv_detail_code,remaining_amt, payrec, mode_code,coinsurance_code,class_cd,it_remarks) values('22Aug240008','070000162477','43433',(select max(to_number(i.premium_rcv_detail_code))+1
from ins_premium_det i),'43433','43433','02', '11000003','00','Request by Mr. Reheel Malik 22-Aug-2024 Renewal');</v>
      </c>
    </row>
    <row r="135" spans="1:8" ht="20.25" customHeight="1" x14ac:dyDescent="0.25">
      <c r="A135" s="29" t="s">
        <v>1458</v>
      </c>
      <c r="B135" s="48" t="str">
        <f>VLOOKUP(A135,[2]Sheet1!$B$2:$C$184,2,0)</f>
        <v>070000162479</v>
      </c>
      <c r="C135" s="25">
        <v>32852.5</v>
      </c>
      <c r="D135" s="49">
        <f t="shared" si="8"/>
        <v>32853</v>
      </c>
      <c r="E135" s="50" t="s">
        <v>1785</v>
      </c>
      <c r="F135" s="51" t="str">
        <f t="shared" si="9"/>
        <v>insert into ins_premium_det (premium_rcv_code,assorted_code, rec_amount,premium_rcv_detail_code,remaining_amt, payrec, mode_code,coinsurance_code,class_cd,it_remarks) values</v>
      </c>
      <c r="G135" s="52" t="str">
        <f t="shared" si="10"/>
        <v>('22Aug240008','070000162479','32853',(select max(to_number(i.premium_rcv_detail_code))+1
from ins_premium_det i),'32853','32853','02', '11000003','00','Request by Mr. Reheel Malik 22-Aug-2024 Renewal');</v>
      </c>
      <c r="H135" s="53" t="str">
        <f t="shared" si="11"/>
        <v>insert into ins_premium_det (premium_rcv_code,assorted_code, rec_amount,premium_rcv_detail_code,remaining_amt, payrec, mode_code,coinsurance_code,class_cd,it_remarks) values('22Aug240008','070000162479','32853',(select max(to_number(i.premium_rcv_detail_code))+1
from ins_premium_det i),'32853','32853','02', '11000003','00','Request by Mr. Reheel Malik 22-Aug-2024 Renewal');</v>
      </c>
    </row>
    <row r="136" spans="1:8" ht="20.25" customHeight="1" x14ac:dyDescent="0.25">
      <c r="A136" s="29" t="s">
        <v>1465</v>
      </c>
      <c r="B136" s="48" t="str">
        <f>VLOOKUP(A136,[2]Sheet1!$B$2:$C$184,2,0)</f>
        <v>070000162578</v>
      </c>
      <c r="C136" s="25">
        <v>45601.875</v>
      </c>
      <c r="D136" s="49">
        <f t="shared" si="8"/>
        <v>45602</v>
      </c>
      <c r="E136" s="50" t="s">
        <v>1785</v>
      </c>
      <c r="F136" s="51" t="str">
        <f t="shared" si="9"/>
        <v>insert into ins_premium_det (premium_rcv_code,assorted_code, rec_amount,premium_rcv_detail_code,remaining_amt, payrec, mode_code,coinsurance_code,class_cd,it_remarks) values</v>
      </c>
      <c r="G136" s="52" t="str">
        <f t="shared" si="10"/>
        <v>('22Aug240008','070000162578','45602',(select max(to_number(i.premium_rcv_detail_code))+1
from ins_premium_det i),'45602','45602','02', '11000003','00','Request by Mr. Reheel Malik 22-Aug-2024 Renewal');</v>
      </c>
      <c r="H136" s="53" t="str">
        <f t="shared" si="11"/>
        <v>insert into ins_premium_det (premium_rcv_code,assorted_code, rec_amount,premium_rcv_detail_code,remaining_amt, payrec, mode_code,coinsurance_code,class_cd,it_remarks) values('22Aug240008','070000162578','45602',(select max(to_number(i.premium_rcv_detail_code))+1
from ins_premium_det i),'45602','45602','02', '11000003','00','Request by Mr. Reheel Malik 22-Aug-2024 Renewal');</v>
      </c>
    </row>
    <row r="137" spans="1:8" ht="20.25" customHeight="1" x14ac:dyDescent="0.25">
      <c r="A137" s="29" t="s">
        <v>1471</v>
      </c>
      <c r="B137" s="48" t="str">
        <f>VLOOKUP(A137,[2]Sheet1!$B$2:$C$184,2,0)</f>
        <v>070000162484</v>
      </c>
      <c r="C137" s="25">
        <v>69455.625</v>
      </c>
      <c r="D137" s="49">
        <f t="shared" si="8"/>
        <v>69456</v>
      </c>
      <c r="E137" s="50" t="s">
        <v>1785</v>
      </c>
      <c r="F137" s="51" t="str">
        <f t="shared" si="9"/>
        <v>insert into ins_premium_det (premium_rcv_code,assorted_code, rec_amount,premium_rcv_detail_code,remaining_amt, payrec, mode_code,coinsurance_code,class_cd,it_remarks) values</v>
      </c>
      <c r="G137" s="52" t="str">
        <f t="shared" si="10"/>
        <v>('22Aug240008','070000162484','69456',(select max(to_number(i.premium_rcv_detail_code))+1
from ins_premium_det i),'69456','69456','02', '11000003','00','Request by Mr. Reheel Malik 22-Aug-2024 Renewal');</v>
      </c>
      <c r="H137" s="53" t="str">
        <f t="shared" si="11"/>
        <v>insert into ins_premium_det (premium_rcv_code,assorted_code, rec_amount,premium_rcv_detail_code,remaining_amt, payrec, mode_code,coinsurance_code,class_cd,it_remarks) values('22Aug240008','070000162484','69456',(select max(to_number(i.premium_rcv_detail_code))+1
from ins_premium_det i),'69456','69456','02', '11000003','00','Request by Mr. Reheel Malik 22-Aug-2024 Renewal');</v>
      </c>
    </row>
    <row r="138" spans="1:8" ht="20.25" customHeight="1" x14ac:dyDescent="0.25">
      <c r="A138" s="29" t="s">
        <v>1479</v>
      </c>
      <c r="B138" s="48" t="str">
        <f>VLOOKUP(A138,[2]Sheet1!$B$2:$C$184,2,0)</f>
        <v>070000162486</v>
      </c>
      <c r="C138" s="25">
        <v>37123.75</v>
      </c>
      <c r="D138" s="49">
        <f t="shared" si="8"/>
        <v>37124</v>
      </c>
      <c r="E138" s="50" t="s">
        <v>1785</v>
      </c>
      <c r="F138" s="51" t="str">
        <f t="shared" si="9"/>
        <v>insert into ins_premium_det (premium_rcv_code,assorted_code, rec_amount,premium_rcv_detail_code,remaining_amt, payrec, mode_code,coinsurance_code,class_cd,it_remarks) values</v>
      </c>
      <c r="G138" s="52" t="str">
        <f t="shared" si="10"/>
        <v>('22Aug240008','070000162486','37124',(select max(to_number(i.premium_rcv_detail_code))+1
from ins_premium_det i),'37124','37124','02', '11000003','00','Request by Mr. Reheel Malik 22-Aug-2024 Renewal');</v>
      </c>
      <c r="H138" s="53" t="str">
        <f t="shared" si="11"/>
        <v>insert into ins_premium_det (premium_rcv_code,assorted_code, rec_amount,premium_rcv_detail_code,remaining_amt, payrec, mode_code,coinsurance_code,class_cd,it_remarks) values('22Aug240008','070000162486','37124',(select max(to_number(i.premium_rcv_detail_code))+1
from ins_premium_det i),'37124','37124','02', '11000003','00','Request by Mr. Reheel Malik 22-Aug-2024 Renewal');</v>
      </c>
    </row>
    <row r="139" spans="1:8" ht="20.25" customHeight="1" x14ac:dyDescent="0.25">
      <c r="A139" s="29" t="s">
        <v>1487</v>
      </c>
      <c r="B139" s="48" t="str">
        <f>VLOOKUP(A139,[2]Sheet1!$B$2:$C$184,2,0)</f>
        <v>070000162487</v>
      </c>
      <c r="C139" s="25">
        <v>60753.75</v>
      </c>
      <c r="D139" s="49">
        <f t="shared" si="8"/>
        <v>60754</v>
      </c>
      <c r="E139" s="50" t="s">
        <v>1785</v>
      </c>
      <c r="F139" s="51" t="str">
        <f t="shared" si="9"/>
        <v>insert into ins_premium_det (premium_rcv_code,assorted_code, rec_amount,premium_rcv_detail_code,remaining_amt, payrec, mode_code,coinsurance_code,class_cd,it_remarks) values</v>
      </c>
      <c r="G139" s="52" t="str">
        <f t="shared" si="10"/>
        <v>('22Aug240008','070000162487','60754',(select max(to_number(i.premium_rcv_detail_code))+1
from ins_premium_det i),'60754','60754','02', '11000003','00','Request by Mr. Reheel Malik 22-Aug-2024 Renewal');</v>
      </c>
      <c r="H139" s="53" t="str">
        <f t="shared" si="11"/>
        <v>insert into ins_premium_det (premium_rcv_code,assorted_code, rec_amount,premium_rcv_detail_code,remaining_amt, payrec, mode_code,coinsurance_code,class_cd,it_remarks) values('22Aug240008','070000162487','60754',(select max(to_number(i.premium_rcv_detail_code))+1
from ins_premium_det i),'60754','60754','02', '11000003','00','Request by Mr. Reheel Malik 22-Aug-2024 Renewal');</v>
      </c>
    </row>
    <row r="140" spans="1:8" ht="20.25" customHeight="1" x14ac:dyDescent="0.25">
      <c r="A140" s="29" t="s">
        <v>1495</v>
      </c>
      <c r="B140" s="48" t="str">
        <f>VLOOKUP(A140,[2]Sheet1!$B$2:$C$184,2,0)</f>
        <v>070000162488</v>
      </c>
      <c r="C140" s="25">
        <v>19426.750000000004</v>
      </c>
      <c r="D140" s="49">
        <f t="shared" si="8"/>
        <v>19427</v>
      </c>
      <c r="E140" s="50" t="s">
        <v>1785</v>
      </c>
      <c r="F140" s="51" t="str">
        <f t="shared" si="9"/>
        <v>insert into ins_premium_det (premium_rcv_code,assorted_code, rec_amount,premium_rcv_detail_code,remaining_amt, payrec, mode_code,coinsurance_code,class_cd,it_remarks) values</v>
      </c>
      <c r="G140" s="52" t="str">
        <f t="shared" si="10"/>
        <v>('22Aug240008','070000162488','19427',(select max(to_number(i.premium_rcv_detail_code))+1
from ins_premium_det i),'19427','19427','02', '11000003','00','Request by Mr. Reheel Malik 22-Aug-2024 Renewal');</v>
      </c>
      <c r="H140" s="53" t="str">
        <f t="shared" si="11"/>
        <v>insert into ins_premium_det (premium_rcv_code,assorted_code, rec_amount,premium_rcv_detail_code,remaining_amt, payrec, mode_code,coinsurance_code,class_cd,it_remarks) values('22Aug240008','070000162488','19427',(select max(to_number(i.premium_rcv_detail_code))+1
from ins_premium_det i),'19427','19427','02', '11000003','00','Request by Mr. Reheel Malik 22-Aug-2024 Renewal');</v>
      </c>
    </row>
    <row r="141" spans="1:8" ht="20.25" customHeight="1" x14ac:dyDescent="0.25">
      <c r="A141" s="29" t="s">
        <v>1502</v>
      </c>
      <c r="B141" s="48" t="str">
        <f>VLOOKUP(A141,[2]Sheet1!$B$2:$C$184,2,0)</f>
        <v>070000162489</v>
      </c>
      <c r="C141" s="25">
        <v>19426.750000000004</v>
      </c>
      <c r="D141" s="49">
        <f t="shared" si="8"/>
        <v>19427</v>
      </c>
      <c r="E141" s="50" t="s">
        <v>1785</v>
      </c>
      <c r="F141" s="51" t="str">
        <f t="shared" si="9"/>
        <v>insert into ins_premium_det (premium_rcv_code,assorted_code, rec_amount,premium_rcv_detail_code,remaining_amt, payrec, mode_code,coinsurance_code,class_cd,it_remarks) values</v>
      </c>
      <c r="G141" s="52" t="str">
        <f t="shared" si="10"/>
        <v>('22Aug240008','070000162489','19427',(select max(to_number(i.premium_rcv_detail_code))+1
from ins_premium_det i),'19427','19427','02', '11000003','00','Request by Mr. Reheel Malik 22-Aug-2024 Renewal');</v>
      </c>
      <c r="H141" s="53" t="str">
        <f t="shared" si="11"/>
        <v>insert into ins_premium_det (premium_rcv_code,assorted_code, rec_amount,premium_rcv_detail_code,remaining_amt, payrec, mode_code,coinsurance_code,class_cd,it_remarks) values('22Aug240008','070000162489','19427',(select max(to_number(i.premium_rcv_detail_code))+1
from ins_premium_det i),'19427','19427','02', '11000003','00','Request by Mr. Reheel Malik 22-Aug-2024 Renewal');</v>
      </c>
    </row>
    <row r="142" spans="1:8" ht="20.25" customHeight="1" x14ac:dyDescent="0.25">
      <c r="A142" s="29" t="s">
        <v>1508</v>
      </c>
      <c r="B142" s="48" t="str">
        <f>VLOOKUP(A142,[2]Sheet1!$B$2:$C$184,2,0)</f>
        <v>070000162495</v>
      </c>
      <c r="C142" s="25">
        <v>32852.5</v>
      </c>
      <c r="D142" s="49">
        <f t="shared" si="8"/>
        <v>32853</v>
      </c>
      <c r="E142" s="50" t="s">
        <v>1785</v>
      </c>
      <c r="F142" s="51" t="str">
        <f t="shared" si="9"/>
        <v>insert into ins_premium_det (premium_rcv_code,assorted_code, rec_amount,premium_rcv_detail_code,remaining_amt, payrec, mode_code,coinsurance_code,class_cd,it_remarks) values</v>
      </c>
      <c r="G142" s="52" t="str">
        <f t="shared" si="10"/>
        <v>('22Aug240008','070000162495','32853',(select max(to_number(i.premium_rcv_detail_code))+1
from ins_premium_det i),'32853','32853','02', '11000003','00','Request by Mr. Reheel Malik 22-Aug-2024 Renewal');</v>
      </c>
      <c r="H142" s="53" t="str">
        <f t="shared" si="11"/>
        <v>insert into ins_premium_det (premium_rcv_code,assorted_code, rec_amount,premium_rcv_detail_code,remaining_amt, payrec, mode_code,coinsurance_code,class_cd,it_remarks) values('22Aug240008','070000162495','32853',(select max(to_number(i.premium_rcv_detail_code))+1
from ins_premium_det i),'32853','32853','02', '11000003','00','Request by Mr. Reheel Malik 22-Aug-2024 Renewal');</v>
      </c>
    </row>
    <row r="143" spans="1:8" ht="20.25" customHeight="1" x14ac:dyDescent="0.25">
      <c r="A143" s="29" t="s">
        <v>1514</v>
      </c>
      <c r="B143" s="48" t="str">
        <f>VLOOKUP(A143,[2]Sheet1!$B$2:$C$184,2,0)</f>
        <v>070000161348</v>
      </c>
      <c r="C143" s="25">
        <v>53148.375000000007</v>
      </c>
      <c r="D143" s="49">
        <f t="shared" si="8"/>
        <v>53148</v>
      </c>
      <c r="E143" s="50" t="s">
        <v>1785</v>
      </c>
      <c r="F143" s="51" t="str">
        <f t="shared" si="9"/>
        <v>insert into ins_premium_det (premium_rcv_code,assorted_code, rec_amount,premium_rcv_detail_code,remaining_amt, payrec, mode_code,coinsurance_code,class_cd,it_remarks) values</v>
      </c>
      <c r="G143" s="52" t="str">
        <f t="shared" si="10"/>
        <v>('22Aug240008','070000161348','53148',(select max(to_number(i.premium_rcv_detail_code))+1
from ins_premium_det i),'53148','53148','02', '11000003','00','Request by Mr. Reheel Malik 22-Aug-2024 Renewal');</v>
      </c>
      <c r="H143" s="53" t="str">
        <f t="shared" si="11"/>
        <v>insert into ins_premium_det (premium_rcv_code,assorted_code, rec_amount,premium_rcv_detail_code,remaining_amt, payrec, mode_code,coinsurance_code,class_cd,it_remarks) values('22Aug240008','070000161348','53148',(select max(to_number(i.premium_rcv_detail_code))+1
from ins_premium_det i),'53148','53148','02', '11000003','00','Request by Mr. Reheel Malik 22-Aug-2024 Renewal');</v>
      </c>
    </row>
    <row r="144" spans="1:8" ht="20.25" customHeight="1" x14ac:dyDescent="0.25">
      <c r="A144" s="29" t="s">
        <v>1523</v>
      </c>
      <c r="B144" s="48" t="str">
        <f>VLOOKUP(A144,[2]Sheet1!$B$2:$C$184,2,0)</f>
        <v>070000161357</v>
      </c>
      <c r="C144" s="25">
        <v>29176.25</v>
      </c>
      <c r="D144" s="49">
        <f t="shared" si="8"/>
        <v>29176</v>
      </c>
      <c r="E144" s="50" t="s">
        <v>1785</v>
      </c>
      <c r="F144" s="51" t="str">
        <f t="shared" si="9"/>
        <v>insert into ins_premium_det (premium_rcv_code,assorted_code, rec_amount,premium_rcv_detail_code,remaining_amt, payrec, mode_code,coinsurance_code,class_cd,it_remarks) values</v>
      </c>
      <c r="G144" s="52" t="str">
        <f t="shared" si="10"/>
        <v>('22Aug240008','070000161357','29176',(select max(to_number(i.premium_rcv_detail_code))+1
from ins_premium_det i),'29176','29176','02', '11000003','00','Request by Mr. Reheel Malik 22-Aug-2024 Renewal');</v>
      </c>
      <c r="H144" s="53" t="str">
        <f t="shared" si="11"/>
        <v>insert into ins_premium_det (premium_rcv_code,assorted_code, rec_amount,premium_rcv_detail_code,remaining_amt, payrec, mode_code,coinsurance_code,class_cd,it_remarks) values('22Aug240008','070000161357','29176',(select max(to_number(i.premium_rcv_detail_code))+1
from ins_premium_det i),'29176','29176','02', '11000003','00','Request by Mr. Reheel Malik 22-Aug-2024 Renewal');</v>
      </c>
    </row>
    <row r="145" spans="1:8" ht="20.25" customHeight="1" x14ac:dyDescent="0.25">
      <c r="A145" s="29" t="s">
        <v>1529</v>
      </c>
      <c r="B145" s="48" t="str">
        <f>VLOOKUP(A145,[2]Sheet1!$B$2:$C$184,2,0)</f>
        <v>070000161353</v>
      </c>
      <c r="C145" s="25">
        <v>22996.750000000004</v>
      </c>
      <c r="D145" s="49">
        <f t="shared" si="8"/>
        <v>22997</v>
      </c>
      <c r="E145" s="50" t="s">
        <v>1785</v>
      </c>
      <c r="F145" s="51" t="str">
        <f t="shared" si="9"/>
        <v>insert into ins_premium_det (premium_rcv_code,assorted_code, rec_amount,premium_rcv_detail_code,remaining_amt, payrec, mode_code,coinsurance_code,class_cd,it_remarks) values</v>
      </c>
      <c r="G145" s="52" t="str">
        <f t="shared" si="10"/>
        <v>('22Aug240008','070000161353','22997',(select max(to_number(i.premium_rcv_detail_code))+1
from ins_premium_det i),'22997','22997','02', '11000003','00','Request by Mr. Reheel Malik 22-Aug-2024 Renewal');</v>
      </c>
      <c r="H145" s="53" t="str">
        <f t="shared" si="11"/>
        <v>insert into ins_premium_det (premium_rcv_code,assorted_code, rec_amount,premium_rcv_detail_code,remaining_amt, payrec, mode_code,coinsurance_code,class_cd,it_remarks) values('22Aug240008','070000161353','22997',(select max(to_number(i.premium_rcv_detail_code))+1
from ins_premium_det i),'22997','22997','02', '11000003','00','Request by Mr. Reheel Malik 22-Aug-2024 Renewal');</v>
      </c>
    </row>
    <row r="146" spans="1:8" ht="20.25" customHeight="1" x14ac:dyDescent="0.25">
      <c r="A146" s="29" t="s">
        <v>1535</v>
      </c>
      <c r="B146" s="48" t="str">
        <f>VLOOKUP(A146,[2]Sheet1!$B$2:$C$184,2,0)</f>
        <v>070000161324</v>
      </c>
      <c r="C146" s="25">
        <v>28037.25</v>
      </c>
      <c r="D146" s="49">
        <f t="shared" si="8"/>
        <v>28037</v>
      </c>
      <c r="E146" s="50" t="s">
        <v>1785</v>
      </c>
      <c r="F146" s="51" t="str">
        <f t="shared" si="9"/>
        <v>insert into ins_premium_det (premium_rcv_code,assorted_code, rec_amount,premium_rcv_detail_code,remaining_amt, payrec, mode_code,coinsurance_code,class_cd,it_remarks) values</v>
      </c>
      <c r="G146" s="52" t="str">
        <f t="shared" si="10"/>
        <v>('22Aug240008','070000161324','28037',(select max(to_number(i.premium_rcv_detail_code))+1
from ins_premium_det i),'28037','28037','02', '11000003','00','Request by Mr. Reheel Malik 22-Aug-2024 Renewal');</v>
      </c>
      <c r="H146" s="53" t="str">
        <f t="shared" si="11"/>
        <v>insert into ins_premium_det (premium_rcv_code,assorted_code, rec_amount,premium_rcv_detail_code,remaining_amt, payrec, mode_code,coinsurance_code,class_cd,it_remarks) values('22Aug240008','070000161324','28037',(select max(to_number(i.premium_rcv_detail_code))+1
from ins_premium_det i),'28037','28037','02', '11000003','00','Request by Mr. Reheel Malik 22-Aug-2024 Renewal');</v>
      </c>
    </row>
    <row r="147" spans="1:8" ht="20.25" customHeight="1" x14ac:dyDescent="0.25">
      <c r="A147" s="29" t="s">
        <v>1541</v>
      </c>
      <c r="B147" s="48" t="str">
        <f>VLOOKUP(A147,[2]Sheet1!$B$2:$C$184,2,0)</f>
        <v>070000161330</v>
      </c>
      <c r="C147" s="25">
        <v>22996.750000000004</v>
      </c>
      <c r="D147" s="49">
        <f t="shared" si="8"/>
        <v>22997</v>
      </c>
      <c r="E147" s="50" t="s">
        <v>1785</v>
      </c>
      <c r="F147" s="51" t="str">
        <f t="shared" si="9"/>
        <v>insert into ins_premium_det (premium_rcv_code,assorted_code, rec_amount,premium_rcv_detail_code,remaining_amt, payrec, mode_code,coinsurance_code,class_cd,it_remarks) values</v>
      </c>
      <c r="G147" s="52" t="str">
        <f t="shared" si="10"/>
        <v>('22Aug240008','070000161330','22997',(select max(to_number(i.premium_rcv_detail_code))+1
from ins_premium_det i),'22997','22997','02', '11000003','00','Request by Mr. Reheel Malik 22-Aug-2024 Renewal');</v>
      </c>
      <c r="H147" s="53" t="str">
        <f t="shared" si="11"/>
        <v>insert into ins_premium_det (premium_rcv_code,assorted_code, rec_amount,premium_rcv_detail_code,remaining_amt, payrec, mode_code,coinsurance_code,class_cd,it_remarks) values('22Aug240008','070000161330','22997',(select max(to_number(i.premium_rcv_detail_code))+1
from ins_premium_det i),'22997','22997','02', '11000003','00','Request by Mr. Reheel Malik 22-Aug-2024 Renewal');</v>
      </c>
    </row>
    <row r="148" spans="1:8" ht="20.25" customHeight="1" x14ac:dyDescent="0.25">
      <c r="A148" s="29" t="s">
        <v>1547</v>
      </c>
      <c r="B148" s="48" t="str">
        <f>VLOOKUP(A148,[2]Sheet1!$B$2:$C$184,2,0)</f>
        <v>070000161366</v>
      </c>
      <c r="C148" s="25">
        <v>22996.750000000004</v>
      </c>
      <c r="D148" s="49">
        <f t="shared" si="8"/>
        <v>22997</v>
      </c>
      <c r="E148" s="50" t="s">
        <v>1785</v>
      </c>
      <c r="F148" s="51" t="str">
        <f t="shared" si="9"/>
        <v>insert into ins_premium_det (premium_rcv_code,assorted_code, rec_amount,premium_rcv_detail_code,remaining_amt, payrec, mode_code,coinsurance_code,class_cd,it_remarks) values</v>
      </c>
      <c r="G148" s="52" t="str">
        <f t="shared" si="10"/>
        <v>('22Aug240008','070000161366','22997',(select max(to_number(i.premium_rcv_detail_code))+1
from ins_premium_det i),'22997','22997','02', '11000003','00','Request by Mr. Reheel Malik 22-Aug-2024 Renewal');</v>
      </c>
      <c r="H148" s="53" t="str">
        <f t="shared" si="11"/>
        <v>insert into ins_premium_det (premium_rcv_code,assorted_code, rec_amount,premium_rcv_detail_code,remaining_amt, payrec, mode_code,coinsurance_code,class_cd,it_remarks) values('22Aug240008','070000161366','22997',(select max(to_number(i.premium_rcv_detail_code))+1
from ins_premium_det i),'22997','22997','02', '11000003','00','Request by Mr. Reheel Malik 22-Aug-2024 Renewal');</v>
      </c>
    </row>
    <row r="149" spans="1:8" ht="20.25" customHeight="1" x14ac:dyDescent="0.25">
      <c r="A149" s="29" t="s">
        <v>1553</v>
      </c>
      <c r="B149" s="48" t="str">
        <f>VLOOKUP(A149,[2]Sheet1!$B$2:$C$184,2,0)</f>
        <v>070000161340</v>
      </c>
      <c r="C149" s="25">
        <v>28037.25</v>
      </c>
      <c r="D149" s="49">
        <f t="shared" si="8"/>
        <v>28037</v>
      </c>
      <c r="E149" s="50" t="s">
        <v>1785</v>
      </c>
      <c r="F149" s="51" t="str">
        <f t="shared" si="9"/>
        <v>insert into ins_premium_det (premium_rcv_code,assorted_code, rec_amount,premium_rcv_detail_code,remaining_amt, payrec, mode_code,coinsurance_code,class_cd,it_remarks) values</v>
      </c>
      <c r="G149" s="52" t="str">
        <f t="shared" si="10"/>
        <v>('22Aug240008','070000161340','28037',(select max(to_number(i.premium_rcv_detail_code))+1
from ins_premium_det i),'28037','28037','02', '11000003','00','Request by Mr. Reheel Malik 22-Aug-2024 Renewal');</v>
      </c>
      <c r="H149" s="53" t="str">
        <f t="shared" si="11"/>
        <v>insert into ins_premium_det (premium_rcv_code,assorted_code, rec_amount,premium_rcv_detail_code,remaining_amt, payrec, mode_code,coinsurance_code,class_cd,it_remarks) values('22Aug240008','070000161340','28037',(select max(to_number(i.premium_rcv_detail_code))+1
from ins_premium_det i),'28037','28037','02', '11000003','00','Request by Mr. Reheel Malik 22-Aug-2024 Renewal');</v>
      </c>
    </row>
    <row r="150" spans="1:8" ht="20.25" customHeight="1" x14ac:dyDescent="0.25">
      <c r="A150" s="29" t="s">
        <v>1559</v>
      </c>
      <c r="B150" s="48" t="str">
        <f>VLOOKUP(A150,[2]Sheet1!$B$2:$C$184,2,0)</f>
        <v>070000161311</v>
      </c>
      <c r="C150" s="25">
        <v>36826.25</v>
      </c>
      <c r="D150" s="49">
        <f t="shared" si="8"/>
        <v>36826</v>
      </c>
      <c r="E150" s="50" t="s">
        <v>1785</v>
      </c>
      <c r="F150" s="51" t="str">
        <f t="shared" si="9"/>
        <v>insert into ins_premium_det (premium_rcv_code,assorted_code, rec_amount,premium_rcv_detail_code,remaining_amt, payrec, mode_code,coinsurance_code,class_cd,it_remarks) values</v>
      </c>
      <c r="G150" s="52" t="str">
        <f t="shared" si="10"/>
        <v>('22Aug240008','070000161311','36826',(select max(to_number(i.premium_rcv_detail_code))+1
from ins_premium_det i),'36826','36826','02', '11000003','00','Request by Mr. Reheel Malik 22-Aug-2024 Renewal');</v>
      </c>
      <c r="H150" s="53" t="str">
        <f t="shared" si="11"/>
        <v>insert into ins_premium_det (premium_rcv_code,assorted_code, rec_amount,premium_rcv_detail_code,remaining_amt, payrec, mode_code,coinsurance_code,class_cd,it_remarks) values('22Aug240008','070000161311','36826',(select max(to_number(i.premium_rcv_detail_code))+1
from ins_premium_det i),'36826','36826','02', '11000003','00','Request by Mr. Reheel Malik 22-Aug-2024 Renewal');</v>
      </c>
    </row>
    <row r="151" spans="1:8" ht="20.25" customHeight="1" x14ac:dyDescent="0.25">
      <c r="A151" s="29" t="s">
        <v>1566</v>
      </c>
      <c r="B151" s="48" t="str">
        <f>VLOOKUP(A151,[2]Sheet1!$B$2:$C$184,2,0)</f>
        <v>070000161303</v>
      </c>
      <c r="C151" s="25">
        <v>29325</v>
      </c>
      <c r="D151" s="49">
        <f t="shared" si="8"/>
        <v>29325</v>
      </c>
      <c r="E151" s="50" t="s">
        <v>1785</v>
      </c>
      <c r="F151" s="51" t="str">
        <f t="shared" si="9"/>
        <v>insert into ins_premium_det (premium_rcv_code,assorted_code, rec_amount,premium_rcv_detail_code,remaining_amt, payrec, mode_code,coinsurance_code,class_cd,it_remarks) values</v>
      </c>
      <c r="G151" s="52" t="str">
        <f t="shared" si="10"/>
        <v>('22Aug240008','070000161303','29325',(select max(to_number(i.premium_rcv_detail_code))+1
from ins_premium_det i),'29325','29325','02', '11000003','00','Request by Mr. Reheel Malik 22-Aug-2024 Renewal');</v>
      </c>
      <c r="H151" s="53" t="str">
        <f t="shared" si="11"/>
        <v>insert into ins_premium_det (premium_rcv_code,assorted_code, rec_amount,premium_rcv_detail_code,remaining_amt, payrec, mode_code,coinsurance_code,class_cd,it_remarks) values('22Aug240008','070000161303','29325',(select max(to_number(i.premium_rcv_detail_code))+1
from ins_premium_det i),'29325','29325','02', '11000003','00','Request by Mr. Reheel Malik 22-Aug-2024 Renewal');</v>
      </c>
    </row>
    <row r="152" spans="1:8" ht="20.25" customHeight="1" x14ac:dyDescent="0.25">
      <c r="A152" s="29" t="s">
        <v>1573</v>
      </c>
      <c r="B152" s="48" t="str">
        <f>VLOOKUP(A152,[2]Sheet1!$B$2:$C$184,2,0)</f>
        <v>070000161339</v>
      </c>
      <c r="C152" s="25">
        <v>30587.25</v>
      </c>
      <c r="D152" s="49">
        <f t="shared" si="8"/>
        <v>30587</v>
      </c>
      <c r="E152" s="50" t="s">
        <v>1785</v>
      </c>
      <c r="F152" s="51" t="str">
        <f t="shared" si="9"/>
        <v>insert into ins_premium_det (premium_rcv_code,assorted_code, rec_amount,premium_rcv_detail_code,remaining_amt, payrec, mode_code,coinsurance_code,class_cd,it_remarks) values</v>
      </c>
      <c r="G152" s="52" t="str">
        <f t="shared" si="10"/>
        <v>('22Aug240008','070000161339','30587',(select max(to_number(i.premium_rcv_detail_code))+1
from ins_premium_det i),'30587','30587','02', '11000003','00','Request by Mr. Reheel Malik 22-Aug-2024 Renewal');</v>
      </c>
      <c r="H152" s="53" t="str">
        <f t="shared" si="11"/>
        <v>insert into ins_premium_det (premium_rcv_code,assorted_code, rec_amount,premium_rcv_detail_code,remaining_amt, payrec, mode_code,coinsurance_code,class_cd,it_remarks) values('22Aug240008','070000161339','30587',(select max(to_number(i.premium_rcv_detail_code))+1
from ins_premium_det i),'30587','30587','02', '11000003','00','Request by Mr. Reheel Malik 22-Aug-2024 Renewal');</v>
      </c>
    </row>
    <row r="153" spans="1:8" ht="20.25" customHeight="1" x14ac:dyDescent="0.25">
      <c r="A153" s="29" t="s">
        <v>1579</v>
      </c>
      <c r="B153" s="48" t="str">
        <f>VLOOKUP(A153,[2]Sheet1!$B$2:$C$184,2,0)</f>
        <v>070000159172</v>
      </c>
      <c r="C153" s="25">
        <v>133071.75</v>
      </c>
      <c r="D153" s="49">
        <f t="shared" si="8"/>
        <v>133072</v>
      </c>
      <c r="E153" s="50" t="s">
        <v>1785</v>
      </c>
      <c r="F153" s="51" t="str">
        <f t="shared" si="9"/>
        <v>insert into ins_premium_det (premium_rcv_code,assorted_code, rec_amount,premium_rcv_detail_code,remaining_amt, payrec, mode_code,coinsurance_code,class_cd,it_remarks) values</v>
      </c>
      <c r="G153" s="52" t="str">
        <f t="shared" si="10"/>
        <v>('22Aug240008','070000159172','133072',(select max(to_number(i.premium_rcv_detail_code))+1
from ins_premium_det i),'133072','133072','02', '11000003','00','Request by Mr. Reheel Malik 22-Aug-2024 Renewal');</v>
      </c>
      <c r="H153" s="53" t="str">
        <f t="shared" si="11"/>
        <v>insert into ins_premium_det (premium_rcv_code,assorted_code, rec_amount,premium_rcv_detail_code,remaining_amt, payrec, mode_code,coinsurance_code,class_cd,it_remarks) values('22Aug240008','070000159172','133072',(select max(to_number(i.premium_rcv_detail_code))+1
from ins_premium_det i),'133072','133072','02', '11000003','00','Request by Mr. Reheel Malik 22-Aug-2024 Renewal');</v>
      </c>
    </row>
    <row r="154" spans="1:8" ht="20.25" customHeight="1" x14ac:dyDescent="0.25">
      <c r="A154" s="29" t="s">
        <v>1587</v>
      </c>
      <c r="B154" s="48" t="str">
        <f>VLOOKUP(A154,[2]Sheet1!$B$2:$C$184,2,0)</f>
        <v>070000159196</v>
      </c>
      <c r="C154" s="25">
        <v>22996.750000000004</v>
      </c>
      <c r="D154" s="49">
        <f t="shared" si="8"/>
        <v>22997</v>
      </c>
      <c r="E154" s="50" t="s">
        <v>1785</v>
      </c>
      <c r="F154" s="51" t="str">
        <f t="shared" si="9"/>
        <v>insert into ins_premium_det (premium_rcv_code,assorted_code, rec_amount,premium_rcv_detail_code,remaining_amt, payrec, mode_code,coinsurance_code,class_cd,it_remarks) values</v>
      </c>
      <c r="G154" s="52" t="str">
        <f t="shared" si="10"/>
        <v>('22Aug240008','070000159196','22997',(select max(to_number(i.premium_rcv_detail_code))+1
from ins_premium_det i),'22997','22997','02', '11000003','00','Request by Mr. Reheel Malik 22-Aug-2024 Renewal');</v>
      </c>
      <c r="H154" s="53" t="str">
        <f t="shared" si="11"/>
        <v>insert into ins_premium_det (premium_rcv_code,assorted_code, rec_amount,premium_rcv_detail_code,remaining_amt, payrec, mode_code,coinsurance_code,class_cd,it_remarks) values('22Aug240008','070000159196','22997',(select max(to_number(i.premium_rcv_detail_code))+1
from ins_premium_det i),'22997','22997','02', '11000003','00','Request by Mr. Reheel Malik 22-Aug-2024 Renewal');</v>
      </c>
    </row>
    <row r="155" spans="1:8" ht="20.25" customHeight="1" x14ac:dyDescent="0.25">
      <c r="A155" s="29" t="s">
        <v>1593</v>
      </c>
      <c r="B155" s="48" t="str">
        <f>VLOOKUP(A155,[2]Sheet1!$B$2:$C$184,2,0)</f>
        <v>070000159211</v>
      </c>
      <c r="C155" s="25">
        <v>29378.125000000004</v>
      </c>
      <c r="D155" s="49">
        <f t="shared" si="8"/>
        <v>29378</v>
      </c>
      <c r="E155" s="50" t="s">
        <v>1785</v>
      </c>
      <c r="F155" s="51" t="str">
        <f t="shared" si="9"/>
        <v>insert into ins_premium_det (premium_rcv_code,assorted_code, rec_amount,premium_rcv_detail_code,remaining_amt, payrec, mode_code,coinsurance_code,class_cd,it_remarks) values</v>
      </c>
      <c r="G155" s="52" t="str">
        <f t="shared" si="10"/>
        <v>('22Aug240008','070000159211','29378',(select max(to_number(i.premium_rcv_detail_code))+1
from ins_premium_det i),'29378','29378','02', '11000003','00','Request by Mr. Reheel Malik 22-Aug-2024 Renewal');</v>
      </c>
      <c r="H155" s="53" t="str">
        <f t="shared" si="11"/>
        <v>insert into ins_premium_det (premium_rcv_code,assorted_code, rec_amount,premium_rcv_detail_code,remaining_amt, payrec, mode_code,coinsurance_code,class_cd,it_remarks) values('22Aug240008','070000159211','29378',(select max(to_number(i.premium_rcv_detail_code))+1
from ins_premium_det i),'29378','29378','02', '11000003','00','Request by Mr. Reheel Malik 22-Aug-2024 Renewal');</v>
      </c>
    </row>
    <row r="156" spans="1:8" ht="20.25" customHeight="1" x14ac:dyDescent="0.25">
      <c r="A156" s="29" t="s">
        <v>1599</v>
      </c>
      <c r="B156" s="48" t="str">
        <f>VLOOKUP(A156,[2]Sheet1!$B$2:$C$184,2,0)</f>
        <v>070000159173</v>
      </c>
      <c r="C156" s="25">
        <v>46728.75</v>
      </c>
      <c r="D156" s="49">
        <f t="shared" si="8"/>
        <v>46729</v>
      </c>
      <c r="E156" s="50" t="s">
        <v>1785</v>
      </c>
      <c r="F156" s="51" t="str">
        <f t="shared" si="9"/>
        <v>insert into ins_premium_det (premium_rcv_code,assorted_code, rec_amount,premium_rcv_detail_code,remaining_amt, payrec, mode_code,coinsurance_code,class_cd,it_remarks) values</v>
      </c>
      <c r="G156" s="52" t="str">
        <f t="shared" si="10"/>
        <v>('22Aug240008','070000159173','46729',(select max(to_number(i.premium_rcv_detail_code))+1
from ins_premium_det i),'46729','46729','02', '11000003','00','Request by Mr. Reheel Malik 22-Aug-2024 Renewal');</v>
      </c>
      <c r="H156" s="53" t="str">
        <f t="shared" si="11"/>
        <v>insert into ins_premium_det (premium_rcv_code,assorted_code, rec_amount,premium_rcv_detail_code,remaining_amt, payrec, mode_code,coinsurance_code,class_cd,it_remarks) values('22Aug240008','070000159173','46729',(select max(to_number(i.premium_rcv_detail_code))+1
from ins_premium_det i),'46729','46729','02', '11000003','00','Request by Mr. Reheel Malik 22-Aug-2024 Renewal');</v>
      </c>
    </row>
    <row r="157" spans="1:8" ht="20.25" customHeight="1" x14ac:dyDescent="0.25">
      <c r="A157" s="29" t="s">
        <v>1605</v>
      </c>
      <c r="B157" s="48" t="str">
        <f>VLOOKUP(A157,[2]Sheet1!$B$2:$C$184,2,0)</f>
        <v>070000159210</v>
      </c>
      <c r="C157" s="25">
        <v>45555.75</v>
      </c>
      <c r="D157" s="49">
        <f t="shared" si="8"/>
        <v>45556</v>
      </c>
      <c r="E157" s="50" t="s">
        <v>1785</v>
      </c>
      <c r="F157" s="51" t="str">
        <f t="shared" si="9"/>
        <v>insert into ins_premium_det (premium_rcv_code,assorted_code, rec_amount,premium_rcv_detail_code,remaining_amt, payrec, mode_code,coinsurance_code,class_cd,it_remarks) values</v>
      </c>
      <c r="G157" s="52" t="str">
        <f t="shared" si="10"/>
        <v>('22Aug240008','070000159210','45556',(select max(to_number(i.premium_rcv_detail_code))+1
from ins_premium_det i),'45556','45556','02', '11000003','00','Request by Mr. Reheel Malik 22-Aug-2024 Renewal');</v>
      </c>
      <c r="H157" s="53" t="str">
        <f t="shared" si="11"/>
        <v>insert into ins_premium_det (premium_rcv_code,assorted_code, rec_amount,premium_rcv_detail_code,remaining_amt, payrec, mode_code,coinsurance_code,class_cd,it_remarks) values('22Aug240008','070000159210','45556',(select max(to_number(i.premium_rcv_detail_code))+1
from ins_premium_det i),'45556','45556','02', '11000003','00','Request by Mr. Reheel Malik 22-Aug-2024 Renewal');</v>
      </c>
    </row>
    <row r="158" spans="1:8" ht="20.25" customHeight="1" x14ac:dyDescent="0.25">
      <c r="A158" s="29" t="s">
        <v>1613</v>
      </c>
      <c r="B158" s="48" t="str">
        <f>VLOOKUP(A158,[2]Sheet1!$B$2:$C$184,2,0)</f>
        <v>070000159225</v>
      </c>
      <c r="C158" s="25">
        <v>54485</v>
      </c>
      <c r="D158" s="49">
        <f t="shared" si="8"/>
        <v>54485</v>
      </c>
      <c r="E158" s="50" t="s">
        <v>1785</v>
      </c>
      <c r="F158" s="51" t="str">
        <f t="shared" si="9"/>
        <v>insert into ins_premium_det (premium_rcv_code,assorted_code, rec_amount,premium_rcv_detail_code,remaining_amt, payrec, mode_code,coinsurance_code,class_cd,it_remarks) values</v>
      </c>
      <c r="G158" s="52" t="str">
        <f t="shared" si="10"/>
        <v>('22Aug240008','070000159225','54485',(select max(to_number(i.premium_rcv_detail_code))+1
from ins_premium_det i),'54485','54485','02', '11000003','00','Request by Mr. Reheel Malik 22-Aug-2024 Renewal');</v>
      </c>
      <c r="H158" s="53" t="str">
        <f t="shared" si="11"/>
        <v>insert into ins_premium_det (premium_rcv_code,assorted_code, rec_amount,premium_rcv_detail_code,remaining_amt, payrec, mode_code,coinsurance_code,class_cd,it_remarks) values('22Aug240008','070000159225','54485',(select max(to_number(i.premium_rcv_detail_code))+1
from ins_premium_det i),'54485','54485','02', '11000003','00','Request by Mr. Reheel Malik 22-Aug-2024 Renewal');</v>
      </c>
    </row>
    <row r="159" spans="1:8" ht="20.25" customHeight="1" x14ac:dyDescent="0.25">
      <c r="A159" s="29" t="s">
        <v>1620</v>
      </c>
      <c r="B159" s="48" t="str">
        <f>VLOOKUP(A159,[2]Sheet1!$B$2:$C$184,2,0)</f>
        <v>070000159204</v>
      </c>
      <c r="C159" s="25">
        <v>28220</v>
      </c>
      <c r="D159" s="49">
        <f t="shared" si="8"/>
        <v>28220</v>
      </c>
      <c r="E159" s="50" t="s">
        <v>1785</v>
      </c>
      <c r="F159" s="51" t="str">
        <f t="shared" si="9"/>
        <v>insert into ins_premium_det (premium_rcv_code,assorted_code, rec_amount,premium_rcv_detail_code,remaining_amt, payrec, mode_code,coinsurance_code,class_cd,it_remarks) values</v>
      </c>
      <c r="G159" s="52" t="str">
        <f t="shared" si="10"/>
        <v>('22Aug240008','070000159204','28220',(select max(to_number(i.premium_rcv_detail_code))+1
from ins_premium_det i),'28220','28220','02', '11000003','00','Request by Mr. Reheel Malik 22-Aug-2024 Renewal');</v>
      </c>
      <c r="H159" s="53" t="str">
        <f t="shared" si="11"/>
        <v>insert into ins_premium_det (premium_rcv_code,assorted_code, rec_amount,premium_rcv_detail_code,remaining_amt, payrec, mode_code,coinsurance_code,class_cd,it_remarks) values('22Aug240008','070000159204','28220',(select max(to_number(i.premium_rcv_detail_code))+1
from ins_premium_det i),'28220','28220','02', '11000003','00','Request by Mr. Reheel Malik 22-Aug-2024 Renewal');</v>
      </c>
    </row>
    <row r="160" spans="1:8" ht="20.25" customHeight="1" x14ac:dyDescent="0.25">
      <c r="A160" s="29" t="s">
        <v>1626</v>
      </c>
      <c r="B160" s="48" t="str">
        <f>VLOOKUP(A160,[2]Sheet1!$B$2:$C$184,2,0)</f>
        <v>070000159188</v>
      </c>
      <c r="C160" s="25">
        <v>46728.75</v>
      </c>
      <c r="D160" s="49">
        <f t="shared" si="8"/>
        <v>46729</v>
      </c>
      <c r="E160" s="50" t="s">
        <v>1785</v>
      </c>
      <c r="F160" s="51" t="str">
        <f t="shared" si="9"/>
        <v>insert into ins_premium_det (premium_rcv_code,assorted_code, rec_amount,premium_rcv_detail_code,remaining_amt, payrec, mode_code,coinsurance_code,class_cd,it_remarks) values</v>
      </c>
      <c r="G160" s="52" t="str">
        <f t="shared" si="10"/>
        <v>('22Aug240008','070000159188','46729',(select max(to_number(i.premium_rcv_detail_code))+1
from ins_premium_det i),'46729','46729','02', '11000003','00','Request by Mr. Reheel Malik 22-Aug-2024 Renewal');</v>
      </c>
      <c r="H160" s="53" t="str">
        <f t="shared" si="11"/>
        <v>insert into ins_premium_det (premium_rcv_code,assorted_code, rec_amount,premium_rcv_detail_code,remaining_amt, payrec, mode_code,coinsurance_code,class_cd,it_remarks) values('22Aug240008','070000159188','46729',(select max(to_number(i.premium_rcv_detail_code))+1
from ins_premium_det i),'46729','46729','02', '11000003','00','Request by Mr. Reheel Malik 22-Aug-2024 Renewal');</v>
      </c>
    </row>
    <row r="161" spans="1:8" ht="20.25" customHeight="1" x14ac:dyDescent="0.25">
      <c r="A161" s="29" t="s">
        <v>1632</v>
      </c>
      <c r="B161" s="48" t="str">
        <f>VLOOKUP(A161,[2]Sheet1!$B$2:$C$184,2,0)</f>
        <v>070000159182</v>
      </c>
      <c r="C161" s="25">
        <v>22996.750000000004</v>
      </c>
      <c r="D161" s="49">
        <f t="shared" si="8"/>
        <v>22997</v>
      </c>
      <c r="E161" s="50" t="s">
        <v>1785</v>
      </c>
      <c r="F161" s="51" t="str">
        <f t="shared" si="9"/>
        <v>insert into ins_premium_det (premium_rcv_code,assorted_code, rec_amount,premium_rcv_detail_code,remaining_amt, payrec, mode_code,coinsurance_code,class_cd,it_remarks) values</v>
      </c>
      <c r="G161" s="52" t="str">
        <f t="shared" si="10"/>
        <v>('22Aug240008','070000159182','22997',(select max(to_number(i.premium_rcv_detail_code))+1
from ins_premium_det i),'22997','22997','02', '11000003','00','Request by Mr. Reheel Malik 22-Aug-2024 Renewal');</v>
      </c>
      <c r="H161" s="53" t="str">
        <f t="shared" si="11"/>
        <v>insert into ins_premium_det (premium_rcv_code,assorted_code, rec_amount,premium_rcv_detail_code,remaining_amt, payrec, mode_code,coinsurance_code,class_cd,it_remarks) values('22Aug240008','070000159182','22997',(select max(to_number(i.premium_rcv_detail_code))+1
from ins_premium_det i),'22997','22997','02', '11000003','00','Request by Mr. Reheel Malik 22-Aug-2024 Renewal');</v>
      </c>
    </row>
    <row r="162" spans="1:8" ht="20.25" customHeight="1" x14ac:dyDescent="0.25">
      <c r="A162" s="29" t="s">
        <v>1638</v>
      </c>
      <c r="B162" s="48" t="str">
        <f>VLOOKUP(A162,[2]Sheet1!$B$2:$C$184,2,0)</f>
        <v>070000159209</v>
      </c>
      <c r="C162" s="25">
        <v>46728.75</v>
      </c>
      <c r="D162" s="49">
        <f t="shared" si="8"/>
        <v>46729</v>
      </c>
      <c r="E162" s="50" t="s">
        <v>1785</v>
      </c>
      <c r="F162" s="51" t="str">
        <f t="shared" si="9"/>
        <v>insert into ins_premium_det (premium_rcv_code,assorted_code, rec_amount,premium_rcv_detail_code,remaining_amt, payrec, mode_code,coinsurance_code,class_cd,it_remarks) values</v>
      </c>
      <c r="G162" s="52" t="str">
        <f t="shared" si="10"/>
        <v>('22Aug240008','070000159209','46729',(select max(to_number(i.premium_rcv_detail_code))+1
from ins_premium_det i),'46729','46729','02', '11000003','00','Request by Mr. Reheel Malik 22-Aug-2024 Renewal');</v>
      </c>
      <c r="H162" s="53" t="str">
        <f t="shared" si="11"/>
        <v>insert into ins_premium_det (premium_rcv_code,assorted_code, rec_amount,premium_rcv_detail_code,remaining_amt, payrec, mode_code,coinsurance_code,class_cd,it_remarks) values('22Aug240008','070000159209','46729',(select max(to_number(i.premium_rcv_detail_code))+1
from ins_premium_det i),'46729','46729','02', '11000003','00','Request by Mr. Reheel Malik 22-Aug-2024 Renewal');</v>
      </c>
    </row>
    <row r="163" spans="1:8" ht="20.25" customHeight="1" x14ac:dyDescent="0.25">
      <c r="A163" s="29" t="s">
        <v>1644</v>
      </c>
      <c r="B163" s="48" t="str">
        <f>VLOOKUP(A163,[2]Sheet1!$B$2:$C$184,2,0)</f>
        <v>070000159219</v>
      </c>
      <c r="C163" s="25">
        <v>50018.25</v>
      </c>
      <c r="D163" s="49">
        <f t="shared" si="8"/>
        <v>50018</v>
      </c>
      <c r="E163" s="50" t="s">
        <v>1785</v>
      </c>
      <c r="F163" s="51" t="str">
        <f t="shared" si="9"/>
        <v>insert into ins_premium_det (premium_rcv_code,assorted_code, rec_amount,premium_rcv_detail_code,remaining_amt, payrec, mode_code,coinsurance_code,class_cd,it_remarks) values</v>
      </c>
      <c r="G163" s="52" t="str">
        <f t="shared" si="10"/>
        <v>('22Aug240008','070000159219','50018',(select max(to_number(i.premium_rcv_detail_code))+1
from ins_premium_det i),'50018','50018','02', '11000003','00','Request by Mr. Reheel Malik 22-Aug-2024 Renewal');</v>
      </c>
      <c r="H163" s="53" t="str">
        <f t="shared" si="11"/>
        <v>insert into ins_premium_det (premium_rcv_code,assorted_code, rec_amount,premium_rcv_detail_code,remaining_amt, payrec, mode_code,coinsurance_code,class_cd,it_remarks) values('22Aug240008','070000159219','50018',(select max(to_number(i.premium_rcv_detail_code))+1
from ins_premium_det i),'50018','50018','02', '11000003','00','Request by Mr. Reheel Malik 22-Aug-2024 Renewal');</v>
      </c>
    </row>
    <row r="164" spans="1:8" ht="20.25" customHeight="1" x14ac:dyDescent="0.25">
      <c r="A164" s="29" t="s">
        <v>1651</v>
      </c>
      <c r="B164" s="48" t="str">
        <f>VLOOKUP(A164,[2]Sheet1!$B$2:$C$184,2,0)</f>
        <v>070000159223</v>
      </c>
      <c r="C164" s="25">
        <v>62793.75</v>
      </c>
      <c r="D164" s="49">
        <f t="shared" si="8"/>
        <v>62794</v>
      </c>
      <c r="E164" s="50" t="s">
        <v>1785</v>
      </c>
      <c r="F164" s="51" t="str">
        <f t="shared" si="9"/>
        <v>insert into ins_premium_det (premium_rcv_code,assorted_code, rec_amount,premium_rcv_detail_code,remaining_amt, payrec, mode_code,coinsurance_code,class_cd,it_remarks) values</v>
      </c>
      <c r="G164" s="52" t="str">
        <f t="shared" si="10"/>
        <v>('22Aug240008','070000159223','62794',(select max(to_number(i.premium_rcv_detail_code))+1
from ins_premium_det i),'62794','62794','02', '11000003','00','Request by Mr. Reheel Malik 22-Aug-2024 Renewal');</v>
      </c>
      <c r="H164" s="53" t="str">
        <f t="shared" si="11"/>
        <v>insert into ins_premium_det (premium_rcv_code,assorted_code, rec_amount,premium_rcv_detail_code,remaining_amt, payrec, mode_code,coinsurance_code,class_cd,it_remarks) values('22Aug240008','070000159223','62794',(select max(to_number(i.premium_rcv_detail_code))+1
from ins_premium_det i),'62794','62794','02', '11000003','00','Request by Mr. Reheel Malik 22-Aug-2024 Renewal');</v>
      </c>
    </row>
    <row r="165" spans="1:8" ht="20.25" customHeight="1" x14ac:dyDescent="0.25">
      <c r="A165" s="29" t="s">
        <v>1658</v>
      </c>
      <c r="B165" s="48" t="str">
        <f>VLOOKUP(A165,[2]Sheet1!$B$2:$C$184,2,0)</f>
        <v>070000159222</v>
      </c>
      <c r="C165" s="25">
        <v>54812.25</v>
      </c>
      <c r="D165" s="49">
        <f t="shared" si="8"/>
        <v>54812</v>
      </c>
      <c r="E165" s="50" t="s">
        <v>1785</v>
      </c>
      <c r="F165" s="51" t="str">
        <f t="shared" si="9"/>
        <v>insert into ins_premium_det (premium_rcv_code,assorted_code, rec_amount,premium_rcv_detail_code,remaining_amt, payrec, mode_code,coinsurance_code,class_cd,it_remarks) values</v>
      </c>
      <c r="G165" s="52" t="str">
        <f t="shared" si="10"/>
        <v>('22Aug240008','070000159222','54812',(select max(to_number(i.premium_rcv_detail_code))+1
from ins_premium_det i),'54812','54812','02', '11000003','00','Request by Mr. Reheel Malik 22-Aug-2024 Renewal');</v>
      </c>
      <c r="H165" s="53" t="str">
        <f t="shared" si="11"/>
        <v>insert into ins_premium_det (premium_rcv_code,assorted_code, rec_amount,premium_rcv_detail_code,remaining_amt, payrec, mode_code,coinsurance_code,class_cd,it_remarks) values('22Aug240008','070000159222','54812',(select max(to_number(i.premium_rcv_detail_code))+1
from ins_premium_det i),'54812','54812','02', '11000003','00','Request by Mr. Reheel Malik 22-Aug-2024 Renewal');</v>
      </c>
    </row>
    <row r="166" spans="1:8" ht="20.25" customHeight="1" x14ac:dyDescent="0.25">
      <c r="A166" s="29" t="s">
        <v>1665</v>
      </c>
      <c r="B166" s="48" t="str">
        <f>VLOOKUP(A166,[2]Sheet1!$B$2:$C$184,2,0)</f>
        <v>070000159217</v>
      </c>
      <c r="C166" s="25">
        <v>46728.75</v>
      </c>
      <c r="D166" s="49">
        <f t="shared" si="8"/>
        <v>46729</v>
      </c>
      <c r="E166" s="50" t="s">
        <v>1785</v>
      </c>
      <c r="F166" s="51" t="str">
        <f t="shared" si="9"/>
        <v>insert into ins_premium_det (premium_rcv_code,assorted_code, rec_amount,premium_rcv_detail_code,remaining_amt, payrec, mode_code,coinsurance_code,class_cd,it_remarks) values</v>
      </c>
      <c r="G166" s="52" t="str">
        <f t="shared" si="10"/>
        <v>('22Aug240008','070000159217','46729',(select max(to_number(i.premium_rcv_detail_code))+1
from ins_premium_det i),'46729','46729','02', '11000003','00','Request by Mr. Reheel Malik 22-Aug-2024 Renewal');</v>
      </c>
      <c r="H166" s="53" t="str">
        <f t="shared" si="11"/>
        <v>insert into ins_premium_det (premium_rcv_code,assorted_code, rec_amount,premium_rcv_detail_code,remaining_amt, payrec, mode_code,coinsurance_code,class_cd,it_remarks) values('22Aug240008','070000159217','46729',(select max(to_number(i.premium_rcv_detail_code))+1
from ins_premium_det i),'46729','46729','02', '11000003','00','Request by Mr. Reheel Malik 22-Aug-2024 Renewal');</v>
      </c>
    </row>
    <row r="167" spans="1:8" ht="20.25" customHeight="1" x14ac:dyDescent="0.25">
      <c r="A167" s="29" t="s">
        <v>1674</v>
      </c>
      <c r="B167" s="48" t="str">
        <f>VLOOKUP(A167,[2]Sheet1!$B$2:$C$184,2,0)</f>
        <v>070000159198</v>
      </c>
      <c r="C167" s="25">
        <v>46728.75</v>
      </c>
      <c r="D167" s="49">
        <f t="shared" si="8"/>
        <v>46729</v>
      </c>
      <c r="E167" s="50" t="s">
        <v>1785</v>
      </c>
      <c r="F167" s="51" t="str">
        <f t="shared" si="9"/>
        <v>insert into ins_premium_det (premium_rcv_code,assorted_code, rec_amount,premium_rcv_detail_code,remaining_amt, payrec, mode_code,coinsurance_code,class_cd,it_remarks) values</v>
      </c>
      <c r="G167" s="52" t="str">
        <f t="shared" si="10"/>
        <v>('22Aug240008','070000159198','46729',(select max(to_number(i.premium_rcv_detail_code))+1
from ins_premium_det i),'46729','46729','02', '11000003','00','Request by Mr. Reheel Malik 22-Aug-2024 Renewal');</v>
      </c>
      <c r="H167" s="53" t="str">
        <f t="shared" si="11"/>
        <v>insert into ins_premium_det (premium_rcv_code,assorted_code, rec_amount,premium_rcv_detail_code,remaining_amt, payrec, mode_code,coinsurance_code,class_cd,it_remarks) values('22Aug240008','070000159198','46729',(select max(to_number(i.premium_rcv_detail_code))+1
from ins_premium_det i),'46729','46729','02', '11000003','00','Request by Mr. Reheel Malik 22-Aug-2024 Renewal');</v>
      </c>
    </row>
    <row r="168" spans="1:8" ht="20.25" customHeight="1" x14ac:dyDescent="0.25">
      <c r="A168" s="29" t="s">
        <v>1680</v>
      </c>
      <c r="B168" s="48" t="str">
        <f>VLOOKUP(A168,[2]Sheet1!$B$2:$C$184,2,0)</f>
        <v>070000159187</v>
      </c>
      <c r="C168" s="25">
        <v>46728.75</v>
      </c>
      <c r="D168" s="49">
        <f t="shared" si="8"/>
        <v>46729</v>
      </c>
      <c r="E168" s="50" t="s">
        <v>1785</v>
      </c>
      <c r="F168" s="51" t="str">
        <f t="shared" si="9"/>
        <v>insert into ins_premium_det (premium_rcv_code,assorted_code, rec_amount,premium_rcv_detail_code,remaining_amt, payrec, mode_code,coinsurance_code,class_cd,it_remarks) values</v>
      </c>
      <c r="G168" s="52" t="str">
        <f t="shared" si="10"/>
        <v>('22Aug240008','070000159187','46729',(select max(to_number(i.premium_rcv_detail_code))+1
from ins_premium_det i),'46729','46729','02', '11000003','00','Request by Mr. Reheel Malik 22-Aug-2024 Renewal');</v>
      </c>
      <c r="H168" s="53" t="str">
        <f t="shared" si="11"/>
        <v>insert into ins_premium_det (premium_rcv_code,assorted_code, rec_amount,premium_rcv_detail_code,remaining_amt, payrec, mode_code,coinsurance_code,class_cd,it_remarks) values('22Aug240008','070000159187','46729',(select max(to_number(i.premium_rcv_detail_code))+1
from ins_premium_det i),'46729','46729','02', '11000003','00','Request by Mr. Reheel Malik 22-Aug-2024 Renewal');</v>
      </c>
    </row>
    <row r="169" spans="1:8" ht="20.25" customHeight="1" x14ac:dyDescent="0.25">
      <c r="A169" s="29" t="s">
        <v>1688</v>
      </c>
      <c r="B169" s="48" t="str">
        <f>VLOOKUP(A169,[2]Sheet1!$B$2:$C$184,2,0)</f>
        <v>070000159231</v>
      </c>
      <c r="C169" s="25">
        <v>22996.750000000004</v>
      </c>
      <c r="D169" s="49">
        <f t="shared" si="8"/>
        <v>22997</v>
      </c>
      <c r="E169" s="50" t="s">
        <v>1785</v>
      </c>
      <c r="F169" s="51" t="str">
        <f t="shared" si="9"/>
        <v>insert into ins_premium_det (premium_rcv_code,assorted_code, rec_amount,premium_rcv_detail_code,remaining_amt, payrec, mode_code,coinsurance_code,class_cd,it_remarks) values</v>
      </c>
      <c r="G169" s="52" t="str">
        <f t="shared" si="10"/>
        <v>('22Aug240008','070000159231','22997',(select max(to_number(i.premium_rcv_detail_code))+1
from ins_premium_det i),'22997','22997','02', '11000003','00','Request by Mr. Reheel Malik 22-Aug-2024 Renewal');</v>
      </c>
      <c r="H169" s="53" t="str">
        <f t="shared" si="11"/>
        <v>insert into ins_premium_det (premium_rcv_code,assorted_code, rec_amount,premium_rcv_detail_code,remaining_amt, payrec, mode_code,coinsurance_code,class_cd,it_remarks) values('22Aug240008','070000159231','22997',(select max(to_number(i.premium_rcv_detail_code))+1
from ins_premium_det i),'22997','22997','02', '11000003','00','Request by Mr. Reheel Malik 22-Aug-2024 Renewal');</v>
      </c>
    </row>
    <row r="170" spans="1:8" ht="20.25" customHeight="1" x14ac:dyDescent="0.25">
      <c r="A170" s="29" t="s">
        <v>1694</v>
      </c>
      <c r="B170" s="48" t="str">
        <f>VLOOKUP(A170,[2]Sheet1!$B$2:$C$184,2,0)</f>
        <v>070000159199</v>
      </c>
      <c r="C170" s="25">
        <v>46728.75</v>
      </c>
      <c r="D170" s="49">
        <f t="shared" si="8"/>
        <v>46729</v>
      </c>
      <c r="E170" s="50" t="s">
        <v>1785</v>
      </c>
      <c r="F170" s="51" t="str">
        <f t="shared" si="9"/>
        <v>insert into ins_premium_det (premium_rcv_code,assorted_code, rec_amount,premium_rcv_detail_code,remaining_amt, payrec, mode_code,coinsurance_code,class_cd,it_remarks) values</v>
      </c>
      <c r="G170" s="52" t="str">
        <f t="shared" si="10"/>
        <v>('22Aug240008','070000159199','46729',(select max(to_number(i.premium_rcv_detail_code))+1
from ins_premium_det i),'46729','46729','02', '11000003','00','Request by Mr. Reheel Malik 22-Aug-2024 Renewal');</v>
      </c>
      <c r="H170" s="53" t="str">
        <f t="shared" si="11"/>
        <v>insert into ins_premium_det (premium_rcv_code,assorted_code, rec_amount,premium_rcv_detail_code,remaining_amt, payrec, mode_code,coinsurance_code,class_cd,it_remarks) values('22Aug240008','070000159199','46729',(select max(to_number(i.premium_rcv_detail_code))+1
from ins_premium_det i),'46729','46729','02', '11000003','00','Request by Mr. Reheel Malik 22-Aug-2024 Renewal');</v>
      </c>
    </row>
    <row r="171" spans="1:8" ht="20.25" customHeight="1" x14ac:dyDescent="0.25">
      <c r="A171" s="29" t="s">
        <v>1700</v>
      </c>
      <c r="B171" s="48" t="str">
        <f>VLOOKUP(A171,[2]Sheet1!$B$2:$C$184,2,0)</f>
        <v>070000159192</v>
      </c>
      <c r="C171" s="25">
        <v>64546.875</v>
      </c>
      <c r="D171" s="49">
        <f t="shared" si="8"/>
        <v>64547</v>
      </c>
      <c r="E171" s="50" t="s">
        <v>1785</v>
      </c>
      <c r="F171" s="51" t="str">
        <f t="shared" si="9"/>
        <v>insert into ins_premium_det (premium_rcv_code,assorted_code, rec_amount,premium_rcv_detail_code,remaining_amt, payrec, mode_code,coinsurance_code,class_cd,it_remarks) values</v>
      </c>
      <c r="G171" s="52" t="str">
        <f t="shared" si="10"/>
        <v>('22Aug240008','070000159192','64547',(select max(to_number(i.premium_rcv_detail_code))+1
from ins_premium_det i),'64547','64547','02', '11000003','00','Request by Mr. Reheel Malik 22-Aug-2024 Renewal');</v>
      </c>
      <c r="H171" s="53" t="str">
        <f t="shared" si="11"/>
        <v>insert into ins_premium_det (premium_rcv_code,assorted_code, rec_amount,premium_rcv_detail_code,remaining_amt, payrec, mode_code,coinsurance_code,class_cd,it_remarks) values('22Aug240008','070000159192','64547',(select max(to_number(i.premium_rcv_detail_code))+1
from ins_premium_det i),'64547','64547','02', '11000003','00','Request by Mr. Reheel Malik 22-Aug-2024 Renewal');</v>
      </c>
    </row>
    <row r="172" spans="1:8" ht="20.25" customHeight="1" x14ac:dyDescent="0.25">
      <c r="A172" s="29" t="s">
        <v>1707</v>
      </c>
      <c r="B172" s="48" t="str">
        <f>VLOOKUP(A172,[2]Sheet1!$B$2:$C$184,2,0)</f>
        <v>070000158838</v>
      </c>
      <c r="C172" s="25">
        <v>26690</v>
      </c>
      <c r="D172" s="49">
        <f t="shared" si="8"/>
        <v>26690</v>
      </c>
      <c r="E172" s="50" t="s">
        <v>1785</v>
      </c>
      <c r="F172" s="51" t="str">
        <f t="shared" si="9"/>
        <v>insert into ins_premium_det (premium_rcv_code,assorted_code, rec_amount,premium_rcv_detail_code,remaining_amt, payrec, mode_code,coinsurance_code,class_cd,it_remarks) values</v>
      </c>
      <c r="G172" s="52" t="str">
        <f t="shared" si="10"/>
        <v>('22Aug240008','070000158838','26690',(select max(to_number(i.premium_rcv_detail_code))+1
from ins_premium_det i),'26690','26690','02', '11000003','00','Request by Mr. Reheel Malik 22-Aug-2024 Renewal');</v>
      </c>
      <c r="H172" s="53" t="str">
        <f t="shared" si="11"/>
        <v>insert into ins_premium_det (premium_rcv_code,assorted_code, rec_amount,premium_rcv_detail_code,remaining_amt, payrec, mode_code,coinsurance_code,class_cd,it_remarks) values('22Aug240008','070000158838','26690',(select max(to_number(i.premium_rcv_detail_code))+1
from ins_premium_det i),'26690','26690','02', '11000003','00','Request by Mr. Reheel Malik 22-Aug-2024 Renewal');</v>
      </c>
    </row>
    <row r="173" spans="1:8" ht="20.25" customHeight="1" x14ac:dyDescent="0.25">
      <c r="A173" s="29" t="s">
        <v>1712</v>
      </c>
      <c r="B173" s="48" t="str">
        <f>VLOOKUP(A173,[2]Sheet1!$B$2:$C$184,2,0)</f>
        <v>070000156742</v>
      </c>
      <c r="C173" s="25">
        <v>20423.375000000004</v>
      </c>
      <c r="D173" s="49">
        <f t="shared" si="8"/>
        <v>20423</v>
      </c>
      <c r="E173" s="50" t="s">
        <v>1785</v>
      </c>
      <c r="F173" s="51" t="str">
        <f t="shared" si="9"/>
        <v>insert into ins_premium_det (premium_rcv_code,assorted_code, rec_amount,premium_rcv_detail_code,remaining_amt, payrec, mode_code,coinsurance_code,class_cd,it_remarks) values</v>
      </c>
      <c r="G173" s="52" t="str">
        <f t="shared" si="10"/>
        <v>('22Aug240008','070000156742','20423',(select max(to_number(i.premium_rcv_detail_code))+1
from ins_premium_det i),'20423','20423','02', '11000003','00','Request by Mr. Reheel Malik 22-Aug-2024 Renewal');</v>
      </c>
      <c r="H173" s="53" t="str">
        <f t="shared" si="11"/>
        <v>insert into ins_premium_det (premium_rcv_code,assorted_code, rec_amount,premium_rcv_detail_code,remaining_amt, payrec, mode_code,coinsurance_code,class_cd,it_remarks) values('22Aug240008','070000156742','20423',(select max(to_number(i.premium_rcv_detail_code))+1
from ins_premium_det i),'20423','20423','02', '11000003','00','Request by Mr. Reheel Malik 22-Aug-2024 Renewal');</v>
      </c>
    </row>
    <row r="174" spans="1:8" ht="20.25" customHeight="1" x14ac:dyDescent="0.25">
      <c r="A174" s="29" t="s">
        <v>1718</v>
      </c>
      <c r="B174" s="48" t="str">
        <f>VLOOKUP(A174,[2]Sheet1!$B$2:$C$184,2,0)</f>
        <v>070000156827</v>
      </c>
      <c r="C174" s="25">
        <v>48598.75</v>
      </c>
      <c r="D174" s="49">
        <f t="shared" si="8"/>
        <v>48599</v>
      </c>
      <c r="E174" s="50" t="s">
        <v>1785</v>
      </c>
      <c r="F174" s="51" t="str">
        <f t="shared" si="9"/>
        <v>insert into ins_premium_det (premium_rcv_code,assorted_code, rec_amount,premium_rcv_detail_code,remaining_amt, payrec, mode_code,coinsurance_code,class_cd,it_remarks) values</v>
      </c>
      <c r="G174" s="52" t="str">
        <f t="shared" si="10"/>
        <v>('22Aug240008','070000156827','48599',(select max(to_number(i.premium_rcv_detail_code))+1
from ins_premium_det i),'48599','48599','02', '11000003','00','Request by Mr. Reheel Malik 22-Aug-2024 Renewal');</v>
      </c>
      <c r="H174" s="53" t="str">
        <f t="shared" si="11"/>
        <v>insert into ins_premium_det (premium_rcv_code,assorted_code, rec_amount,premium_rcv_detail_code,remaining_amt, payrec, mode_code,coinsurance_code,class_cd,it_remarks) values('22Aug240008','070000156827','48599',(select max(to_number(i.premium_rcv_detail_code))+1
from ins_premium_det i),'48599','48599','02', '11000003','00','Request by Mr. Reheel Malik 22-Aug-2024 Renewal');</v>
      </c>
    </row>
    <row r="175" spans="1:8" ht="20.25" customHeight="1" x14ac:dyDescent="0.25">
      <c r="A175" s="29" t="s">
        <v>1726</v>
      </c>
      <c r="B175" s="48" t="str">
        <f>VLOOKUP(A175,[2]Sheet1!$B$2:$C$184,2,0)</f>
        <v>070000156811</v>
      </c>
      <c r="C175" s="25">
        <v>27263.75</v>
      </c>
      <c r="D175" s="49">
        <f t="shared" si="8"/>
        <v>27264</v>
      </c>
      <c r="E175" s="50" t="s">
        <v>1785</v>
      </c>
      <c r="F175" s="51" t="str">
        <f t="shared" si="9"/>
        <v>insert into ins_premium_det (premium_rcv_code,assorted_code, rec_amount,premium_rcv_detail_code,remaining_amt, payrec, mode_code,coinsurance_code,class_cd,it_remarks) values</v>
      </c>
      <c r="G175" s="52" t="str">
        <f t="shared" si="10"/>
        <v>('22Aug240008','070000156811','27264',(select max(to_number(i.premium_rcv_detail_code))+1
from ins_premium_det i),'27264','27264','02', '11000003','00','Request by Mr. Reheel Malik 22-Aug-2024 Renewal');</v>
      </c>
      <c r="H175" s="53" t="str">
        <f t="shared" si="11"/>
        <v>insert into ins_premium_det (premium_rcv_code,assorted_code, rec_amount,premium_rcv_detail_code,remaining_amt, payrec, mode_code,coinsurance_code,class_cd,it_remarks) values('22Aug240008','070000156811','27264',(select max(to_number(i.premium_rcv_detail_code))+1
from ins_premium_det i),'27264','27264','02', '11000003','00','Request by Mr. Reheel Malik 22-Aug-2024 Renewal');</v>
      </c>
    </row>
    <row r="176" spans="1:8" ht="20.25" customHeight="1" x14ac:dyDescent="0.25">
      <c r="A176" s="29" t="s">
        <v>1732</v>
      </c>
      <c r="B176" s="48" t="str">
        <f>VLOOKUP(A176,[2]Sheet1!$B$2:$C$184,2,0)</f>
        <v>070000156835</v>
      </c>
      <c r="C176" s="25">
        <v>35593.75</v>
      </c>
      <c r="D176" s="49">
        <f t="shared" si="8"/>
        <v>35594</v>
      </c>
      <c r="E176" s="50" t="s">
        <v>1785</v>
      </c>
      <c r="F176" s="51" t="str">
        <f t="shared" si="9"/>
        <v>insert into ins_premium_det (premium_rcv_code,assorted_code, rec_amount,premium_rcv_detail_code,remaining_amt, payrec, mode_code,coinsurance_code,class_cd,it_remarks) values</v>
      </c>
      <c r="G176" s="52" t="str">
        <f t="shared" si="10"/>
        <v>('22Aug240008','070000156835','35594',(select max(to_number(i.premium_rcv_detail_code))+1
from ins_premium_det i),'35594','35594','02', '11000003','00','Request by Mr. Reheel Malik 22-Aug-2024 Renewal');</v>
      </c>
      <c r="H176" s="53" t="str">
        <f t="shared" si="11"/>
        <v>insert into ins_premium_det (premium_rcv_code,assorted_code, rec_amount,premium_rcv_detail_code,remaining_amt, payrec, mode_code,coinsurance_code,class_cd,it_remarks) values('22Aug240008','070000156835','35594',(select max(to_number(i.premium_rcv_detail_code))+1
from ins_premium_det i),'35594','35594','02', '11000003','00','Request by Mr. Reheel Malik 22-Aug-2024 Renewal');</v>
      </c>
    </row>
    <row r="177" spans="1:8" ht="20.25" customHeight="1" x14ac:dyDescent="0.25">
      <c r="A177" s="29" t="s">
        <v>1737</v>
      </c>
      <c r="B177" s="48" t="str">
        <f>VLOOKUP(A177,[2]Sheet1!$B$2:$C$184,2,0)</f>
        <v>070000156818</v>
      </c>
      <c r="C177" s="25">
        <v>54034.5</v>
      </c>
      <c r="D177" s="49">
        <f t="shared" si="8"/>
        <v>54035</v>
      </c>
      <c r="E177" s="50" t="s">
        <v>1785</v>
      </c>
      <c r="F177" s="51" t="str">
        <f t="shared" si="9"/>
        <v>insert into ins_premium_det (premium_rcv_code,assorted_code, rec_amount,premium_rcv_detail_code,remaining_amt, payrec, mode_code,coinsurance_code,class_cd,it_remarks) values</v>
      </c>
      <c r="G177" s="52" t="str">
        <f t="shared" si="10"/>
        <v>('22Aug240008','070000156818','54035',(select max(to_number(i.premium_rcv_detail_code))+1
from ins_premium_det i),'54035','54035','02', '11000003','00','Request by Mr. Reheel Malik 22-Aug-2024 Renewal');</v>
      </c>
      <c r="H177" s="53" t="str">
        <f t="shared" si="11"/>
        <v>insert into ins_premium_det (premium_rcv_code,assorted_code, rec_amount,premium_rcv_detail_code,remaining_amt, payrec, mode_code,coinsurance_code,class_cd,it_remarks) values('22Aug240008','070000156818','54035',(select max(to_number(i.premium_rcv_detail_code))+1
from ins_premium_det i),'54035','54035','02', '11000003','00','Request by Mr. Reheel Malik 22-Aug-2024 Renewal');</v>
      </c>
    </row>
    <row r="178" spans="1:8" ht="20.25" customHeight="1" x14ac:dyDescent="0.25">
      <c r="A178" s="29" t="s">
        <v>1743</v>
      </c>
      <c r="B178" s="48" t="str">
        <f>VLOOKUP(A178,[2]Sheet1!$B$2:$C$184,2,0)</f>
        <v>070000156834</v>
      </c>
      <c r="C178" s="25">
        <v>43966.25</v>
      </c>
      <c r="D178" s="49">
        <f t="shared" si="8"/>
        <v>43966</v>
      </c>
      <c r="E178" s="50" t="s">
        <v>1785</v>
      </c>
      <c r="F178" s="51" t="str">
        <f t="shared" si="9"/>
        <v>insert into ins_premium_det (premium_rcv_code,assorted_code, rec_amount,premium_rcv_detail_code,remaining_amt, payrec, mode_code,coinsurance_code,class_cd,it_remarks) values</v>
      </c>
      <c r="G178" s="52" t="str">
        <f t="shared" si="10"/>
        <v>('22Aug240008','070000156834','43966',(select max(to_number(i.premium_rcv_detail_code))+1
from ins_premium_det i),'43966','43966','02', '11000003','00','Request by Mr. Reheel Malik 22-Aug-2024 Renewal');</v>
      </c>
      <c r="H178" s="53" t="str">
        <f t="shared" si="11"/>
        <v>insert into ins_premium_det (premium_rcv_code,assorted_code, rec_amount,premium_rcv_detail_code,remaining_amt, payrec, mode_code,coinsurance_code,class_cd,it_remarks) values('22Aug240008','070000156834','43966',(select max(to_number(i.premium_rcv_detail_code))+1
from ins_premium_det i),'43966','43966','02', '11000003','00','Request by Mr. Reheel Malik 22-Aug-2024 Renewal');</v>
      </c>
    </row>
    <row r="179" spans="1:8" ht="20.25" customHeight="1" x14ac:dyDescent="0.25">
      <c r="A179" s="29" t="s">
        <v>1750</v>
      </c>
      <c r="B179" s="48" t="str">
        <f>VLOOKUP(A179,[2]Sheet1!$B$2:$C$184,2,0)</f>
        <v>070000156665</v>
      </c>
      <c r="C179" s="25">
        <v>25840</v>
      </c>
      <c r="D179" s="49">
        <f t="shared" si="8"/>
        <v>25840</v>
      </c>
      <c r="E179" s="50" t="s">
        <v>1785</v>
      </c>
      <c r="F179" s="51" t="str">
        <f t="shared" si="9"/>
        <v>insert into ins_premium_det (premium_rcv_code,assorted_code, rec_amount,premium_rcv_detail_code,remaining_amt, payrec, mode_code,coinsurance_code,class_cd,it_remarks) values</v>
      </c>
      <c r="G179" s="52" t="str">
        <f t="shared" si="10"/>
        <v>('22Aug240008','070000156665','25840',(select max(to_number(i.premium_rcv_detail_code))+1
from ins_premium_det i),'25840','25840','02', '11000003','00','Request by Mr. Reheel Malik 22-Aug-2024 Renewal');</v>
      </c>
      <c r="H179" s="53" t="str">
        <f t="shared" si="11"/>
        <v>insert into ins_premium_det (premium_rcv_code,assorted_code, rec_amount,premium_rcv_detail_code,remaining_amt, payrec, mode_code,coinsurance_code,class_cd,it_remarks) values('22Aug240008','070000156665','25840',(select max(to_number(i.premium_rcv_detail_code))+1
from ins_premium_det i),'25840','25840','02', '11000003','00','Request by Mr. Reheel Malik 22-Aug-2024 Renewal');</v>
      </c>
    </row>
    <row r="180" spans="1:8" ht="20.25" customHeight="1" x14ac:dyDescent="0.25">
      <c r="A180" s="29" t="s">
        <v>1755</v>
      </c>
      <c r="B180" s="48" t="str">
        <f>VLOOKUP(A180,[2]Sheet1!$B$2:$C$184,2,0)</f>
        <v>070000156758</v>
      </c>
      <c r="C180" s="25">
        <v>22996.750000000004</v>
      </c>
      <c r="D180" s="49">
        <f t="shared" si="8"/>
        <v>22997</v>
      </c>
      <c r="E180" s="50" t="s">
        <v>1785</v>
      </c>
      <c r="F180" s="51" t="str">
        <f t="shared" si="9"/>
        <v>insert into ins_premium_det (premium_rcv_code,assorted_code, rec_amount,premium_rcv_detail_code,remaining_amt, payrec, mode_code,coinsurance_code,class_cd,it_remarks) values</v>
      </c>
      <c r="G180" s="52" t="str">
        <f t="shared" si="10"/>
        <v>('22Aug240008','070000156758','22997',(select max(to_number(i.premium_rcv_detail_code))+1
from ins_premium_det i),'22997','22997','02', '11000003','00','Request by Mr. Reheel Malik 22-Aug-2024 Renewal');</v>
      </c>
      <c r="H180" s="53" t="str">
        <f t="shared" si="11"/>
        <v>insert into ins_premium_det (premium_rcv_code,assorted_code, rec_amount,premium_rcv_detail_code,remaining_amt, payrec, mode_code,coinsurance_code,class_cd,it_remarks) values('22Aug240008','070000156758','22997',(select max(to_number(i.premium_rcv_detail_code))+1
from ins_premium_det i),'22997','22997','02', '11000003','00','Request by Mr. Reheel Malik 22-Aug-2024 Renewal');</v>
      </c>
    </row>
    <row r="181" spans="1:8" ht="20.25" customHeight="1" x14ac:dyDescent="0.25">
      <c r="A181" s="29" t="s">
        <v>1760</v>
      </c>
      <c r="B181" s="48" t="str">
        <f>VLOOKUP(A181,[2]Sheet1!$B$2:$C$184,2,0)</f>
        <v>070000156820</v>
      </c>
      <c r="C181" s="25">
        <v>45241.25</v>
      </c>
      <c r="D181" s="49">
        <f t="shared" si="8"/>
        <v>45241</v>
      </c>
      <c r="E181" s="50" t="s">
        <v>1785</v>
      </c>
      <c r="F181" s="51" t="str">
        <f t="shared" si="9"/>
        <v>insert into ins_premium_det (premium_rcv_code,assorted_code, rec_amount,premium_rcv_detail_code,remaining_amt, payrec, mode_code,coinsurance_code,class_cd,it_remarks) values</v>
      </c>
      <c r="G181" s="52" t="str">
        <f t="shared" si="10"/>
        <v>('22Aug240008','070000156820','45241',(select max(to_number(i.premium_rcv_detail_code))+1
from ins_premium_det i),'45241','45241','02', '11000003','00','Request by Mr. Reheel Malik 22-Aug-2024 Renewal');</v>
      </c>
      <c r="H181" s="53" t="str">
        <f t="shared" si="11"/>
        <v>insert into ins_premium_det (premium_rcv_code,assorted_code, rec_amount,premium_rcv_detail_code,remaining_amt, payrec, mode_code,coinsurance_code,class_cd,it_remarks) values('22Aug240008','070000156820','45241',(select max(to_number(i.premium_rcv_detail_code))+1
from ins_premium_det i),'45241','45241','02', '11000003','00','Request by Mr. Reheel Malik 22-Aug-2024 Renewal');</v>
      </c>
    </row>
    <row r="182" spans="1:8" ht="20.25" customHeight="1" x14ac:dyDescent="0.25">
      <c r="A182" s="29" t="s">
        <v>1764</v>
      </c>
      <c r="B182" s="48" t="str">
        <f>VLOOKUP(A182,[2]Sheet1!$B$2:$C$184,2,0)</f>
        <v>070000155339</v>
      </c>
      <c r="C182" s="25">
        <v>37123.75</v>
      </c>
      <c r="D182" s="49">
        <f t="shared" si="8"/>
        <v>37124</v>
      </c>
      <c r="E182" s="50" t="s">
        <v>1785</v>
      </c>
      <c r="F182" s="51" t="str">
        <f t="shared" si="9"/>
        <v>insert into ins_premium_det (premium_rcv_code,assorted_code, rec_amount,premium_rcv_detail_code,remaining_amt, payrec, mode_code,coinsurance_code,class_cd,it_remarks) values</v>
      </c>
      <c r="G182" s="52" t="str">
        <f t="shared" si="10"/>
        <v>('22Aug240008','070000155339','37124',(select max(to_number(i.premium_rcv_detail_code))+1
from ins_premium_det i),'37124','37124','02', '11000003','00','Request by Mr. Reheel Malik 22-Aug-2024 Renewal');</v>
      </c>
      <c r="H182" s="53" t="str">
        <f t="shared" si="11"/>
        <v>insert into ins_premium_det (premium_rcv_code,assorted_code, rec_amount,premium_rcv_detail_code,remaining_amt, payrec, mode_code,coinsurance_code,class_cd,it_remarks) values('22Aug240008','070000155339','37124',(select max(to_number(i.premium_rcv_detail_code))+1
from ins_premium_det i),'37124','37124','02', '11000003','00','Request by Mr. Reheel Malik 22-Aug-2024 Renewal');</v>
      </c>
    </row>
    <row r="183" spans="1:8" ht="20.25" customHeight="1" x14ac:dyDescent="0.25">
      <c r="A183" s="29" t="s">
        <v>1769</v>
      </c>
      <c r="B183" s="48" t="str">
        <f>VLOOKUP(A183,[2]Sheet1!$B$2:$C$184,2,0)</f>
        <v>070000155359</v>
      </c>
      <c r="C183" s="25">
        <v>44285</v>
      </c>
      <c r="D183" s="49">
        <f t="shared" si="8"/>
        <v>44285</v>
      </c>
      <c r="E183" s="50" t="s">
        <v>1785</v>
      </c>
      <c r="F183" s="51" t="str">
        <f t="shared" si="9"/>
        <v>insert into ins_premium_det (premium_rcv_code,assorted_code, rec_amount,premium_rcv_detail_code,remaining_amt, payrec, mode_code,coinsurance_code,class_cd,it_remarks) values</v>
      </c>
      <c r="G183" s="52" t="str">
        <f t="shared" si="10"/>
        <v>('22Aug240008','070000155359','44285',(select max(to_number(i.premium_rcv_detail_code))+1
from ins_premium_det i),'44285','44285','02', '11000003','00','Request by Mr. Reheel Malik 22-Aug-2024 Renewal');</v>
      </c>
      <c r="H183" s="53" t="str">
        <f t="shared" si="11"/>
        <v>insert into ins_premium_det (premium_rcv_code,assorted_code, rec_amount,premium_rcv_detail_code,remaining_amt, payrec, mode_code,coinsurance_code,class_cd,it_remarks) values('22Aug240008','070000155359','44285',(select max(to_number(i.premium_rcv_detail_code))+1
from ins_premium_det i),'44285','44285','02', '11000003','00','Request by Mr. Reheel Malik 22-Aug-2024 Renewal');</v>
      </c>
    </row>
    <row r="184" spans="1:8" ht="20.25" customHeight="1" x14ac:dyDescent="0.25">
      <c r="A184" s="29" t="s">
        <v>1774</v>
      </c>
      <c r="B184" s="48" t="str">
        <f>VLOOKUP(A184,[2]Sheet1!$B$2:$C$184,2,0)</f>
        <v>070000155177</v>
      </c>
      <c r="C184" s="25">
        <v>61795</v>
      </c>
      <c r="D184" s="49">
        <f t="shared" si="8"/>
        <v>61795</v>
      </c>
      <c r="E184" s="50" t="s">
        <v>1785</v>
      </c>
      <c r="F184" s="51" t="str">
        <f t="shared" si="9"/>
        <v>insert into ins_premium_det (premium_rcv_code,assorted_code, rec_amount,premium_rcv_detail_code,remaining_amt, payrec, mode_code,coinsurance_code,class_cd,it_remarks) values</v>
      </c>
      <c r="G184" s="52" t="str">
        <f t="shared" si="10"/>
        <v>('22Aug240008','070000155177','61795',(select max(to_number(i.premium_rcv_detail_code))+1
from ins_premium_det i),'61795','61795','02', '11000003','00','Request by Mr. Reheel Malik 22-Aug-2024 Renewal');</v>
      </c>
      <c r="H184" s="53" t="str">
        <f t="shared" si="11"/>
        <v>insert into ins_premium_det (premium_rcv_code,assorted_code, rec_amount,premium_rcv_detail_code,remaining_amt, payrec, mode_code,coinsurance_code,class_cd,it_remarks) values('22Aug240008','070000155177','61795',(select max(to_number(i.premium_rcv_detail_code))+1
from ins_premium_det i),'61795','61795','02', '11000003','00','Request by Mr. Reheel Malik 22-Aug-2024 Renewal');</v>
      </c>
    </row>
  </sheetData>
  <conditionalFormatting sqref="B1:B18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16B2-0226-421F-8A99-3C118C6E84DA}">
  <dimension ref="A1:J185"/>
  <sheetViews>
    <sheetView topLeftCell="A132" workbookViewId="0">
      <selection activeCell="G142" sqref="G142"/>
    </sheetView>
  </sheetViews>
  <sheetFormatPr defaultRowHeight="15" x14ac:dyDescent="0.25"/>
  <cols>
    <col min="1" max="1" width="38.140625" bestFit="1" customWidth="1"/>
    <col min="10" max="10" width="46.5703125" bestFit="1" customWidth="1"/>
  </cols>
  <sheetData>
    <row r="1" spans="1:10" x14ac:dyDescent="0.25">
      <c r="A1" t="s">
        <v>1853</v>
      </c>
      <c r="B1" t="s">
        <v>1853</v>
      </c>
      <c r="H1" t="s">
        <v>1853</v>
      </c>
      <c r="I1" t="s">
        <v>1853</v>
      </c>
    </row>
    <row r="2" spans="1:10" x14ac:dyDescent="0.25">
      <c r="A2" s="29" t="s">
        <v>492</v>
      </c>
      <c r="B2" t="s">
        <v>1786</v>
      </c>
      <c r="H2">
        <v>93459</v>
      </c>
      <c r="I2" t="s">
        <v>1806</v>
      </c>
      <c r="J2" t="str">
        <f>"ia.assorted_string like '%"&amp;H2&amp;"-"&amp;I2&amp;B2&amp;"%' or"</f>
        <v>ia.assorted_string like '%93459-00025-07-2024%' or</v>
      </c>
    </row>
    <row r="3" spans="1:10" x14ac:dyDescent="0.25">
      <c r="A3" s="29" t="s">
        <v>500</v>
      </c>
      <c r="B3" t="s">
        <v>1786</v>
      </c>
      <c r="H3">
        <v>93459</v>
      </c>
      <c r="I3" t="s">
        <v>1800</v>
      </c>
      <c r="J3" t="str">
        <f t="shared" ref="J3:J66" si="0">"ia.assorted_string like '%"&amp;H3&amp;"-"&amp;I3&amp;B3&amp;"%' or"</f>
        <v>ia.assorted_string like '%93459-00002-07-2024%' or</v>
      </c>
    </row>
    <row r="4" spans="1:10" x14ac:dyDescent="0.25">
      <c r="A4" s="29" t="s">
        <v>508</v>
      </c>
      <c r="B4" t="s">
        <v>1786</v>
      </c>
      <c r="H4">
        <v>93459</v>
      </c>
      <c r="I4" t="s">
        <v>1810</v>
      </c>
      <c r="J4" t="str">
        <f t="shared" si="0"/>
        <v>ia.assorted_string like '%93459-00029-07-2024%' or</v>
      </c>
    </row>
    <row r="5" spans="1:10" x14ac:dyDescent="0.25">
      <c r="A5" s="29" t="s">
        <v>516</v>
      </c>
      <c r="B5" t="s">
        <v>1786</v>
      </c>
      <c r="H5">
        <v>93459</v>
      </c>
      <c r="I5" t="s">
        <v>1799</v>
      </c>
      <c r="J5" t="str">
        <f t="shared" si="0"/>
        <v>ia.assorted_string like '%93459-00019-07-2024%' or</v>
      </c>
    </row>
    <row r="6" spans="1:10" x14ac:dyDescent="0.25">
      <c r="A6" s="29" t="s">
        <v>523</v>
      </c>
      <c r="B6" t="s">
        <v>1786</v>
      </c>
      <c r="H6">
        <v>93459</v>
      </c>
      <c r="I6" t="s">
        <v>1854</v>
      </c>
      <c r="J6" t="str">
        <f t="shared" si="0"/>
        <v>ia.assorted_string like '%93459-00011-07-2024%' or</v>
      </c>
    </row>
    <row r="7" spans="1:10" x14ac:dyDescent="0.25">
      <c r="A7" s="29" t="s">
        <v>531</v>
      </c>
      <c r="B7" t="s">
        <v>1786</v>
      </c>
      <c r="H7">
        <v>93459</v>
      </c>
      <c r="I7" t="s">
        <v>1792</v>
      </c>
      <c r="J7" t="str">
        <f t="shared" si="0"/>
        <v>ia.assorted_string like '%93459-00012-07-2024%' or</v>
      </c>
    </row>
    <row r="8" spans="1:10" x14ac:dyDescent="0.25">
      <c r="A8" s="29" t="s">
        <v>539</v>
      </c>
      <c r="B8" t="s">
        <v>1786</v>
      </c>
      <c r="H8">
        <v>93458</v>
      </c>
      <c r="I8" t="s">
        <v>1820</v>
      </c>
      <c r="J8" t="str">
        <f t="shared" si="0"/>
        <v>ia.assorted_string like '%93458-00038-07-2024%' or</v>
      </c>
    </row>
    <row r="9" spans="1:10" x14ac:dyDescent="0.25">
      <c r="A9" s="29" t="s">
        <v>547</v>
      </c>
      <c r="B9" t="s">
        <v>1786</v>
      </c>
      <c r="H9">
        <v>93459</v>
      </c>
      <c r="I9" t="s">
        <v>1808</v>
      </c>
      <c r="J9" t="str">
        <f t="shared" si="0"/>
        <v>ia.assorted_string like '%93459-00027-07-2024%' or</v>
      </c>
    </row>
    <row r="10" spans="1:10" x14ac:dyDescent="0.25">
      <c r="A10" s="29" t="s">
        <v>555</v>
      </c>
      <c r="B10" t="s">
        <v>1786</v>
      </c>
      <c r="H10">
        <v>93457</v>
      </c>
      <c r="I10" t="s">
        <v>1819</v>
      </c>
      <c r="J10" t="str">
        <f t="shared" si="0"/>
        <v>ia.assorted_string like '%93457-00037-07-2024%' or</v>
      </c>
    </row>
    <row r="11" spans="1:10" x14ac:dyDescent="0.25">
      <c r="A11" s="29" t="s">
        <v>562</v>
      </c>
      <c r="B11" t="s">
        <v>1786</v>
      </c>
      <c r="H11">
        <v>93457</v>
      </c>
      <c r="I11" t="s">
        <v>1828</v>
      </c>
      <c r="J11" t="str">
        <f t="shared" si="0"/>
        <v>ia.assorted_string like '%93457-00045-07-2024%' or</v>
      </c>
    </row>
    <row r="12" spans="1:10" x14ac:dyDescent="0.25">
      <c r="A12" s="29" t="s">
        <v>569</v>
      </c>
      <c r="B12" t="s">
        <v>1786</v>
      </c>
      <c r="H12">
        <v>93458</v>
      </c>
      <c r="I12" t="s">
        <v>1814</v>
      </c>
      <c r="J12" t="str">
        <f t="shared" si="0"/>
        <v>ia.assorted_string like '%93458-00032-07-2024%' or</v>
      </c>
    </row>
    <row r="13" spans="1:10" x14ac:dyDescent="0.25">
      <c r="A13" s="29" t="s">
        <v>577</v>
      </c>
      <c r="B13" t="s">
        <v>1786</v>
      </c>
      <c r="H13">
        <v>93458</v>
      </c>
      <c r="I13" t="s">
        <v>1822</v>
      </c>
      <c r="J13" t="str">
        <f t="shared" si="0"/>
        <v>ia.assorted_string like '%93458-00004-07-2024%' or</v>
      </c>
    </row>
    <row r="14" spans="1:10" x14ac:dyDescent="0.25">
      <c r="A14" s="29" t="s">
        <v>584</v>
      </c>
      <c r="B14" t="s">
        <v>1786</v>
      </c>
      <c r="H14">
        <v>93458</v>
      </c>
      <c r="I14" t="s">
        <v>1855</v>
      </c>
      <c r="J14" t="str">
        <f t="shared" si="0"/>
        <v>ia.assorted_string like '%93458-00009-07-2024%' or</v>
      </c>
    </row>
    <row r="15" spans="1:10" x14ac:dyDescent="0.25">
      <c r="A15" s="29" t="s">
        <v>591</v>
      </c>
      <c r="B15" t="s">
        <v>1786</v>
      </c>
      <c r="H15">
        <v>93458</v>
      </c>
      <c r="I15" t="s">
        <v>1805</v>
      </c>
      <c r="J15" t="str">
        <f t="shared" si="0"/>
        <v>ia.assorted_string like '%93458-00024-07-2024%' or</v>
      </c>
    </row>
    <row r="16" spans="1:10" x14ac:dyDescent="0.25">
      <c r="A16" s="29" t="s">
        <v>598</v>
      </c>
      <c r="B16" t="s">
        <v>1786</v>
      </c>
      <c r="H16">
        <v>93458</v>
      </c>
      <c r="I16" t="s">
        <v>1806</v>
      </c>
      <c r="J16" t="str">
        <f t="shared" si="0"/>
        <v>ia.assorted_string like '%93458-00025-07-2024%' or</v>
      </c>
    </row>
    <row r="17" spans="1:10" x14ac:dyDescent="0.25">
      <c r="A17" s="29" t="s">
        <v>606</v>
      </c>
      <c r="B17" t="s">
        <v>1786</v>
      </c>
      <c r="H17">
        <v>93461</v>
      </c>
      <c r="I17" t="s">
        <v>1848</v>
      </c>
      <c r="J17" t="str">
        <f t="shared" si="0"/>
        <v>ia.assorted_string like '%93461-00001-07-2024%' or</v>
      </c>
    </row>
    <row r="18" spans="1:10" x14ac:dyDescent="0.25">
      <c r="A18" s="29" t="s">
        <v>614</v>
      </c>
      <c r="B18" t="s">
        <v>1786</v>
      </c>
      <c r="H18">
        <v>93458</v>
      </c>
      <c r="I18" t="s">
        <v>1794</v>
      </c>
      <c r="J18" t="str">
        <f t="shared" si="0"/>
        <v>ia.assorted_string like '%93458-00014-07-2024%' or</v>
      </c>
    </row>
    <row r="19" spans="1:10" x14ac:dyDescent="0.25">
      <c r="A19" s="29" t="s">
        <v>622</v>
      </c>
      <c r="B19" t="s">
        <v>1786</v>
      </c>
      <c r="H19">
        <v>93458</v>
      </c>
      <c r="I19" t="s">
        <v>1856</v>
      </c>
      <c r="J19" t="str">
        <f t="shared" si="0"/>
        <v>ia.assorted_string like '%93458-00010-07-2024%' or</v>
      </c>
    </row>
    <row r="20" spans="1:10" x14ac:dyDescent="0.25">
      <c r="A20" s="29" t="s">
        <v>629</v>
      </c>
      <c r="B20" t="s">
        <v>1786</v>
      </c>
      <c r="H20">
        <v>93458</v>
      </c>
      <c r="I20" t="s">
        <v>1801</v>
      </c>
      <c r="J20" t="str">
        <f t="shared" si="0"/>
        <v>ia.assorted_string like '%93458-00020-07-2024%' or</v>
      </c>
    </row>
    <row r="21" spans="1:10" x14ac:dyDescent="0.25">
      <c r="A21" s="29" t="s">
        <v>636</v>
      </c>
      <c r="B21" t="s">
        <v>1786</v>
      </c>
      <c r="H21">
        <v>93458</v>
      </c>
      <c r="I21" t="s">
        <v>1800</v>
      </c>
      <c r="J21" t="str">
        <f t="shared" si="0"/>
        <v>ia.assorted_string like '%93458-00002-07-2024%' or</v>
      </c>
    </row>
    <row r="22" spans="1:10" x14ac:dyDescent="0.25">
      <c r="A22" s="29" t="s">
        <v>645</v>
      </c>
      <c r="B22" t="s">
        <v>1786</v>
      </c>
      <c r="H22">
        <v>93458</v>
      </c>
      <c r="I22" t="s">
        <v>1847</v>
      </c>
      <c r="J22" t="str">
        <f t="shared" si="0"/>
        <v>ia.assorted_string like '%93458-00007-07-2024%' or</v>
      </c>
    </row>
    <row r="23" spans="1:10" x14ac:dyDescent="0.25">
      <c r="A23" s="29" t="s">
        <v>653</v>
      </c>
      <c r="B23" t="s">
        <v>1786</v>
      </c>
      <c r="H23">
        <v>93458</v>
      </c>
      <c r="I23" t="s">
        <v>1796</v>
      </c>
      <c r="J23" t="str">
        <f t="shared" si="0"/>
        <v>ia.assorted_string like '%93458-00016-07-2024%' or</v>
      </c>
    </row>
    <row r="24" spans="1:10" x14ac:dyDescent="0.25">
      <c r="A24" s="29" t="s">
        <v>660</v>
      </c>
      <c r="B24" t="s">
        <v>1786</v>
      </c>
      <c r="H24">
        <v>93458</v>
      </c>
      <c r="I24" t="s">
        <v>1804</v>
      </c>
      <c r="J24" t="str">
        <f t="shared" si="0"/>
        <v>ia.assorted_string like '%93458-00023-07-2024%' or</v>
      </c>
    </row>
    <row r="25" spans="1:10" x14ac:dyDescent="0.25">
      <c r="A25" s="29" t="s">
        <v>667</v>
      </c>
      <c r="B25" t="s">
        <v>1786</v>
      </c>
      <c r="H25">
        <v>93458</v>
      </c>
      <c r="I25" t="s">
        <v>1817</v>
      </c>
      <c r="J25" t="str">
        <f t="shared" si="0"/>
        <v>ia.assorted_string like '%93458-00035-07-2024%' or</v>
      </c>
    </row>
    <row r="26" spans="1:10" x14ac:dyDescent="0.25">
      <c r="A26" s="29" t="s">
        <v>676</v>
      </c>
      <c r="B26" t="s">
        <v>1786</v>
      </c>
      <c r="H26">
        <v>93458</v>
      </c>
      <c r="I26" t="s">
        <v>1802</v>
      </c>
      <c r="J26" t="str">
        <f t="shared" si="0"/>
        <v>ia.assorted_string like '%93458-00021-07-2024%' or</v>
      </c>
    </row>
    <row r="27" spans="1:10" x14ac:dyDescent="0.25">
      <c r="A27" s="29" t="s">
        <v>684</v>
      </c>
      <c r="B27" t="s">
        <v>1786</v>
      </c>
      <c r="H27">
        <v>93458</v>
      </c>
      <c r="I27" t="s">
        <v>1792</v>
      </c>
      <c r="J27" t="str">
        <f t="shared" si="0"/>
        <v>ia.assorted_string like '%93458-00012-07-2024%' or</v>
      </c>
    </row>
    <row r="28" spans="1:10" x14ac:dyDescent="0.25">
      <c r="A28" s="29" t="s">
        <v>691</v>
      </c>
      <c r="B28" t="s">
        <v>1786</v>
      </c>
      <c r="H28">
        <v>93458</v>
      </c>
      <c r="I28" t="s">
        <v>1809</v>
      </c>
      <c r="J28" t="str">
        <f t="shared" si="0"/>
        <v>ia.assorted_string like '%93458-00028-07-2024%' or</v>
      </c>
    </row>
    <row r="29" spans="1:10" x14ac:dyDescent="0.25">
      <c r="A29" s="29" t="s">
        <v>699</v>
      </c>
      <c r="B29" t="s">
        <v>1786</v>
      </c>
      <c r="H29">
        <v>93457</v>
      </c>
      <c r="I29" t="s">
        <v>1793</v>
      </c>
      <c r="J29" t="str">
        <f t="shared" si="0"/>
        <v>ia.assorted_string like '%93457-00013-07-2024%' or</v>
      </c>
    </row>
    <row r="30" spans="1:10" x14ac:dyDescent="0.25">
      <c r="A30" s="29" t="s">
        <v>706</v>
      </c>
      <c r="B30" t="s">
        <v>1786</v>
      </c>
      <c r="H30">
        <v>93458</v>
      </c>
      <c r="I30" t="s">
        <v>1797</v>
      </c>
      <c r="J30" t="str">
        <f t="shared" si="0"/>
        <v>ia.assorted_string like '%93458-00017-07-2024%' or</v>
      </c>
    </row>
    <row r="31" spans="1:10" x14ac:dyDescent="0.25">
      <c r="A31" s="29" t="s">
        <v>714</v>
      </c>
      <c r="B31" t="s">
        <v>1786</v>
      </c>
      <c r="H31">
        <v>93460</v>
      </c>
      <c r="I31" t="s">
        <v>1792</v>
      </c>
      <c r="J31" t="str">
        <f t="shared" si="0"/>
        <v>ia.assorted_string like '%93460-00012-07-2024%' or</v>
      </c>
    </row>
    <row r="32" spans="1:10" x14ac:dyDescent="0.25">
      <c r="A32" s="29" t="s">
        <v>722</v>
      </c>
      <c r="B32" t="s">
        <v>1786</v>
      </c>
      <c r="H32">
        <v>93458</v>
      </c>
      <c r="I32" t="s">
        <v>1819</v>
      </c>
      <c r="J32" t="str">
        <f t="shared" si="0"/>
        <v>ia.assorted_string like '%93458-00037-07-2024%' or</v>
      </c>
    </row>
    <row r="33" spans="1:10" x14ac:dyDescent="0.25">
      <c r="A33" s="29" t="s">
        <v>730</v>
      </c>
      <c r="B33" t="s">
        <v>1786</v>
      </c>
      <c r="H33">
        <v>93458</v>
      </c>
      <c r="I33" t="s">
        <v>1808</v>
      </c>
      <c r="J33" t="str">
        <f t="shared" si="0"/>
        <v>ia.assorted_string like '%93458-00027-07-2024%' or</v>
      </c>
    </row>
    <row r="34" spans="1:10" x14ac:dyDescent="0.25">
      <c r="A34" s="29" t="s">
        <v>738</v>
      </c>
      <c r="B34" t="s">
        <v>1786</v>
      </c>
      <c r="H34">
        <v>93458</v>
      </c>
      <c r="I34" t="s">
        <v>1818</v>
      </c>
      <c r="J34" t="str">
        <f t="shared" si="0"/>
        <v>ia.assorted_string like '%93458-00036-07-2024%' or</v>
      </c>
    </row>
    <row r="35" spans="1:10" x14ac:dyDescent="0.25">
      <c r="A35" s="29" t="s">
        <v>745</v>
      </c>
      <c r="B35" t="s">
        <v>1786</v>
      </c>
      <c r="H35">
        <v>93458</v>
      </c>
      <c r="I35" t="s">
        <v>1810</v>
      </c>
      <c r="J35" t="str">
        <f t="shared" si="0"/>
        <v>ia.assorted_string like '%93458-00029-07-2024%' or</v>
      </c>
    </row>
    <row r="36" spans="1:10" x14ac:dyDescent="0.25">
      <c r="A36" s="29" t="s">
        <v>752</v>
      </c>
      <c r="B36" t="s">
        <v>1786</v>
      </c>
      <c r="H36">
        <v>93458</v>
      </c>
      <c r="I36" t="s">
        <v>1815</v>
      </c>
      <c r="J36" t="str">
        <f t="shared" si="0"/>
        <v>ia.assorted_string like '%93458-00033-07-2024%' or</v>
      </c>
    </row>
    <row r="37" spans="1:10" x14ac:dyDescent="0.25">
      <c r="A37" s="29" t="s">
        <v>759</v>
      </c>
      <c r="B37" t="s">
        <v>1786</v>
      </c>
      <c r="H37">
        <v>93458</v>
      </c>
      <c r="I37" t="s">
        <v>1803</v>
      </c>
      <c r="J37" t="str">
        <f t="shared" si="0"/>
        <v>ia.assorted_string like '%93458-00022-07-2024%' or</v>
      </c>
    </row>
    <row r="38" spans="1:10" x14ac:dyDescent="0.25">
      <c r="A38" s="29" t="s">
        <v>767</v>
      </c>
      <c r="B38" t="s">
        <v>1786</v>
      </c>
      <c r="H38">
        <v>93458</v>
      </c>
      <c r="I38" t="s">
        <v>1807</v>
      </c>
      <c r="J38" t="str">
        <f t="shared" si="0"/>
        <v>ia.assorted_string like '%93458-00026-07-2024%' or</v>
      </c>
    </row>
    <row r="39" spans="1:10" x14ac:dyDescent="0.25">
      <c r="A39" s="29" t="s">
        <v>774</v>
      </c>
      <c r="B39" t="s">
        <v>1786</v>
      </c>
      <c r="H39">
        <v>93458</v>
      </c>
      <c r="I39" t="s">
        <v>1795</v>
      </c>
      <c r="J39" t="str">
        <f t="shared" si="0"/>
        <v>ia.assorted_string like '%93458-00015-07-2024%' or</v>
      </c>
    </row>
    <row r="40" spans="1:10" x14ac:dyDescent="0.25">
      <c r="A40" s="29" t="s">
        <v>781</v>
      </c>
      <c r="B40" t="s">
        <v>1786</v>
      </c>
      <c r="H40">
        <v>93458</v>
      </c>
      <c r="I40" t="s">
        <v>1848</v>
      </c>
      <c r="J40" t="str">
        <f t="shared" si="0"/>
        <v>ia.assorted_string like '%93458-00001-07-2024%' or</v>
      </c>
    </row>
    <row r="41" spans="1:10" x14ac:dyDescent="0.25">
      <c r="A41" s="29" t="s">
        <v>788</v>
      </c>
      <c r="B41" t="s">
        <v>1786</v>
      </c>
      <c r="H41">
        <v>93461</v>
      </c>
      <c r="I41" t="s">
        <v>1833</v>
      </c>
      <c r="J41" t="str">
        <f t="shared" si="0"/>
        <v>ia.assorted_string like '%93461-00005-07-2024%' or</v>
      </c>
    </row>
    <row r="42" spans="1:10" x14ac:dyDescent="0.25">
      <c r="A42" s="29" t="s">
        <v>797</v>
      </c>
      <c r="B42" t="s">
        <v>1786</v>
      </c>
      <c r="H42">
        <v>93459</v>
      </c>
      <c r="I42" t="s">
        <v>1797</v>
      </c>
      <c r="J42" t="str">
        <f t="shared" si="0"/>
        <v>ia.assorted_string like '%93459-00017-07-2024%' or</v>
      </c>
    </row>
    <row r="43" spans="1:10" x14ac:dyDescent="0.25">
      <c r="A43" s="29" t="s">
        <v>804</v>
      </c>
      <c r="B43" t="s">
        <v>1786</v>
      </c>
      <c r="H43">
        <v>93457</v>
      </c>
      <c r="I43" t="s">
        <v>1836</v>
      </c>
      <c r="J43" t="str">
        <f t="shared" si="0"/>
        <v>ia.assorted_string like '%93457-00052-07-2024%' or</v>
      </c>
    </row>
    <row r="44" spans="1:10" x14ac:dyDescent="0.25">
      <c r="A44" s="29" t="s">
        <v>812</v>
      </c>
      <c r="B44" t="s">
        <v>1786</v>
      </c>
      <c r="H44">
        <v>93460</v>
      </c>
      <c r="I44" t="s">
        <v>1848</v>
      </c>
      <c r="J44" t="str">
        <f t="shared" si="0"/>
        <v>ia.assorted_string like '%93460-00001-07-2024%' or</v>
      </c>
    </row>
    <row r="45" spans="1:10" x14ac:dyDescent="0.25">
      <c r="A45" s="29" t="s">
        <v>821</v>
      </c>
      <c r="B45" t="s">
        <v>1786</v>
      </c>
      <c r="H45">
        <v>93457</v>
      </c>
      <c r="I45" t="s">
        <v>1811</v>
      </c>
      <c r="J45" t="str">
        <f t="shared" si="0"/>
        <v>ia.assorted_string like '%93457-00003-07-2024%' or</v>
      </c>
    </row>
    <row r="46" spans="1:10" x14ac:dyDescent="0.25">
      <c r="A46" s="29" t="s">
        <v>830</v>
      </c>
      <c r="B46" t="s">
        <v>1786</v>
      </c>
      <c r="H46">
        <v>93457</v>
      </c>
      <c r="I46" t="s">
        <v>1848</v>
      </c>
      <c r="J46" t="str">
        <f t="shared" si="0"/>
        <v>ia.assorted_string like '%93457-00001-07-2024%' or</v>
      </c>
    </row>
    <row r="47" spans="1:10" x14ac:dyDescent="0.25">
      <c r="A47" s="29" t="s">
        <v>838</v>
      </c>
      <c r="B47" t="s">
        <v>1786</v>
      </c>
      <c r="H47">
        <v>93457</v>
      </c>
      <c r="I47" t="s">
        <v>1822</v>
      </c>
      <c r="J47" t="str">
        <f t="shared" si="0"/>
        <v>ia.assorted_string like '%93457-00004-07-2024%' or</v>
      </c>
    </row>
    <row r="48" spans="1:10" x14ac:dyDescent="0.25">
      <c r="A48" s="29" t="s">
        <v>844</v>
      </c>
      <c r="B48" t="s">
        <v>1786</v>
      </c>
      <c r="H48">
        <v>93457</v>
      </c>
      <c r="I48" t="s">
        <v>1792</v>
      </c>
      <c r="J48" t="str">
        <f t="shared" si="0"/>
        <v>ia.assorted_string like '%93457-00012-07-2024%' or</v>
      </c>
    </row>
    <row r="49" spans="1:10" x14ac:dyDescent="0.25">
      <c r="A49" s="29" t="s">
        <v>852</v>
      </c>
      <c r="B49" t="s">
        <v>1786</v>
      </c>
      <c r="H49">
        <v>93458</v>
      </c>
      <c r="I49" t="s">
        <v>1844</v>
      </c>
      <c r="J49" t="str">
        <f t="shared" si="0"/>
        <v>ia.assorted_string like '%93458-00006-07-2024%' or</v>
      </c>
    </row>
    <row r="50" spans="1:10" x14ac:dyDescent="0.25">
      <c r="A50" s="29" t="s">
        <v>859</v>
      </c>
      <c r="B50" t="s">
        <v>1786</v>
      </c>
      <c r="H50">
        <v>93457</v>
      </c>
      <c r="I50" t="s">
        <v>1799</v>
      </c>
      <c r="J50" t="str">
        <f t="shared" si="0"/>
        <v>ia.assorted_string like '%93457-00019-07-2024%' or</v>
      </c>
    </row>
    <row r="51" spans="1:10" x14ac:dyDescent="0.25">
      <c r="A51" s="29" t="s">
        <v>865</v>
      </c>
      <c r="B51" t="s">
        <v>1786</v>
      </c>
      <c r="H51">
        <v>93457</v>
      </c>
      <c r="I51" t="s">
        <v>1801</v>
      </c>
      <c r="J51" t="str">
        <f t="shared" si="0"/>
        <v>ia.assorted_string like '%93457-00020-07-2024%' or</v>
      </c>
    </row>
    <row r="52" spans="1:10" x14ac:dyDescent="0.25">
      <c r="A52" s="29" t="s">
        <v>871</v>
      </c>
      <c r="B52" t="s">
        <v>1786</v>
      </c>
      <c r="H52">
        <v>93457</v>
      </c>
      <c r="I52" t="s">
        <v>1847</v>
      </c>
      <c r="J52" t="str">
        <f t="shared" si="0"/>
        <v>ia.assorted_string like '%93457-00007-07-2024%' or</v>
      </c>
    </row>
    <row r="53" spans="1:10" x14ac:dyDescent="0.25">
      <c r="A53" s="29" t="s">
        <v>879</v>
      </c>
      <c r="B53" t="s">
        <v>1786</v>
      </c>
      <c r="H53">
        <v>93457</v>
      </c>
      <c r="I53" t="s">
        <v>1807</v>
      </c>
      <c r="J53" t="str">
        <f t="shared" si="0"/>
        <v>ia.assorted_string like '%93457-00026-07-2024%' or</v>
      </c>
    </row>
    <row r="54" spans="1:10" x14ac:dyDescent="0.25">
      <c r="A54" s="29" t="s">
        <v>887</v>
      </c>
      <c r="B54" t="s">
        <v>1786</v>
      </c>
      <c r="H54">
        <v>93457</v>
      </c>
      <c r="I54" t="s">
        <v>1827</v>
      </c>
      <c r="J54" t="str">
        <f t="shared" si="0"/>
        <v>ia.assorted_string like '%93457-00044-07-2024%' or</v>
      </c>
    </row>
    <row r="55" spans="1:10" x14ac:dyDescent="0.25">
      <c r="A55" s="29" t="s">
        <v>894</v>
      </c>
      <c r="B55" t="s">
        <v>1786</v>
      </c>
      <c r="H55">
        <v>93460</v>
      </c>
      <c r="I55" t="s">
        <v>1855</v>
      </c>
      <c r="J55" t="str">
        <f t="shared" si="0"/>
        <v>ia.assorted_string like '%93460-00009-07-2024%' or</v>
      </c>
    </row>
    <row r="56" spans="1:10" x14ac:dyDescent="0.25">
      <c r="A56" s="29" t="s">
        <v>900</v>
      </c>
      <c r="B56" t="s">
        <v>1786</v>
      </c>
      <c r="H56">
        <v>93460</v>
      </c>
      <c r="I56" t="s">
        <v>1847</v>
      </c>
      <c r="J56" t="str">
        <f t="shared" si="0"/>
        <v>ia.assorted_string like '%93460-00007-07-2024%' or</v>
      </c>
    </row>
    <row r="57" spans="1:10" x14ac:dyDescent="0.25">
      <c r="A57" s="29" t="s">
        <v>906</v>
      </c>
      <c r="B57" t="s">
        <v>1786</v>
      </c>
      <c r="H57">
        <v>93457</v>
      </c>
      <c r="I57" t="s">
        <v>1844</v>
      </c>
      <c r="J57" t="str">
        <f t="shared" si="0"/>
        <v>ia.assorted_string like '%93457-00006-07-2024%' or</v>
      </c>
    </row>
    <row r="58" spans="1:10" x14ac:dyDescent="0.25">
      <c r="A58" s="29" t="s">
        <v>913</v>
      </c>
      <c r="B58" t="s">
        <v>1786</v>
      </c>
      <c r="H58">
        <v>93457</v>
      </c>
      <c r="I58" t="s">
        <v>1805</v>
      </c>
      <c r="J58" t="str">
        <f t="shared" si="0"/>
        <v>ia.assorted_string like '%93457-00024-07-2024%' or</v>
      </c>
    </row>
    <row r="59" spans="1:10" x14ac:dyDescent="0.25">
      <c r="A59" s="29" t="s">
        <v>919</v>
      </c>
      <c r="B59" t="s">
        <v>1786</v>
      </c>
      <c r="H59">
        <v>93460</v>
      </c>
      <c r="I59" t="s">
        <v>1856</v>
      </c>
      <c r="J59" t="str">
        <f t="shared" si="0"/>
        <v>ia.assorted_string like '%93460-00010-07-2024%' or</v>
      </c>
    </row>
    <row r="60" spans="1:10" x14ac:dyDescent="0.25">
      <c r="A60" s="29" t="s">
        <v>925</v>
      </c>
      <c r="B60" t="s">
        <v>1786</v>
      </c>
      <c r="H60">
        <v>93457</v>
      </c>
      <c r="I60" t="s">
        <v>1835</v>
      </c>
      <c r="J60" t="str">
        <f t="shared" si="0"/>
        <v>ia.assorted_string like '%93457-00051-07-2024%' or</v>
      </c>
    </row>
    <row r="61" spans="1:10" x14ac:dyDescent="0.25">
      <c r="A61" s="29" t="s">
        <v>931</v>
      </c>
      <c r="B61" t="s">
        <v>1786</v>
      </c>
      <c r="H61">
        <v>93457</v>
      </c>
      <c r="I61" t="s">
        <v>1834</v>
      </c>
      <c r="J61" t="str">
        <f t="shared" si="0"/>
        <v>ia.assorted_string like '%93457-00050-07-2024%' or</v>
      </c>
    </row>
    <row r="62" spans="1:10" x14ac:dyDescent="0.25">
      <c r="A62" s="29" t="s">
        <v>938</v>
      </c>
      <c r="B62" t="s">
        <v>1786</v>
      </c>
      <c r="H62">
        <v>93457</v>
      </c>
      <c r="I62" t="s">
        <v>1816</v>
      </c>
      <c r="J62" t="str">
        <f t="shared" si="0"/>
        <v>ia.assorted_string like '%93457-00034-07-2024%' or</v>
      </c>
    </row>
    <row r="63" spans="1:10" x14ac:dyDescent="0.25">
      <c r="A63" s="29" t="s">
        <v>943</v>
      </c>
      <c r="B63" t="s">
        <v>1786</v>
      </c>
      <c r="H63">
        <v>93457</v>
      </c>
      <c r="I63" t="s">
        <v>1831</v>
      </c>
      <c r="J63" t="str">
        <f t="shared" si="0"/>
        <v>ia.assorted_string like '%93457-00048-07-2024%' or</v>
      </c>
    </row>
    <row r="64" spans="1:10" x14ac:dyDescent="0.25">
      <c r="A64" s="29" t="s">
        <v>951</v>
      </c>
      <c r="B64" t="s">
        <v>1786</v>
      </c>
      <c r="H64">
        <v>93457</v>
      </c>
      <c r="I64" t="s">
        <v>1812</v>
      </c>
      <c r="J64" t="str">
        <f t="shared" si="0"/>
        <v>ia.assorted_string like '%93457-00030-07-2024%' or</v>
      </c>
    </row>
    <row r="65" spans="1:10" x14ac:dyDescent="0.25">
      <c r="A65" s="29" t="s">
        <v>958</v>
      </c>
      <c r="B65" t="s">
        <v>1786</v>
      </c>
      <c r="H65">
        <v>93461</v>
      </c>
      <c r="I65" t="s">
        <v>1847</v>
      </c>
      <c r="J65" t="str">
        <f t="shared" si="0"/>
        <v>ia.assorted_string like '%93461-00007-07-2024%' or</v>
      </c>
    </row>
    <row r="66" spans="1:10" x14ac:dyDescent="0.25">
      <c r="A66" s="29" t="s">
        <v>965</v>
      </c>
      <c r="B66" t="s">
        <v>1786</v>
      </c>
      <c r="H66">
        <v>93461</v>
      </c>
      <c r="I66" t="s">
        <v>1822</v>
      </c>
      <c r="J66" t="str">
        <f t="shared" si="0"/>
        <v>ia.assorted_string like '%93461-00004-07-2024%' or</v>
      </c>
    </row>
    <row r="67" spans="1:10" x14ac:dyDescent="0.25">
      <c r="A67" s="29" t="s">
        <v>974</v>
      </c>
      <c r="B67" t="s">
        <v>1786</v>
      </c>
      <c r="H67">
        <v>93459</v>
      </c>
      <c r="I67" t="s">
        <v>1833</v>
      </c>
      <c r="J67" t="str">
        <f t="shared" ref="J67:J130" si="1">"ia.assorted_string like '%"&amp;H67&amp;"-"&amp;I67&amp;B67&amp;"%' or"</f>
        <v>ia.assorted_string like '%93459-00005-07-2024%' or</v>
      </c>
    </row>
    <row r="68" spans="1:10" x14ac:dyDescent="0.25">
      <c r="A68" s="29" t="s">
        <v>981</v>
      </c>
      <c r="B68" t="s">
        <v>1786</v>
      </c>
      <c r="H68">
        <v>93459</v>
      </c>
      <c r="I68" t="s">
        <v>1803</v>
      </c>
      <c r="J68" t="str">
        <f t="shared" si="1"/>
        <v>ia.assorted_string like '%93459-00022-07-2024%' or</v>
      </c>
    </row>
    <row r="69" spans="1:10" x14ac:dyDescent="0.25">
      <c r="A69" s="29" t="s">
        <v>988</v>
      </c>
      <c r="B69" t="s">
        <v>1786</v>
      </c>
      <c r="H69">
        <v>93459</v>
      </c>
      <c r="I69" t="s">
        <v>1805</v>
      </c>
      <c r="J69" t="str">
        <f t="shared" si="1"/>
        <v>ia.assorted_string like '%93459-00024-07-2024%' or</v>
      </c>
    </row>
    <row r="70" spans="1:10" x14ac:dyDescent="0.25">
      <c r="A70" s="29" t="s">
        <v>996</v>
      </c>
      <c r="B70" t="s">
        <v>1786</v>
      </c>
      <c r="H70">
        <v>93459</v>
      </c>
      <c r="I70" t="s">
        <v>1801</v>
      </c>
      <c r="J70" t="str">
        <f t="shared" si="1"/>
        <v>ia.assorted_string like '%93459-00020-07-2024%' or</v>
      </c>
    </row>
    <row r="71" spans="1:10" x14ac:dyDescent="0.25">
      <c r="A71" s="29" t="s">
        <v>1004</v>
      </c>
      <c r="B71" t="s">
        <v>1786</v>
      </c>
      <c r="H71">
        <v>93457</v>
      </c>
      <c r="I71" t="s">
        <v>1803</v>
      </c>
      <c r="J71" t="str">
        <f t="shared" si="1"/>
        <v>ia.assorted_string like '%93457-00022-07-2024%' or</v>
      </c>
    </row>
    <row r="72" spans="1:10" x14ac:dyDescent="0.25">
      <c r="A72" s="29" t="s">
        <v>1011</v>
      </c>
      <c r="B72" t="s">
        <v>1786</v>
      </c>
      <c r="H72">
        <v>93458</v>
      </c>
      <c r="I72" t="s">
        <v>1799</v>
      </c>
      <c r="J72" t="str">
        <f t="shared" si="1"/>
        <v>ia.assorted_string like '%93458-00019-07-2024%' or</v>
      </c>
    </row>
    <row r="73" spans="1:10" x14ac:dyDescent="0.25">
      <c r="A73" s="29" t="s">
        <v>1017</v>
      </c>
      <c r="B73" t="s">
        <v>1786</v>
      </c>
      <c r="H73">
        <v>93458</v>
      </c>
      <c r="I73" t="s">
        <v>1821</v>
      </c>
      <c r="J73" t="str">
        <f t="shared" si="1"/>
        <v>ia.assorted_string like '%93458-00039-07-2024%' or</v>
      </c>
    </row>
    <row r="74" spans="1:10" x14ac:dyDescent="0.25">
      <c r="A74" s="29" t="s">
        <v>1023</v>
      </c>
      <c r="B74" t="s">
        <v>1786</v>
      </c>
      <c r="H74">
        <v>93458</v>
      </c>
      <c r="I74" t="s">
        <v>1812</v>
      </c>
      <c r="J74" t="str">
        <f t="shared" si="1"/>
        <v>ia.assorted_string like '%93458-00030-07-2024%' or</v>
      </c>
    </row>
    <row r="75" spans="1:10" x14ac:dyDescent="0.25">
      <c r="A75" s="29" t="s">
        <v>1031</v>
      </c>
      <c r="B75" t="s">
        <v>1786</v>
      </c>
      <c r="H75">
        <v>93458</v>
      </c>
      <c r="I75" t="s">
        <v>1823</v>
      </c>
      <c r="J75" t="str">
        <f t="shared" si="1"/>
        <v>ia.assorted_string like '%93458-00040-07-2024%' or</v>
      </c>
    </row>
    <row r="76" spans="1:10" x14ac:dyDescent="0.25">
      <c r="A76" s="29" t="s">
        <v>1039</v>
      </c>
      <c r="B76" t="s">
        <v>1786</v>
      </c>
      <c r="H76">
        <v>93458</v>
      </c>
      <c r="I76" t="s">
        <v>1793</v>
      </c>
      <c r="J76" t="str">
        <f t="shared" si="1"/>
        <v>ia.assorted_string like '%93458-00013-07-2024%' or</v>
      </c>
    </row>
    <row r="77" spans="1:10" x14ac:dyDescent="0.25">
      <c r="A77" s="29" t="s">
        <v>1046</v>
      </c>
      <c r="B77" t="s">
        <v>1786</v>
      </c>
      <c r="H77">
        <v>93457</v>
      </c>
      <c r="I77" t="s">
        <v>1830</v>
      </c>
      <c r="J77" t="str">
        <f t="shared" si="1"/>
        <v>ia.assorted_string like '%93457-00047-07-2024%' or</v>
      </c>
    </row>
    <row r="78" spans="1:10" x14ac:dyDescent="0.25">
      <c r="A78" s="29" t="s">
        <v>1054</v>
      </c>
      <c r="B78" t="s">
        <v>1786</v>
      </c>
      <c r="H78">
        <v>93458</v>
      </c>
      <c r="I78" t="s">
        <v>1798</v>
      </c>
      <c r="J78" t="str">
        <f t="shared" si="1"/>
        <v>ia.assorted_string like '%93458-00018-07-2024%' or</v>
      </c>
    </row>
    <row r="79" spans="1:10" x14ac:dyDescent="0.25">
      <c r="A79" s="29" t="s">
        <v>1062</v>
      </c>
      <c r="B79" t="s">
        <v>1786</v>
      </c>
      <c r="H79">
        <v>93457</v>
      </c>
      <c r="I79" t="s">
        <v>1791</v>
      </c>
      <c r="J79" t="str">
        <f t="shared" si="1"/>
        <v>ia.assorted_string like '%93457-00008-07-2024%' or</v>
      </c>
    </row>
    <row r="80" spans="1:10" x14ac:dyDescent="0.25">
      <c r="A80" s="29" t="s">
        <v>1068</v>
      </c>
      <c r="B80" t="s">
        <v>1786</v>
      </c>
      <c r="H80">
        <v>93457</v>
      </c>
      <c r="I80" t="s">
        <v>1806</v>
      </c>
      <c r="J80" t="str">
        <f t="shared" si="1"/>
        <v>ia.assorted_string like '%93457-00025-07-2024%' or</v>
      </c>
    </row>
    <row r="81" spans="1:10" x14ac:dyDescent="0.25">
      <c r="A81" s="29" t="s">
        <v>1074</v>
      </c>
      <c r="B81" t="s">
        <v>1786</v>
      </c>
      <c r="H81">
        <v>93457</v>
      </c>
      <c r="I81" t="s">
        <v>1815</v>
      </c>
      <c r="J81" t="str">
        <f t="shared" si="1"/>
        <v>ia.assorted_string like '%93457-00033-07-2024%' or</v>
      </c>
    </row>
    <row r="82" spans="1:10" x14ac:dyDescent="0.25">
      <c r="A82" s="29" t="s">
        <v>1081</v>
      </c>
      <c r="B82" t="s">
        <v>1786</v>
      </c>
      <c r="H82">
        <v>93457</v>
      </c>
      <c r="I82" t="s">
        <v>1817</v>
      </c>
      <c r="J82" t="str">
        <f t="shared" si="1"/>
        <v>ia.assorted_string like '%93457-00035-07-2024%' or</v>
      </c>
    </row>
    <row r="83" spans="1:10" x14ac:dyDescent="0.25">
      <c r="A83" s="29" t="s">
        <v>1087</v>
      </c>
      <c r="B83" t="s">
        <v>1786</v>
      </c>
      <c r="H83">
        <v>93459</v>
      </c>
      <c r="I83" t="s">
        <v>1847</v>
      </c>
      <c r="J83" t="str">
        <f t="shared" si="1"/>
        <v>ia.assorted_string like '%93459-00007-07-2024%' or</v>
      </c>
    </row>
    <row r="84" spans="1:10" x14ac:dyDescent="0.25">
      <c r="A84" s="29" t="s">
        <v>1094</v>
      </c>
      <c r="B84" t="s">
        <v>1786</v>
      </c>
      <c r="H84">
        <v>93457</v>
      </c>
      <c r="I84" t="s">
        <v>1837</v>
      </c>
      <c r="J84" t="str">
        <f t="shared" si="1"/>
        <v>ia.assorted_string like '%93457-00053-07-2024%' or</v>
      </c>
    </row>
    <row r="85" spans="1:10" x14ac:dyDescent="0.25">
      <c r="A85" s="29" t="s">
        <v>1101</v>
      </c>
      <c r="B85" t="s">
        <v>1786</v>
      </c>
      <c r="H85">
        <v>93461</v>
      </c>
      <c r="I85" t="s">
        <v>1792</v>
      </c>
      <c r="J85" t="str">
        <f t="shared" si="1"/>
        <v>ia.assorted_string like '%93461-00012-07-2024%' or</v>
      </c>
    </row>
    <row r="86" spans="1:10" x14ac:dyDescent="0.25">
      <c r="A86" s="29" t="s">
        <v>1107</v>
      </c>
      <c r="B86" t="s">
        <v>1786</v>
      </c>
      <c r="H86">
        <v>93461</v>
      </c>
      <c r="I86" t="s">
        <v>1855</v>
      </c>
      <c r="J86" t="str">
        <f t="shared" si="1"/>
        <v>ia.assorted_string like '%93461-00009-07-2024%' or</v>
      </c>
    </row>
    <row r="87" spans="1:10" x14ac:dyDescent="0.25">
      <c r="A87" s="29" t="s">
        <v>1114</v>
      </c>
      <c r="B87" t="s">
        <v>1786</v>
      </c>
      <c r="H87">
        <v>93458</v>
      </c>
      <c r="I87" t="s">
        <v>1833</v>
      </c>
      <c r="J87" t="str">
        <f t="shared" si="1"/>
        <v>ia.assorted_string like '%93458-00005-07-2024%' or</v>
      </c>
    </row>
    <row r="88" spans="1:10" x14ac:dyDescent="0.25">
      <c r="A88" s="29" t="s">
        <v>1120</v>
      </c>
      <c r="B88" t="s">
        <v>1786</v>
      </c>
      <c r="H88">
        <v>93459</v>
      </c>
      <c r="I88" t="s">
        <v>1802</v>
      </c>
      <c r="J88" t="str">
        <f t="shared" si="1"/>
        <v>ia.assorted_string like '%93459-00021-07-2024%' or</v>
      </c>
    </row>
    <row r="89" spans="1:10" x14ac:dyDescent="0.25">
      <c r="A89" s="29" t="s">
        <v>1128</v>
      </c>
      <c r="B89" t="s">
        <v>1786</v>
      </c>
      <c r="H89">
        <v>93572</v>
      </c>
      <c r="I89" t="s">
        <v>1847</v>
      </c>
      <c r="J89" t="str">
        <f t="shared" si="1"/>
        <v>ia.assorted_string like '%93572-00007-07-2024%' or</v>
      </c>
    </row>
    <row r="90" spans="1:10" x14ac:dyDescent="0.25">
      <c r="A90" s="29" t="s">
        <v>1138</v>
      </c>
      <c r="B90" t="s">
        <v>1786</v>
      </c>
      <c r="H90">
        <v>93459</v>
      </c>
      <c r="I90" t="s">
        <v>1811</v>
      </c>
      <c r="J90" t="str">
        <f t="shared" si="1"/>
        <v>ia.assorted_string like '%93459-00003-07-2024%' or</v>
      </c>
    </row>
    <row r="91" spans="1:10" x14ac:dyDescent="0.25">
      <c r="A91" s="29" t="s">
        <v>1144</v>
      </c>
      <c r="B91" t="s">
        <v>1786</v>
      </c>
      <c r="H91">
        <v>93457</v>
      </c>
      <c r="I91" t="s">
        <v>1826</v>
      </c>
      <c r="J91" t="str">
        <f t="shared" si="1"/>
        <v>ia.assorted_string like '%93457-00043-07-2024%' or</v>
      </c>
    </row>
    <row r="92" spans="1:10" x14ac:dyDescent="0.25">
      <c r="A92" s="29" t="s">
        <v>1150</v>
      </c>
      <c r="B92" t="s">
        <v>1786</v>
      </c>
      <c r="H92">
        <v>93457</v>
      </c>
      <c r="I92" t="s">
        <v>1804</v>
      </c>
      <c r="J92" t="str">
        <f t="shared" si="1"/>
        <v>ia.assorted_string like '%93457-00023-07-2024%' or</v>
      </c>
    </row>
    <row r="93" spans="1:10" x14ac:dyDescent="0.25">
      <c r="A93" s="29" t="s">
        <v>1156</v>
      </c>
      <c r="B93" t="s">
        <v>1786</v>
      </c>
      <c r="H93">
        <v>93459</v>
      </c>
      <c r="I93" t="s">
        <v>1796</v>
      </c>
      <c r="J93" t="str">
        <f t="shared" si="1"/>
        <v>ia.assorted_string like '%93459-00016-07-2024%' or</v>
      </c>
    </row>
    <row r="94" spans="1:10" x14ac:dyDescent="0.25">
      <c r="A94" s="29" t="s">
        <v>1164</v>
      </c>
      <c r="B94" t="s">
        <v>1786</v>
      </c>
      <c r="H94">
        <v>93459</v>
      </c>
      <c r="I94" t="s">
        <v>1844</v>
      </c>
      <c r="J94" t="str">
        <f t="shared" si="1"/>
        <v>ia.assorted_string like '%93459-00006-07-2024%' or</v>
      </c>
    </row>
    <row r="95" spans="1:10" x14ac:dyDescent="0.25">
      <c r="A95" s="29" t="s">
        <v>1171</v>
      </c>
      <c r="B95" t="s">
        <v>1786</v>
      </c>
      <c r="H95">
        <v>93459</v>
      </c>
      <c r="I95" t="s">
        <v>1795</v>
      </c>
      <c r="J95" t="str">
        <f t="shared" si="1"/>
        <v>ia.assorted_string like '%93459-00015-07-2024%' or</v>
      </c>
    </row>
    <row r="96" spans="1:10" x14ac:dyDescent="0.25">
      <c r="A96" s="29" t="s">
        <v>1178</v>
      </c>
      <c r="B96" t="s">
        <v>1786</v>
      </c>
      <c r="H96">
        <v>93459</v>
      </c>
      <c r="I96" t="s">
        <v>1804</v>
      </c>
      <c r="J96" t="str">
        <f t="shared" si="1"/>
        <v>ia.assorted_string like '%93459-00023-07-2024%' or</v>
      </c>
    </row>
    <row r="97" spans="1:10" x14ac:dyDescent="0.25">
      <c r="A97" s="29" t="s">
        <v>1184</v>
      </c>
      <c r="B97" t="s">
        <v>1786</v>
      </c>
      <c r="H97">
        <v>93459</v>
      </c>
      <c r="I97" t="s">
        <v>1794</v>
      </c>
      <c r="J97" t="str">
        <f t="shared" si="1"/>
        <v>ia.assorted_string like '%93459-00014-07-2024%' or</v>
      </c>
    </row>
    <row r="98" spans="1:10" x14ac:dyDescent="0.25">
      <c r="A98" s="29" t="s">
        <v>1191</v>
      </c>
      <c r="B98" t="s">
        <v>1786</v>
      </c>
      <c r="H98">
        <v>93457</v>
      </c>
      <c r="I98" t="s">
        <v>1796</v>
      </c>
      <c r="J98" t="str">
        <f t="shared" si="1"/>
        <v>ia.assorted_string like '%93457-00016-07-2024%' or</v>
      </c>
    </row>
    <row r="99" spans="1:10" x14ac:dyDescent="0.25">
      <c r="A99" s="29" t="s">
        <v>1199</v>
      </c>
      <c r="B99" t="s">
        <v>1786</v>
      </c>
      <c r="H99">
        <v>93458</v>
      </c>
      <c r="I99" t="s">
        <v>1811</v>
      </c>
      <c r="J99" t="str">
        <f t="shared" si="1"/>
        <v>ia.assorted_string like '%93458-00003-07-2024%' or</v>
      </c>
    </row>
    <row r="100" spans="1:10" x14ac:dyDescent="0.25">
      <c r="A100" s="29" t="s">
        <v>1206</v>
      </c>
      <c r="B100" t="s">
        <v>1786</v>
      </c>
      <c r="H100">
        <v>93458</v>
      </c>
      <c r="I100" t="s">
        <v>1791</v>
      </c>
      <c r="J100" t="str">
        <f t="shared" si="1"/>
        <v>ia.assorted_string like '%93458-00008-07-2024%' or</v>
      </c>
    </row>
    <row r="101" spans="1:10" x14ac:dyDescent="0.25">
      <c r="A101" s="29" t="s">
        <v>1213</v>
      </c>
      <c r="B101" t="s">
        <v>1786</v>
      </c>
      <c r="H101">
        <v>93461</v>
      </c>
      <c r="I101" t="s">
        <v>1791</v>
      </c>
      <c r="J101" t="str">
        <f t="shared" si="1"/>
        <v>ia.assorted_string like '%93461-00008-07-2024%' or</v>
      </c>
    </row>
    <row r="102" spans="1:10" x14ac:dyDescent="0.25">
      <c r="A102" s="29" t="s">
        <v>1220</v>
      </c>
      <c r="B102" t="s">
        <v>1786</v>
      </c>
      <c r="H102">
        <v>93457</v>
      </c>
      <c r="I102" t="s">
        <v>1855</v>
      </c>
      <c r="J102" t="str">
        <f t="shared" si="1"/>
        <v>ia.assorted_string like '%93457-00009-07-2024%' or</v>
      </c>
    </row>
    <row r="103" spans="1:10" x14ac:dyDescent="0.25">
      <c r="A103" s="29" t="s">
        <v>1227</v>
      </c>
      <c r="B103" t="s">
        <v>1786</v>
      </c>
      <c r="H103">
        <v>93457</v>
      </c>
      <c r="I103" t="s">
        <v>1814</v>
      </c>
      <c r="J103" t="str">
        <f t="shared" si="1"/>
        <v>ia.assorted_string like '%93457-00032-07-2024%' or</v>
      </c>
    </row>
    <row r="104" spans="1:10" x14ac:dyDescent="0.25">
      <c r="A104" s="29" t="s">
        <v>1234</v>
      </c>
      <c r="B104" t="s">
        <v>1786</v>
      </c>
      <c r="H104">
        <v>93461</v>
      </c>
      <c r="I104" t="s">
        <v>1800</v>
      </c>
      <c r="J104" t="str">
        <f t="shared" si="1"/>
        <v>ia.assorted_string like '%93461-00002-07-2024%' or</v>
      </c>
    </row>
    <row r="105" spans="1:10" x14ac:dyDescent="0.25">
      <c r="A105" s="29" t="s">
        <v>1242</v>
      </c>
      <c r="B105" t="s">
        <v>1786</v>
      </c>
      <c r="H105">
        <v>93454</v>
      </c>
      <c r="I105" t="s">
        <v>1800</v>
      </c>
      <c r="J105" t="str">
        <f t="shared" si="1"/>
        <v>ia.assorted_string like '%93454-00002-07-2024%' or</v>
      </c>
    </row>
    <row r="106" spans="1:10" x14ac:dyDescent="0.25">
      <c r="A106" s="29" t="s">
        <v>1250</v>
      </c>
      <c r="B106" t="s">
        <v>1786</v>
      </c>
      <c r="H106">
        <v>93457</v>
      </c>
      <c r="I106" t="s">
        <v>1832</v>
      </c>
      <c r="J106" t="str">
        <f t="shared" si="1"/>
        <v>ia.assorted_string like '%93457-00049-07-2024%' or</v>
      </c>
    </row>
    <row r="107" spans="1:10" x14ac:dyDescent="0.25">
      <c r="A107" s="29" t="s">
        <v>1257</v>
      </c>
      <c r="B107" t="s">
        <v>1786</v>
      </c>
      <c r="H107">
        <v>93458</v>
      </c>
      <c r="I107" t="s">
        <v>1813</v>
      </c>
      <c r="J107" t="str">
        <f t="shared" si="1"/>
        <v>ia.assorted_string like '%93458-00031-07-2024%' or</v>
      </c>
    </row>
    <row r="108" spans="1:10" x14ac:dyDescent="0.25">
      <c r="A108" s="29" t="s">
        <v>1264</v>
      </c>
      <c r="B108" t="s">
        <v>1786</v>
      </c>
      <c r="H108">
        <v>93454</v>
      </c>
      <c r="I108" t="s">
        <v>1848</v>
      </c>
      <c r="J108" t="str">
        <f t="shared" si="1"/>
        <v>ia.assorted_string like '%93454-00001-07-2024%' or</v>
      </c>
    </row>
    <row r="109" spans="1:10" x14ac:dyDescent="0.25">
      <c r="A109" s="29" t="s">
        <v>1270</v>
      </c>
      <c r="B109" t="s">
        <v>1786</v>
      </c>
      <c r="H109">
        <v>93459</v>
      </c>
      <c r="I109" t="s">
        <v>1855</v>
      </c>
      <c r="J109" t="str">
        <f t="shared" si="1"/>
        <v>ia.assorted_string like '%93459-00009-07-2024%' or</v>
      </c>
    </row>
    <row r="110" spans="1:10" x14ac:dyDescent="0.25">
      <c r="A110" s="29" t="s">
        <v>1276</v>
      </c>
      <c r="B110" t="s">
        <v>1786</v>
      </c>
      <c r="H110">
        <v>93459</v>
      </c>
      <c r="I110" t="s">
        <v>1791</v>
      </c>
      <c r="J110" t="str">
        <f t="shared" si="1"/>
        <v>ia.assorted_string like '%93459-00008-07-2024%' or</v>
      </c>
    </row>
    <row r="111" spans="1:10" x14ac:dyDescent="0.25">
      <c r="A111" s="29" t="s">
        <v>1283</v>
      </c>
      <c r="B111" t="s">
        <v>1786</v>
      </c>
      <c r="H111">
        <v>93459</v>
      </c>
      <c r="I111" t="s">
        <v>1798</v>
      </c>
      <c r="J111" t="str">
        <f t="shared" si="1"/>
        <v>ia.assorted_string like '%93459-00018-07-2024%' or</v>
      </c>
    </row>
    <row r="112" spans="1:10" x14ac:dyDescent="0.25">
      <c r="A112" s="29" t="s">
        <v>1291</v>
      </c>
      <c r="B112" t="s">
        <v>1786</v>
      </c>
      <c r="H112">
        <v>93460</v>
      </c>
      <c r="I112" t="s">
        <v>1800</v>
      </c>
      <c r="J112" t="str">
        <f t="shared" si="1"/>
        <v>ia.assorted_string like '%93460-00002-07-2024%' or</v>
      </c>
    </row>
    <row r="113" spans="1:10" x14ac:dyDescent="0.25">
      <c r="A113" s="29" t="s">
        <v>1299</v>
      </c>
      <c r="B113" t="s">
        <v>1786</v>
      </c>
      <c r="H113">
        <v>93458</v>
      </c>
      <c r="I113" t="s">
        <v>1854</v>
      </c>
      <c r="J113" t="str">
        <f t="shared" si="1"/>
        <v>ia.assorted_string like '%93458-00011-07-2024%' or</v>
      </c>
    </row>
    <row r="114" spans="1:10" x14ac:dyDescent="0.25">
      <c r="A114" s="29" t="s">
        <v>1306</v>
      </c>
      <c r="B114" t="s">
        <v>1786</v>
      </c>
      <c r="H114">
        <v>93461</v>
      </c>
      <c r="I114" t="s">
        <v>1795</v>
      </c>
      <c r="J114" t="str">
        <f t="shared" si="1"/>
        <v>ia.assorted_string like '%93461-00015-07-2024%' or</v>
      </c>
    </row>
    <row r="115" spans="1:10" x14ac:dyDescent="0.25">
      <c r="A115" s="29" t="s">
        <v>1313</v>
      </c>
      <c r="B115" t="s">
        <v>1786</v>
      </c>
      <c r="H115">
        <v>93460</v>
      </c>
      <c r="I115" t="s">
        <v>1822</v>
      </c>
      <c r="J115" t="str">
        <f t="shared" si="1"/>
        <v>ia.assorted_string like '%93460-00004-07-2024%' or</v>
      </c>
    </row>
    <row r="116" spans="1:10" x14ac:dyDescent="0.25">
      <c r="A116" s="29" t="s">
        <v>1321</v>
      </c>
      <c r="B116" t="s">
        <v>1786</v>
      </c>
      <c r="H116">
        <v>93459</v>
      </c>
      <c r="I116" t="s">
        <v>1822</v>
      </c>
      <c r="J116" t="str">
        <f t="shared" si="1"/>
        <v>ia.assorted_string like '%93459-00004-07-2024%' or</v>
      </c>
    </row>
    <row r="117" spans="1:10" x14ac:dyDescent="0.25">
      <c r="A117" s="29" t="s">
        <v>1329</v>
      </c>
      <c r="B117" t="s">
        <v>1786</v>
      </c>
      <c r="H117">
        <v>93459</v>
      </c>
      <c r="I117" t="s">
        <v>1807</v>
      </c>
      <c r="J117" t="str">
        <f t="shared" si="1"/>
        <v>ia.assorted_string like '%93459-00026-07-2024%' or</v>
      </c>
    </row>
    <row r="118" spans="1:10" x14ac:dyDescent="0.25">
      <c r="A118" s="29" t="s">
        <v>1337</v>
      </c>
      <c r="B118" t="s">
        <v>1786</v>
      </c>
      <c r="H118">
        <v>93461</v>
      </c>
      <c r="I118" t="s">
        <v>1856</v>
      </c>
      <c r="J118" t="str">
        <f t="shared" si="1"/>
        <v>ia.assorted_string like '%93461-00010-07-2024%' or</v>
      </c>
    </row>
    <row r="119" spans="1:10" x14ac:dyDescent="0.25">
      <c r="A119" s="29" t="s">
        <v>1344</v>
      </c>
      <c r="B119" t="s">
        <v>1786</v>
      </c>
      <c r="H119">
        <v>93459</v>
      </c>
      <c r="I119" t="s">
        <v>1812</v>
      </c>
      <c r="J119" t="str">
        <f t="shared" si="1"/>
        <v>ia.assorted_string like '%93459-00030-07-2024%' or</v>
      </c>
    </row>
    <row r="120" spans="1:10" x14ac:dyDescent="0.25">
      <c r="A120" s="29" t="s">
        <v>1351</v>
      </c>
      <c r="B120" t="s">
        <v>1786</v>
      </c>
      <c r="H120">
        <v>93460</v>
      </c>
      <c r="I120" t="s">
        <v>1833</v>
      </c>
      <c r="J120" t="str">
        <f t="shared" si="1"/>
        <v>ia.assorted_string like '%93460-00005-07-2024%' or</v>
      </c>
    </row>
    <row r="121" spans="1:10" x14ac:dyDescent="0.25">
      <c r="A121" s="29" t="s">
        <v>1359</v>
      </c>
      <c r="B121" t="s">
        <v>1786</v>
      </c>
      <c r="H121">
        <v>93461</v>
      </c>
      <c r="I121" t="s">
        <v>1854</v>
      </c>
      <c r="J121" t="str">
        <f t="shared" si="1"/>
        <v>ia.assorted_string like '%93461-00011-07-2024%' or</v>
      </c>
    </row>
    <row r="122" spans="1:10" x14ac:dyDescent="0.25">
      <c r="A122" s="29" t="s">
        <v>1365</v>
      </c>
      <c r="B122" t="s">
        <v>1786</v>
      </c>
      <c r="H122">
        <v>93461</v>
      </c>
      <c r="I122" t="s">
        <v>1793</v>
      </c>
      <c r="J122" t="str">
        <f t="shared" si="1"/>
        <v>ia.assorted_string like '%93461-00013-07-2024%' or</v>
      </c>
    </row>
    <row r="123" spans="1:10" x14ac:dyDescent="0.25">
      <c r="A123" s="29" t="s">
        <v>1371</v>
      </c>
      <c r="B123" t="s">
        <v>1786</v>
      </c>
      <c r="H123">
        <v>93459</v>
      </c>
      <c r="I123" t="s">
        <v>1848</v>
      </c>
      <c r="J123" t="str">
        <f t="shared" si="1"/>
        <v>ia.assorted_string like '%93459-00001-07-2024%' or</v>
      </c>
    </row>
    <row r="124" spans="1:10" x14ac:dyDescent="0.25">
      <c r="A124" s="29" t="s">
        <v>1377</v>
      </c>
      <c r="B124" t="s">
        <v>1786</v>
      </c>
      <c r="H124">
        <v>93459</v>
      </c>
      <c r="I124" t="s">
        <v>1813</v>
      </c>
      <c r="J124" t="str">
        <f t="shared" si="1"/>
        <v>ia.assorted_string like '%93459-00031-07-2024%' or</v>
      </c>
    </row>
    <row r="125" spans="1:10" x14ac:dyDescent="0.25">
      <c r="A125" s="29" t="s">
        <v>1384</v>
      </c>
      <c r="B125" t="s">
        <v>1786</v>
      </c>
      <c r="H125">
        <v>93459</v>
      </c>
      <c r="I125" t="s">
        <v>1856</v>
      </c>
      <c r="J125" t="str">
        <f t="shared" si="1"/>
        <v>ia.assorted_string like '%93459-00010-07-2024%' or</v>
      </c>
    </row>
    <row r="126" spans="1:10" x14ac:dyDescent="0.25">
      <c r="A126" s="29" t="s">
        <v>1391</v>
      </c>
      <c r="B126" t="s">
        <v>1786</v>
      </c>
      <c r="H126">
        <v>93461</v>
      </c>
      <c r="I126" t="s">
        <v>1844</v>
      </c>
      <c r="J126" t="str">
        <f t="shared" si="1"/>
        <v>ia.assorted_string like '%93461-00006-07-2024%' or</v>
      </c>
    </row>
    <row r="127" spans="1:10" x14ac:dyDescent="0.25">
      <c r="A127" s="29" t="s">
        <v>1398</v>
      </c>
      <c r="B127" t="s">
        <v>1786</v>
      </c>
      <c r="H127">
        <v>93457</v>
      </c>
      <c r="I127" t="s">
        <v>1800</v>
      </c>
      <c r="J127" t="str">
        <f t="shared" si="1"/>
        <v>ia.assorted_string like '%93457-00002-07-2024%' or</v>
      </c>
    </row>
    <row r="128" spans="1:10" x14ac:dyDescent="0.25">
      <c r="A128" s="29" t="s">
        <v>1403</v>
      </c>
      <c r="B128" t="s">
        <v>1786</v>
      </c>
      <c r="H128">
        <v>93457</v>
      </c>
      <c r="I128" t="s">
        <v>1833</v>
      </c>
      <c r="J128" t="str">
        <f t="shared" si="1"/>
        <v>ia.assorted_string like '%93457-00005-07-2024%' or</v>
      </c>
    </row>
    <row r="129" spans="1:10" x14ac:dyDescent="0.25">
      <c r="A129" s="29" t="s">
        <v>1411</v>
      </c>
      <c r="B129" t="s">
        <v>1786</v>
      </c>
      <c r="H129">
        <v>93457</v>
      </c>
      <c r="I129" t="s">
        <v>1856</v>
      </c>
      <c r="J129" t="str">
        <f t="shared" si="1"/>
        <v>ia.assorted_string like '%93457-00010-07-2024%' or</v>
      </c>
    </row>
    <row r="130" spans="1:10" x14ac:dyDescent="0.25">
      <c r="A130" s="29" t="s">
        <v>1418</v>
      </c>
      <c r="B130" t="s">
        <v>1786</v>
      </c>
      <c r="H130">
        <v>93457</v>
      </c>
      <c r="I130" t="s">
        <v>1854</v>
      </c>
      <c r="J130" t="str">
        <f t="shared" si="1"/>
        <v>ia.assorted_string like '%93457-00011-07-2024%' or</v>
      </c>
    </row>
    <row r="131" spans="1:10" x14ac:dyDescent="0.25">
      <c r="A131" s="29" t="s">
        <v>1424</v>
      </c>
      <c r="B131" t="s">
        <v>1786</v>
      </c>
      <c r="H131">
        <v>93457</v>
      </c>
      <c r="I131" t="s">
        <v>1794</v>
      </c>
      <c r="J131" t="str">
        <f t="shared" ref="J131:J185" si="2">"ia.assorted_string like '%"&amp;H131&amp;"-"&amp;I131&amp;B131&amp;"%' or"</f>
        <v>ia.assorted_string like '%93457-00014-07-2024%' or</v>
      </c>
    </row>
    <row r="132" spans="1:10" x14ac:dyDescent="0.25">
      <c r="A132" s="29" t="s">
        <v>1430</v>
      </c>
      <c r="B132" t="s">
        <v>1786</v>
      </c>
      <c r="H132">
        <v>93457</v>
      </c>
      <c r="I132" t="s">
        <v>1797</v>
      </c>
      <c r="J132" t="str">
        <f t="shared" si="2"/>
        <v>ia.assorted_string like '%93457-00017-07-2024%' or</v>
      </c>
    </row>
    <row r="133" spans="1:10" x14ac:dyDescent="0.25">
      <c r="A133" s="29" t="s">
        <v>1437</v>
      </c>
      <c r="B133" t="s">
        <v>1786</v>
      </c>
      <c r="H133">
        <v>93457</v>
      </c>
      <c r="I133" t="s">
        <v>1802</v>
      </c>
      <c r="J133" t="str">
        <f t="shared" si="2"/>
        <v>ia.assorted_string like '%93457-00021-07-2024%' or</v>
      </c>
    </row>
    <row r="134" spans="1:10" x14ac:dyDescent="0.25">
      <c r="A134" s="29" t="s">
        <v>1444</v>
      </c>
      <c r="B134" t="s">
        <v>1786</v>
      </c>
      <c r="H134">
        <v>93457</v>
      </c>
      <c r="I134" t="s">
        <v>1808</v>
      </c>
      <c r="J134" t="str">
        <f t="shared" si="2"/>
        <v>ia.assorted_string like '%93457-00027-07-2024%' or</v>
      </c>
    </row>
    <row r="135" spans="1:10" x14ac:dyDescent="0.25">
      <c r="A135" s="29" t="s">
        <v>1450</v>
      </c>
      <c r="B135" t="s">
        <v>1786</v>
      </c>
      <c r="H135">
        <v>93457</v>
      </c>
      <c r="I135" t="s">
        <v>1810</v>
      </c>
      <c r="J135" t="str">
        <f t="shared" si="2"/>
        <v>ia.assorted_string like '%93457-00029-07-2024%' or</v>
      </c>
    </row>
    <row r="136" spans="1:10" x14ac:dyDescent="0.25">
      <c r="A136" s="29" t="s">
        <v>1458</v>
      </c>
      <c r="B136" t="s">
        <v>1786</v>
      </c>
      <c r="H136">
        <v>93457</v>
      </c>
      <c r="I136" t="s">
        <v>1813</v>
      </c>
      <c r="J136" t="str">
        <f t="shared" si="2"/>
        <v>ia.assorted_string like '%93457-00031-07-2024%' or</v>
      </c>
    </row>
    <row r="137" spans="1:10" x14ac:dyDescent="0.25">
      <c r="A137" s="29" t="s">
        <v>1465</v>
      </c>
      <c r="B137" t="s">
        <v>1786</v>
      </c>
      <c r="H137">
        <v>93459</v>
      </c>
      <c r="I137" t="s">
        <v>1793</v>
      </c>
      <c r="J137" t="str">
        <f t="shared" si="2"/>
        <v>ia.assorted_string like '%93459-00013-07-2024%' or</v>
      </c>
    </row>
    <row r="138" spans="1:10" x14ac:dyDescent="0.25">
      <c r="A138" s="29" t="s">
        <v>1471</v>
      </c>
      <c r="B138" t="s">
        <v>1786</v>
      </c>
      <c r="H138">
        <v>93457</v>
      </c>
      <c r="I138" t="s">
        <v>1818</v>
      </c>
      <c r="J138" t="str">
        <f t="shared" si="2"/>
        <v>ia.assorted_string like '%93457-00036-07-2024%' or</v>
      </c>
    </row>
    <row r="139" spans="1:10" x14ac:dyDescent="0.25">
      <c r="A139" s="29" t="s">
        <v>1479</v>
      </c>
      <c r="B139" t="s">
        <v>1786</v>
      </c>
      <c r="H139">
        <v>93457</v>
      </c>
      <c r="I139" t="s">
        <v>1820</v>
      </c>
      <c r="J139" t="str">
        <f t="shared" si="2"/>
        <v>ia.assorted_string like '%93457-00038-07-2024%' or</v>
      </c>
    </row>
    <row r="140" spans="1:10" x14ac:dyDescent="0.25">
      <c r="A140" s="29" t="s">
        <v>1487</v>
      </c>
      <c r="B140" t="s">
        <v>1786</v>
      </c>
      <c r="H140">
        <v>93457</v>
      </c>
      <c r="I140" t="s">
        <v>1821</v>
      </c>
      <c r="J140" t="str">
        <f t="shared" si="2"/>
        <v>ia.assorted_string like '%93457-00039-07-2024%' or</v>
      </c>
    </row>
    <row r="141" spans="1:10" x14ac:dyDescent="0.25">
      <c r="A141" s="29" t="s">
        <v>1495</v>
      </c>
      <c r="B141" t="s">
        <v>1786</v>
      </c>
      <c r="H141">
        <v>93457</v>
      </c>
      <c r="I141" t="s">
        <v>1823</v>
      </c>
      <c r="J141" t="str">
        <f t="shared" si="2"/>
        <v>ia.assorted_string like '%93457-00040-07-2024%' or</v>
      </c>
    </row>
    <row r="142" spans="1:10" x14ac:dyDescent="0.25">
      <c r="A142" s="29" t="s">
        <v>1502</v>
      </c>
      <c r="B142" t="s">
        <v>1786</v>
      </c>
      <c r="H142">
        <v>93457</v>
      </c>
      <c r="I142" t="s">
        <v>1824</v>
      </c>
      <c r="J142" t="str">
        <f t="shared" si="2"/>
        <v>ia.assorted_string like '%93457-00041-07-2024%' or</v>
      </c>
    </row>
    <row r="143" spans="1:10" x14ac:dyDescent="0.25">
      <c r="A143" s="29" t="s">
        <v>1508</v>
      </c>
      <c r="B143" t="s">
        <v>1786</v>
      </c>
      <c r="H143">
        <v>93457</v>
      </c>
      <c r="I143" t="s">
        <v>1829</v>
      </c>
      <c r="J143" t="str">
        <f t="shared" si="2"/>
        <v>ia.assorted_string like '%93457-00046-07-2024%' or</v>
      </c>
    </row>
    <row r="144" spans="1:10" x14ac:dyDescent="0.25">
      <c r="A144" s="29" t="s">
        <v>1514</v>
      </c>
      <c r="B144" t="s">
        <v>1849</v>
      </c>
      <c r="H144">
        <v>90920</v>
      </c>
      <c r="I144" t="s">
        <v>1838</v>
      </c>
      <c r="J144" t="str">
        <f t="shared" si="2"/>
        <v>ia.assorted_string like '%90920-00054-06-2024%' or</v>
      </c>
    </row>
    <row r="145" spans="1:10" x14ac:dyDescent="0.25">
      <c r="A145" s="29" t="s">
        <v>1523</v>
      </c>
      <c r="B145" t="s">
        <v>1849</v>
      </c>
      <c r="H145">
        <v>90920</v>
      </c>
      <c r="I145" t="s">
        <v>1857</v>
      </c>
      <c r="J145" t="str">
        <f t="shared" si="2"/>
        <v>ia.assorted_string like '%90920-00063-06-2024%' or</v>
      </c>
    </row>
    <row r="146" spans="1:10" x14ac:dyDescent="0.25">
      <c r="A146" s="29" t="s">
        <v>1529</v>
      </c>
      <c r="B146" t="s">
        <v>1849</v>
      </c>
      <c r="H146">
        <v>90920</v>
      </c>
      <c r="I146" t="s">
        <v>1843</v>
      </c>
      <c r="J146" t="str">
        <f t="shared" si="2"/>
        <v>ia.assorted_string like '%90920-00059-06-2024%' or</v>
      </c>
    </row>
    <row r="147" spans="1:10" x14ac:dyDescent="0.25">
      <c r="A147" s="29" t="s">
        <v>1535</v>
      </c>
      <c r="B147" t="s">
        <v>1849</v>
      </c>
      <c r="H147">
        <v>90920</v>
      </c>
      <c r="I147" t="s">
        <v>1812</v>
      </c>
      <c r="J147" t="str">
        <f t="shared" si="2"/>
        <v>ia.assorted_string like '%90920-00030-06-2024%' or</v>
      </c>
    </row>
    <row r="148" spans="1:10" x14ac:dyDescent="0.25">
      <c r="A148" s="29" t="s">
        <v>1541</v>
      </c>
      <c r="B148" t="s">
        <v>1849</v>
      </c>
      <c r="H148">
        <v>90920</v>
      </c>
      <c r="I148" t="s">
        <v>1818</v>
      </c>
      <c r="J148" t="str">
        <f t="shared" si="2"/>
        <v>ia.assorted_string like '%90920-00036-06-2024%' or</v>
      </c>
    </row>
    <row r="149" spans="1:10" x14ac:dyDescent="0.25">
      <c r="A149" s="29" t="s">
        <v>1547</v>
      </c>
      <c r="B149" t="s">
        <v>1849</v>
      </c>
      <c r="H149">
        <v>90920</v>
      </c>
      <c r="I149" t="s">
        <v>1858</v>
      </c>
      <c r="J149" t="str">
        <f t="shared" si="2"/>
        <v>ia.assorted_string like '%90920-00072-06-2024%' or</v>
      </c>
    </row>
    <row r="150" spans="1:10" x14ac:dyDescent="0.25">
      <c r="A150" s="29" t="s">
        <v>1553</v>
      </c>
      <c r="B150" t="s">
        <v>1849</v>
      </c>
      <c r="H150">
        <v>90920</v>
      </c>
      <c r="I150" t="s">
        <v>1829</v>
      </c>
      <c r="J150" t="str">
        <f t="shared" si="2"/>
        <v>ia.assorted_string like '%90920-00046-06-2024%' or</v>
      </c>
    </row>
    <row r="151" spans="1:10" x14ac:dyDescent="0.25">
      <c r="A151" s="29" t="s">
        <v>1559</v>
      </c>
      <c r="B151" t="s">
        <v>1849</v>
      </c>
      <c r="H151">
        <v>90920</v>
      </c>
      <c r="I151" t="s">
        <v>1797</v>
      </c>
      <c r="J151" t="str">
        <f t="shared" si="2"/>
        <v>ia.assorted_string like '%90920-00017-06-2024%' or</v>
      </c>
    </row>
    <row r="152" spans="1:10" x14ac:dyDescent="0.25">
      <c r="A152" s="29" t="s">
        <v>1566</v>
      </c>
      <c r="B152" t="s">
        <v>1849</v>
      </c>
      <c r="H152">
        <v>90920</v>
      </c>
      <c r="I152" t="s">
        <v>1855</v>
      </c>
      <c r="J152" t="str">
        <f t="shared" si="2"/>
        <v>ia.assorted_string like '%90920-00009-06-2024%' or</v>
      </c>
    </row>
    <row r="153" spans="1:10" x14ac:dyDescent="0.25">
      <c r="A153" s="29" t="s">
        <v>1573</v>
      </c>
      <c r="B153" t="s">
        <v>1849</v>
      </c>
      <c r="H153">
        <v>90920</v>
      </c>
      <c r="I153" t="s">
        <v>1828</v>
      </c>
      <c r="J153" t="str">
        <f t="shared" si="2"/>
        <v>ia.assorted_string like '%90920-00045-06-2024%' or</v>
      </c>
    </row>
    <row r="154" spans="1:10" x14ac:dyDescent="0.25">
      <c r="A154" s="29" t="s">
        <v>1579</v>
      </c>
      <c r="B154" t="s">
        <v>1850</v>
      </c>
      <c r="H154">
        <v>88626</v>
      </c>
      <c r="I154" t="s">
        <v>1859</v>
      </c>
      <c r="J154" t="str">
        <f t="shared" si="2"/>
        <v>ia.assorted_string like '%88626-00079-05-2024%' or</v>
      </c>
    </row>
    <row r="155" spans="1:10" x14ac:dyDescent="0.25">
      <c r="A155" s="29" t="s">
        <v>1587</v>
      </c>
      <c r="B155" t="s">
        <v>1850</v>
      </c>
      <c r="H155">
        <v>88626</v>
      </c>
      <c r="I155" t="s">
        <v>1860</v>
      </c>
      <c r="J155" t="str">
        <f t="shared" si="2"/>
        <v>ia.assorted_string like '%88626-00103-05-2024%' or</v>
      </c>
    </row>
    <row r="156" spans="1:10" x14ac:dyDescent="0.25">
      <c r="A156" s="29" t="s">
        <v>1593</v>
      </c>
      <c r="B156" t="s">
        <v>1850</v>
      </c>
      <c r="H156">
        <v>88626</v>
      </c>
      <c r="I156" t="s">
        <v>1861</v>
      </c>
      <c r="J156" t="str">
        <f t="shared" si="2"/>
        <v>ia.assorted_string like '%88626-00118-05-2024%' or</v>
      </c>
    </row>
    <row r="157" spans="1:10" x14ac:dyDescent="0.25">
      <c r="A157" s="29" t="s">
        <v>1599</v>
      </c>
      <c r="B157" t="s">
        <v>1850</v>
      </c>
      <c r="H157">
        <v>88626</v>
      </c>
      <c r="I157" t="s">
        <v>1862</v>
      </c>
      <c r="J157" t="str">
        <f t="shared" si="2"/>
        <v>ia.assorted_string like '%88626-00080-05-2024%' or</v>
      </c>
    </row>
    <row r="158" spans="1:10" x14ac:dyDescent="0.25">
      <c r="A158" s="29" t="s">
        <v>1605</v>
      </c>
      <c r="B158" t="s">
        <v>1850</v>
      </c>
      <c r="H158">
        <v>88626</v>
      </c>
      <c r="I158" t="s">
        <v>1863</v>
      </c>
      <c r="J158" t="str">
        <f t="shared" si="2"/>
        <v>ia.assorted_string like '%88626-00117-05-2024%' or</v>
      </c>
    </row>
    <row r="159" spans="1:10" x14ac:dyDescent="0.25">
      <c r="A159" s="29" t="s">
        <v>1613</v>
      </c>
      <c r="B159" t="s">
        <v>1850</v>
      </c>
      <c r="H159">
        <v>88626</v>
      </c>
      <c r="I159" t="s">
        <v>1864</v>
      </c>
      <c r="J159" t="str">
        <f t="shared" si="2"/>
        <v>ia.assorted_string like '%88626-00132-05-2024%' or</v>
      </c>
    </row>
    <row r="160" spans="1:10" x14ac:dyDescent="0.25">
      <c r="A160" s="29" t="s">
        <v>1620</v>
      </c>
      <c r="B160" t="s">
        <v>1850</v>
      </c>
      <c r="H160">
        <v>88626</v>
      </c>
      <c r="I160" t="s">
        <v>1865</v>
      </c>
      <c r="J160" t="str">
        <f t="shared" si="2"/>
        <v>ia.assorted_string like '%88626-00111-05-2024%' or</v>
      </c>
    </row>
    <row r="161" spans="1:10" x14ac:dyDescent="0.25">
      <c r="A161" s="29" t="s">
        <v>1626</v>
      </c>
      <c r="B161" t="s">
        <v>1850</v>
      </c>
      <c r="H161">
        <v>88626</v>
      </c>
      <c r="I161" t="s">
        <v>1866</v>
      </c>
      <c r="J161" t="str">
        <f t="shared" si="2"/>
        <v>ia.assorted_string like '%88626-00095-05-2024%' or</v>
      </c>
    </row>
    <row r="162" spans="1:10" x14ac:dyDescent="0.25">
      <c r="A162" s="29" t="s">
        <v>1632</v>
      </c>
      <c r="B162" t="s">
        <v>1850</v>
      </c>
      <c r="H162">
        <v>88626</v>
      </c>
      <c r="I162" t="s">
        <v>1867</v>
      </c>
      <c r="J162" t="str">
        <f t="shared" si="2"/>
        <v>ia.assorted_string like '%88626-00089-05-2024%' or</v>
      </c>
    </row>
    <row r="163" spans="1:10" x14ac:dyDescent="0.25">
      <c r="A163" s="29" t="s">
        <v>1638</v>
      </c>
      <c r="B163" t="s">
        <v>1850</v>
      </c>
      <c r="H163">
        <v>88626</v>
      </c>
      <c r="I163" t="s">
        <v>1868</v>
      </c>
      <c r="J163" t="str">
        <f t="shared" si="2"/>
        <v>ia.assorted_string like '%88626-00116-05-2024%' or</v>
      </c>
    </row>
    <row r="164" spans="1:10" x14ac:dyDescent="0.25">
      <c r="A164" s="29" t="s">
        <v>1644</v>
      </c>
      <c r="B164" t="s">
        <v>1850</v>
      </c>
      <c r="H164">
        <v>88626</v>
      </c>
      <c r="I164" t="s">
        <v>1869</v>
      </c>
      <c r="J164" t="str">
        <f t="shared" si="2"/>
        <v>ia.assorted_string like '%88626-00126-05-2024%' or</v>
      </c>
    </row>
    <row r="165" spans="1:10" x14ac:dyDescent="0.25">
      <c r="A165" s="29" t="s">
        <v>1651</v>
      </c>
      <c r="B165" t="s">
        <v>1850</v>
      </c>
      <c r="H165">
        <v>88626</v>
      </c>
      <c r="I165" t="s">
        <v>1870</v>
      </c>
      <c r="J165" t="str">
        <f t="shared" si="2"/>
        <v>ia.assorted_string like '%88626-00130-05-2024%' or</v>
      </c>
    </row>
    <row r="166" spans="1:10" x14ac:dyDescent="0.25">
      <c r="A166" s="29" t="s">
        <v>1658</v>
      </c>
      <c r="B166" t="s">
        <v>1850</v>
      </c>
      <c r="H166">
        <v>88626</v>
      </c>
      <c r="I166" t="s">
        <v>1871</v>
      </c>
      <c r="J166" t="str">
        <f t="shared" si="2"/>
        <v>ia.assorted_string like '%88626-00129-05-2024%' or</v>
      </c>
    </row>
    <row r="167" spans="1:10" x14ac:dyDescent="0.25">
      <c r="A167" s="29" t="s">
        <v>1665</v>
      </c>
      <c r="B167" t="s">
        <v>1850</v>
      </c>
      <c r="H167">
        <v>88626</v>
      </c>
      <c r="I167" t="s">
        <v>1872</v>
      </c>
      <c r="J167" t="str">
        <f t="shared" si="2"/>
        <v>ia.assorted_string like '%88626-00124-05-2024%' or</v>
      </c>
    </row>
    <row r="168" spans="1:10" x14ac:dyDescent="0.25">
      <c r="A168" s="29" t="s">
        <v>1674</v>
      </c>
      <c r="B168" t="s">
        <v>1850</v>
      </c>
      <c r="H168">
        <v>88626</v>
      </c>
      <c r="I168" t="s">
        <v>1873</v>
      </c>
      <c r="J168" t="str">
        <f t="shared" si="2"/>
        <v>ia.assorted_string like '%88626-00105-05-2024%' or</v>
      </c>
    </row>
    <row r="169" spans="1:10" x14ac:dyDescent="0.25">
      <c r="A169" s="29" t="s">
        <v>1680</v>
      </c>
      <c r="B169" t="s">
        <v>1850</v>
      </c>
      <c r="H169">
        <v>88626</v>
      </c>
      <c r="I169" t="s">
        <v>1874</v>
      </c>
      <c r="J169" t="str">
        <f t="shared" si="2"/>
        <v>ia.assorted_string like '%88626-00094-05-2024%' or</v>
      </c>
    </row>
    <row r="170" spans="1:10" x14ac:dyDescent="0.25">
      <c r="A170" s="29" t="s">
        <v>1688</v>
      </c>
      <c r="B170" t="s">
        <v>1850</v>
      </c>
      <c r="H170">
        <v>88626</v>
      </c>
      <c r="I170" t="s">
        <v>1875</v>
      </c>
      <c r="J170" t="str">
        <f t="shared" si="2"/>
        <v>ia.assorted_string like '%88626-00138-05-2024%' or</v>
      </c>
    </row>
    <row r="171" spans="1:10" x14ac:dyDescent="0.25">
      <c r="A171" s="29" t="s">
        <v>1694</v>
      </c>
      <c r="B171" t="s">
        <v>1850</v>
      </c>
      <c r="H171">
        <v>88626</v>
      </c>
      <c r="I171" t="s">
        <v>1876</v>
      </c>
      <c r="J171" t="str">
        <f t="shared" si="2"/>
        <v>ia.assorted_string like '%88626-00106-05-2024%' or</v>
      </c>
    </row>
    <row r="172" spans="1:10" x14ac:dyDescent="0.25">
      <c r="A172" s="29" t="s">
        <v>1700</v>
      </c>
      <c r="B172" t="s">
        <v>1850</v>
      </c>
      <c r="H172">
        <v>88626</v>
      </c>
      <c r="I172" t="s">
        <v>1877</v>
      </c>
      <c r="J172" t="str">
        <f t="shared" si="2"/>
        <v>ia.assorted_string like '%88626-00099-05-2024%' or</v>
      </c>
    </row>
    <row r="173" spans="1:10" x14ac:dyDescent="0.25">
      <c r="A173" s="29" t="s">
        <v>1707</v>
      </c>
      <c r="B173" t="s">
        <v>1850</v>
      </c>
      <c r="H173">
        <v>88993</v>
      </c>
      <c r="I173" t="s">
        <v>1822</v>
      </c>
      <c r="J173" t="str">
        <f t="shared" si="2"/>
        <v>ia.assorted_string like '%88993-00004-05-2024%' or</v>
      </c>
    </row>
    <row r="174" spans="1:10" x14ac:dyDescent="0.25">
      <c r="A174" s="29" t="s">
        <v>1712</v>
      </c>
      <c r="B174" t="s">
        <v>1851</v>
      </c>
      <c r="H174">
        <v>86646</v>
      </c>
      <c r="I174" t="s">
        <v>1793</v>
      </c>
      <c r="J174" t="str">
        <f t="shared" si="2"/>
        <v>ia.assorted_string like '%86646-00013-04-2024%' or</v>
      </c>
    </row>
    <row r="175" spans="1:10" x14ac:dyDescent="0.25">
      <c r="A175" s="29" t="s">
        <v>1718</v>
      </c>
      <c r="B175" t="s">
        <v>1851</v>
      </c>
      <c r="H175">
        <v>86646</v>
      </c>
      <c r="I175" t="s">
        <v>1878</v>
      </c>
      <c r="J175" t="str">
        <f t="shared" si="2"/>
        <v>ia.assorted_string like '%86646-00084-04-2024%' or</v>
      </c>
    </row>
    <row r="176" spans="1:10" x14ac:dyDescent="0.25">
      <c r="A176" s="29" t="s">
        <v>1726</v>
      </c>
      <c r="B176" t="s">
        <v>1851</v>
      </c>
      <c r="H176">
        <v>86646</v>
      </c>
      <c r="I176" t="s">
        <v>1879</v>
      </c>
      <c r="J176" t="str">
        <f t="shared" si="2"/>
        <v>ia.assorted_string like '%86646-00069-04-2024%' or</v>
      </c>
    </row>
    <row r="177" spans="1:10" x14ac:dyDescent="0.25">
      <c r="A177" s="29" t="s">
        <v>1732</v>
      </c>
      <c r="B177" t="s">
        <v>1851</v>
      </c>
      <c r="H177">
        <v>86646</v>
      </c>
      <c r="I177" t="s">
        <v>1880</v>
      </c>
      <c r="J177" t="str">
        <f t="shared" si="2"/>
        <v>ia.assorted_string like '%86646-00091-04-2024%' or</v>
      </c>
    </row>
    <row r="178" spans="1:10" x14ac:dyDescent="0.25">
      <c r="A178" s="29" t="s">
        <v>1737</v>
      </c>
      <c r="B178" t="s">
        <v>1851</v>
      </c>
      <c r="H178">
        <v>86646</v>
      </c>
      <c r="I178" t="s">
        <v>1881</v>
      </c>
      <c r="J178" t="str">
        <f t="shared" si="2"/>
        <v>ia.assorted_string like '%86646-00075-04-2024%' or</v>
      </c>
    </row>
    <row r="179" spans="1:10" x14ac:dyDescent="0.25">
      <c r="A179" s="29" t="s">
        <v>1743</v>
      </c>
      <c r="B179" t="s">
        <v>1851</v>
      </c>
      <c r="H179">
        <v>86646</v>
      </c>
      <c r="I179" t="s">
        <v>1882</v>
      </c>
      <c r="J179" t="str">
        <f t="shared" si="2"/>
        <v>ia.assorted_string like '%86646-00090-04-2024%' or</v>
      </c>
    </row>
    <row r="180" spans="1:10" x14ac:dyDescent="0.25">
      <c r="A180" s="29" t="s">
        <v>1750</v>
      </c>
      <c r="B180" t="s">
        <v>1851</v>
      </c>
      <c r="H180">
        <v>86620</v>
      </c>
      <c r="I180" t="s">
        <v>1833</v>
      </c>
      <c r="J180" t="str">
        <f t="shared" si="2"/>
        <v>ia.assorted_string like '%86620-00005-04-2024%' or</v>
      </c>
    </row>
    <row r="181" spans="1:10" x14ac:dyDescent="0.25">
      <c r="A181" s="29" t="s">
        <v>1755</v>
      </c>
      <c r="B181" t="s">
        <v>1851</v>
      </c>
      <c r="H181">
        <v>86646</v>
      </c>
      <c r="I181" t="s">
        <v>1807</v>
      </c>
      <c r="J181" t="str">
        <f t="shared" si="2"/>
        <v>ia.assorted_string like '%86646-00026-04-2024%' or</v>
      </c>
    </row>
    <row r="182" spans="1:10" x14ac:dyDescent="0.25">
      <c r="A182" s="29" t="s">
        <v>1760</v>
      </c>
      <c r="B182" t="s">
        <v>1851</v>
      </c>
      <c r="H182">
        <v>86646</v>
      </c>
      <c r="I182" t="s">
        <v>1883</v>
      </c>
      <c r="J182" t="str">
        <f t="shared" si="2"/>
        <v>ia.assorted_string like '%86646-00077-04-2024%' or</v>
      </c>
    </row>
    <row r="183" spans="1:10" x14ac:dyDescent="0.25">
      <c r="A183" s="29" t="s">
        <v>1764</v>
      </c>
      <c r="B183" t="s">
        <v>1852</v>
      </c>
      <c r="H183">
        <v>85047</v>
      </c>
      <c r="I183" t="s">
        <v>1830</v>
      </c>
      <c r="J183" t="str">
        <f t="shared" si="2"/>
        <v>ia.assorted_string like '%85047-00047-03-2024%' or</v>
      </c>
    </row>
    <row r="184" spans="1:10" x14ac:dyDescent="0.25">
      <c r="A184" s="29" t="s">
        <v>1769</v>
      </c>
      <c r="B184" t="s">
        <v>1852</v>
      </c>
      <c r="H184">
        <v>85047</v>
      </c>
      <c r="I184" t="s">
        <v>1884</v>
      </c>
      <c r="J184" t="str">
        <f t="shared" si="2"/>
        <v>ia.assorted_string like '%85047-00066-03-2024%' or</v>
      </c>
    </row>
    <row r="185" spans="1:10" x14ac:dyDescent="0.25">
      <c r="A185" s="29" t="s">
        <v>1774</v>
      </c>
      <c r="B185" t="s">
        <v>1787</v>
      </c>
      <c r="H185">
        <v>84688</v>
      </c>
      <c r="I185" t="s">
        <v>1811</v>
      </c>
      <c r="J185" t="str">
        <f t="shared" si="2"/>
        <v>ia.assorted_string like '%84688-00003-02-2024%' or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53C4-D135-47E5-9F05-BEBC02CABACB}">
  <dimension ref="B2:E6"/>
  <sheetViews>
    <sheetView workbookViewId="0">
      <selection activeCell="C6" sqref="C6"/>
    </sheetView>
  </sheetViews>
  <sheetFormatPr defaultRowHeight="15" x14ac:dyDescent="0.25"/>
  <cols>
    <col min="2" max="2" width="27" bestFit="1" customWidth="1"/>
    <col min="3" max="3" width="15.28515625" bestFit="1" customWidth="1"/>
    <col min="4" max="4" width="12.140625" bestFit="1" customWidth="1"/>
    <col min="5" max="5" width="11.7109375" bestFit="1" customWidth="1"/>
  </cols>
  <sheetData>
    <row r="2" spans="2:5" ht="15.75" thickBot="1" x14ac:dyDescent="0.3"/>
    <row r="3" spans="2:5" ht="24" thickBot="1" x14ac:dyDescent="0.3">
      <c r="B3" s="39" t="s">
        <v>1779</v>
      </c>
      <c r="C3" s="40" t="s">
        <v>1780</v>
      </c>
      <c r="D3" s="40" t="s">
        <v>26</v>
      </c>
      <c r="E3" s="40" t="s">
        <v>1781</v>
      </c>
    </row>
    <row r="4" spans="2:5" ht="19.5" thickBot="1" x14ac:dyDescent="0.3">
      <c r="B4" s="41" t="s">
        <v>1782</v>
      </c>
      <c r="C4" s="42">
        <v>3697170</v>
      </c>
      <c r="D4" s="43">
        <v>1141070247</v>
      </c>
      <c r="E4" s="44">
        <v>45525</v>
      </c>
    </row>
    <row r="5" spans="2:5" ht="19.5" thickBot="1" x14ac:dyDescent="0.3">
      <c r="B5" s="41" t="s">
        <v>1783</v>
      </c>
      <c r="C5" s="42">
        <v>8035841</v>
      </c>
      <c r="D5" s="43">
        <v>1141070243</v>
      </c>
      <c r="E5" s="44">
        <v>45525</v>
      </c>
    </row>
    <row r="6" spans="2:5" ht="21.75" thickBot="1" x14ac:dyDescent="0.3">
      <c r="B6" s="45" t="s">
        <v>1784</v>
      </c>
      <c r="C6" s="46">
        <v>11733011</v>
      </c>
      <c r="D6" s="47"/>
      <c r="E6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Fresh</vt:lpstr>
      <vt:lpstr>workingfresh</vt:lpstr>
      <vt:lpstr>Sheet2</vt:lpstr>
      <vt:lpstr>Renewal</vt:lpstr>
      <vt:lpstr>workingrenewal</vt:lpstr>
      <vt:lpstr>Sheet4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2024-08-22T07:29:45Z</dcterms:created>
  <dcterms:modified xsi:type="dcterms:W3CDTF">2024-08-23T05:49:15Z</dcterms:modified>
</cp:coreProperties>
</file>