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Raheel Malik\23-May-2025\"/>
    </mc:Choice>
  </mc:AlternateContent>
  <xr:revisionPtr revIDLastSave="0" documentId="8_{A517C3A9-CC5D-43FE-86D5-E539FD5E008A}" xr6:coauthVersionLast="47" xr6:coauthVersionMax="47" xr10:uidLastSave="{00000000-0000-0000-0000-000000000000}"/>
  <bookViews>
    <workbookView xWindow="-120" yWindow="-120" windowWidth="20730" windowHeight="11040" activeTab="3" xr2:uid="{EB693D5D-8F0A-45D5-8A93-4F6C898C3DC0}"/>
  </bookViews>
  <sheets>
    <sheet name="Sheet1" sheetId="1" r:id="rId1"/>
    <sheet name="Sheet2" sheetId="2" r:id="rId2"/>
    <sheet name="Sheet3" sheetId="3" r:id="rId3"/>
    <sheet name="working" sheetId="4" r:id="rId4"/>
    <sheet name="Sheet5" sheetId="5" r:id="rId5"/>
    <sheet name="policy" sheetId="6" r:id="rId6"/>
    <sheet name="Sheet7" sheetId="7" r:id="rId7"/>
    <sheet name="Sheet8" sheetId="8" r:id="rId8"/>
  </sheets>
  <definedNames>
    <definedName name="_xlnm._FilterDatabase" localSheetId="2" hidden="1">Sheet3!$B$2:$I$461</definedName>
    <definedName name="_xlnm._FilterDatabase" localSheetId="3" hidden="1">working!$A$1:$H$417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4" l="1"/>
  <c r="H36" i="4" s="1"/>
  <c r="G242" i="4"/>
  <c r="H242" i="4" s="1"/>
  <c r="G314" i="4"/>
  <c r="H314" i="4" s="1"/>
  <c r="G318" i="4"/>
  <c r="H318" i="4" s="1"/>
  <c r="G322" i="4"/>
  <c r="H322" i="4" s="1"/>
  <c r="G362" i="4"/>
  <c r="H362" i="4" s="1"/>
  <c r="G366" i="4"/>
  <c r="H366" i="4" s="1"/>
  <c r="G386" i="4"/>
  <c r="H386" i="4" s="1"/>
  <c r="G390" i="4"/>
  <c r="H390" i="4" s="1"/>
  <c r="G410" i="4"/>
  <c r="H410" i="4" s="1"/>
  <c r="G414" i="4"/>
  <c r="H414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B387" i="4"/>
  <c r="G387" i="4" s="1"/>
  <c r="H387" i="4" s="1"/>
  <c r="B386" i="4"/>
  <c r="B366" i="4"/>
  <c r="B365" i="4"/>
  <c r="G365" i="4" s="1"/>
  <c r="H365" i="4" s="1"/>
  <c r="B364" i="4"/>
  <c r="G364" i="4" s="1"/>
  <c r="H364" i="4" s="1"/>
  <c r="B362" i="4"/>
  <c r="B352" i="4"/>
  <c r="G352" i="4" s="1"/>
  <c r="H352" i="4" s="1"/>
  <c r="B242" i="4"/>
  <c r="B417" i="4"/>
  <c r="G417" i="4" s="1"/>
  <c r="H417" i="4" s="1"/>
  <c r="B416" i="4"/>
  <c r="G416" i="4" s="1"/>
  <c r="H416" i="4" s="1"/>
  <c r="B414" i="4"/>
  <c r="B413" i="4"/>
  <c r="G413" i="4" s="1"/>
  <c r="H413" i="4" s="1"/>
  <c r="B412" i="4"/>
  <c r="G412" i="4" s="1"/>
  <c r="H412" i="4" s="1"/>
  <c r="B411" i="4"/>
  <c r="G411" i="4" s="1"/>
  <c r="H411" i="4" s="1"/>
  <c r="B410" i="4"/>
  <c r="B409" i="4"/>
  <c r="G409" i="4" s="1"/>
  <c r="H409" i="4" s="1"/>
  <c r="B394" i="4"/>
  <c r="G394" i="4" s="1"/>
  <c r="H394" i="4" s="1"/>
  <c r="B393" i="4"/>
  <c r="G393" i="4" s="1"/>
  <c r="H393" i="4" s="1"/>
  <c r="B391" i="4"/>
  <c r="G391" i="4" s="1"/>
  <c r="H391" i="4" s="1"/>
  <c r="B390" i="4"/>
  <c r="B389" i="4"/>
  <c r="G389" i="4" s="1"/>
  <c r="H389" i="4" s="1"/>
  <c r="B388" i="4"/>
  <c r="G388" i="4" s="1"/>
  <c r="H388" i="4" s="1"/>
  <c r="B357" i="4"/>
  <c r="G357" i="4" s="1"/>
  <c r="H357" i="4" s="1"/>
  <c r="B356" i="4"/>
  <c r="G356" i="4" s="1"/>
  <c r="H356" i="4" s="1"/>
  <c r="B355" i="4"/>
  <c r="G355" i="4" s="1"/>
  <c r="H355" i="4" s="1"/>
  <c r="B324" i="4"/>
  <c r="G324" i="4" s="1"/>
  <c r="H324" i="4" s="1"/>
  <c r="B323" i="4"/>
  <c r="G323" i="4" s="1"/>
  <c r="H323" i="4" s="1"/>
  <c r="B322" i="4"/>
  <c r="B321" i="4"/>
  <c r="G321" i="4" s="1"/>
  <c r="H321" i="4" s="1"/>
  <c r="B320" i="4"/>
  <c r="G320" i="4" s="1"/>
  <c r="H320" i="4" s="1"/>
  <c r="B319" i="4"/>
  <c r="G319" i="4" s="1"/>
  <c r="H319" i="4" s="1"/>
  <c r="B318" i="4"/>
  <c r="B317" i="4"/>
  <c r="G317" i="4" s="1"/>
  <c r="H317" i="4" s="1"/>
  <c r="B316" i="4"/>
  <c r="G316" i="4" s="1"/>
  <c r="H316" i="4" s="1"/>
  <c r="B315" i="4"/>
  <c r="G315" i="4" s="1"/>
  <c r="H315" i="4" s="1"/>
  <c r="B314" i="4"/>
  <c r="B313" i="4"/>
  <c r="G313" i="4" s="1"/>
  <c r="H313" i="4" s="1"/>
  <c r="B312" i="4"/>
  <c r="G312" i="4" s="1"/>
  <c r="H312" i="4" s="1"/>
  <c r="B311" i="4"/>
  <c r="G311" i="4" s="1"/>
  <c r="H311" i="4" s="1"/>
  <c r="B292" i="4"/>
  <c r="G292" i="4" s="1"/>
  <c r="H292" i="4" s="1"/>
  <c r="B245" i="4"/>
  <c r="G245" i="4" s="1"/>
  <c r="H245" i="4" s="1"/>
  <c r="B244" i="4"/>
  <c r="G244" i="4" s="1"/>
  <c r="H244" i="4" s="1"/>
  <c r="B243" i="4"/>
  <c r="G243" i="4" s="1"/>
  <c r="H243" i="4" s="1"/>
  <c r="B233" i="4"/>
  <c r="G233" i="4" s="1"/>
  <c r="H233" i="4" s="1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1" i="5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B3" i="4"/>
  <c r="G3" i="4" s="1"/>
  <c r="H3" i="4" s="1"/>
  <c r="B4" i="4"/>
  <c r="G4" i="4" s="1"/>
  <c r="H4" i="4" s="1"/>
  <c r="B5" i="4"/>
  <c r="G5" i="4" s="1"/>
  <c r="H5" i="4" s="1"/>
  <c r="B6" i="4"/>
  <c r="G6" i="4" s="1"/>
  <c r="H6" i="4" s="1"/>
  <c r="B7" i="4"/>
  <c r="G7" i="4" s="1"/>
  <c r="H7" i="4" s="1"/>
  <c r="B8" i="4"/>
  <c r="G8" i="4" s="1"/>
  <c r="H8" i="4" s="1"/>
  <c r="B9" i="4"/>
  <c r="G9" i="4" s="1"/>
  <c r="H9" i="4" s="1"/>
  <c r="B10" i="4"/>
  <c r="G10" i="4" s="1"/>
  <c r="H10" i="4" s="1"/>
  <c r="B11" i="4"/>
  <c r="G11" i="4" s="1"/>
  <c r="H11" i="4" s="1"/>
  <c r="B12" i="4"/>
  <c r="G12" i="4" s="1"/>
  <c r="H12" i="4" s="1"/>
  <c r="B13" i="4"/>
  <c r="G13" i="4" s="1"/>
  <c r="H13" i="4" s="1"/>
  <c r="B14" i="4"/>
  <c r="G14" i="4" s="1"/>
  <c r="H14" i="4" s="1"/>
  <c r="B15" i="4"/>
  <c r="G15" i="4" s="1"/>
  <c r="H15" i="4" s="1"/>
  <c r="B16" i="4"/>
  <c r="G16" i="4" s="1"/>
  <c r="H16" i="4" s="1"/>
  <c r="B17" i="4"/>
  <c r="G17" i="4" s="1"/>
  <c r="H17" i="4" s="1"/>
  <c r="B18" i="4"/>
  <c r="G18" i="4" s="1"/>
  <c r="H18" i="4" s="1"/>
  <c r="B19" i="4"/>
  <c r="G19" i="4" s="1"/>
  <c r="H19" i="4" s="1"/>
  <c r="B20" i="4"/>
  <c r="G20" i="4" s="1"/>
  <c r="H20" i="4" s="1"/>
  <c r="B21" i="4"/>
  <c r="G21" i="4" s="1"/>
  <c r="H21" i="4" s="1"/>
  <c r="B22" i="4"/>
  <c r="G22" i="4" s="1"/>
  <c r="H22" i="4" s="1"/>
  <c r="B23" i="4"/>
  <c r="G23" i="4" s="1"/>
  <c r="H23" i="4" s="1"/>
  <c r="B24" i="4"/>
  <c r="G24" i="4" s="1"/>
  <c r="H24" i="4" s="1"/>
  <c r="B25" i="4"/>
  <c r="G25" i="4" s="1"/>
  <c r="H25" i="4" s="1"/>
  <c r="B26" i="4"/>
  <c r="G26" i="4" s="1"/>
  <c r="H26" i="4" s="1"/>
  <c r="B27" i="4"/>
  <c r="G27" i="4" s="1"/>
  <c r="H27" i="4" s="1"/>
  <c r="B28" i="4"/>
  <c r="G28" i="4" s="1"/>
  <c r="H28" i="4" s="1"/>
  <c r="B29" i="4"/>
  <c r="G29" i="4" s="1"/>
  <c r="H29" i="4" s="1"/>
  <c r="B30" i="4"/>
  <c r="G30" i="4" s="1"/>
  <c r="H30" i="4" s="1"/>
  <c r="B31" i="4"/>
  <c r="G31" i="4" s="1"/>
  <c r="H31" i="4" s="1"/>
  <c r="B32" i="4"/>
  <c r="G32" i="4" s="1"/>
  <c r="H32" i="4" s="1"/>
  <c r="B33" i="4"/>
  <c r="G33" i="4" s="1"/>
  <c r="H33" i="4" s="1"/>
  <c r="B34" i="4"/>
  <c r="G34" i="4" s="1"/>
  <c r="H34" i="4" s="1"/>
  <c r="B35" i="4"/>
  <c r="G35" i="4" s="1"/>
  <c r="H35" i="4" s="1"/>
  <c r="B37" i="4"/>
  <c r="G37" i="4" s="1"/>
  <c r="H37" i="4" s="1"/>
  <c r="B38" i="4"/>
  <c r="G38" i="4" s="1"/>
  <c r="H38" i="4" s="1"/>
  <c r="B39" i="4"/>
  <c r="G39" i="4" s="1"/>
  <c r="H39" i="4" s="1"/>
  <c r="B40" i="4"/>
  <c r="G40" i="4" s="1"/>
  <c r="H40" i="4" s="1"/>
  <c r="B41" i="4"/>
  <c r="G41" i="4" s="1"/>
  <c r="H41" i="4" s="1"/>
  <c r="B42" i="4"/>
  <c r="G42" i="4" s="1"/>
  <c r="H42" i="4" s="1"/>
  <c r="B43" i="4"/>
  <c r="G43" i="4" s="1"/>
  <c r="H43" i="4" s="1"/>
  <c r="B44" i="4"/>
  <c r="G44" i="4" s="1"/>
  <c r="H44" i="4" s="1"/>
  <c r="B45" i="4"/>
  <c r="G45" i="4" s="1"/>
  <c r="H45" i="4" s="1"/>
  <c r="B46" i="4"/>
  <c r="G46" i="4" s="1"/>
  <c r="H46" i="4" s="1"/>
  <c r="B47" i="4"/>
  <c r="G47" i="4" s="1"/>
  <c r="H47" i="4" s="1"/>
  <c r="B48" i="4"/>
  <c r="G48" i="4" s="1"/>
  <c r="H48" i="4" s="1"/>
  <c r="B49" i="4"/>
  <c r="G49" i="4" s="1"/>
  <c r="H49" i="4" s="1"/>
  <c r="B50" i="4"/>
  <c r="G50" i="4" s="1"/>
  <c r="H50" i="4" s="1"/>
  <c r="B51" i="4"/>
  <c r="G51" i="4" s="1"/>
  <c r="H51" i="4" s="1"/>
  <c r="B52" i="4"/>
  <c r="G52" i="4" s="1"/>
  <c r="H52" i="4" s="1"/>
  <c r="B53" i="4"/>
  <c r="G53" i="4" s="1"/>
  <c r="H53" i="4" s="1"/>
  <c r="B54" i="4"/>
  <c r="G54" i="4" s="1"/>
  <c r="H54" i="4" s="1"/>
  <c r="B55" i="4"/>
  <c r="G55" i="4" s="1"/>
  <c r="H55" i="4" s="1"/>
  <c r="B56" i="4"/>
  <c r="G56" i="4" s="1"/>
  <c r="H56" i="4" s="1"/>
  <c r="B57" i="4"/>
  <c r="G57" i="4" s="1"/>
  <c r="H57" i="4" s="1"/>
  <c r="B58" i="4"/>
  <c r="G58" i="4" s="1"/>
  <c r="H58" i="4" s="1"/>
  <c r="B59" i="4"/>
  <c r="G59" i="4" s="1"/>
  <c r="H59" i="4" s="1"/>
  <c r="B60" i="4"/>
  <c r="G60" i="4" s="1"/>
  <c r="H60" i="4" s="1"/>
  <c r="B61" i="4"/>
  <c r="G61" i="4" s="1"/>
  <c r="H61" i="4" s="1"/>
  <c r="B62" i="4"/>
  <c r="G62" i="4" s="1"/>
  <c r="H62" i="4" s="1"/>
  <c r="B63" i="4"/>
  <c r="G63" i="4" s="1"/>
  <c r="H63" i="4" s="1"/>
  <c r="B64" i="4"/>
  <c r="G64" i="4" s="1"/>
  <c r="H64" i="4" s="1"/>
  <c r="B65" i="4"/>
  <c r="G65" i="4" s="1"/>
  <c r="H65" i="4" s="1"/>
  <c r="B66" i="4"/>
  <c r="G66" i="4" s="1"/>
  <c r="H66" i="4" s="1"/>
  <c r="B67" i="4"/>
  <c r="G67" i="4" s="1"/>
  <c r="H67" i="4" s="1"/>
  <c r="B68" i="4"/>
  <c r="G68" i="4" s="1"/>
  <c r="H68" i="4" s="1"/>
  <c r="B69" i="4"/>
  <c r="G69" i="4" s="1"/>
  <c r="H69" i="4" s="1"/>
  <c r="B70" i="4"/>
  <c r="G70" i="4" s="1"/>
  <c r="H70" i="4" s="1"/>
  <c r="B71" i="4"/>
  <c r="G71" i="4" s="1"/>
  <c r="H71" i="4" s="1"/>
  <c r="B72" i="4"/>
  <c r="G72" i="4" s="1"/>
  <c r="H72" i="4" s="1"/>
  <c r="B73" i="4"/>
  <c r="G73" i="4" s="1"/>
  <c r="H73" i="4" s="1"/>
  <c r="B74" i="4"/>
  <c r="G74" i="4" s="1"/>
  <c r="H74" i="4" s="1"/>
  <c r="B75" i="4"/>
  <c r="G75" i="4" s="1"/>
  <c r="H75" i="4" s="1"/>
  <c r="B76" i="4"/>
  <c r="G76" i="4" s="1"/>
  <c r="H76" i="4" s="1"/>
  <c r="B77" i="4"/>
  <c r="G77" i="4" s="1"/>
  <c r="H77" i="4" s="1"/>
  <c r="B78" i="4"/>
  <c r="G78" i="4" s="1"/>
  <c r="H78" i="4" s="1"/>
  <c r="B79" i="4"/>
  <c r="G79" i="4" s="1"/>
  <c r="H79" i="4" s="1"/>
  <c r="B80" i="4"/>
  <c r="G80" i="4" s="1"/>
  <c r="H80" i="4" s="1"/>
  <c r="B81" i="4"/>
  <c r="G81" i="4" s="1"/>
  <c r="H81" i="4" s="1"/>
  <c r="B82" i="4"/>
  <c r="G82" i="4" s="1"/>
  <c r="H82" i="4" s="1"/>
  <c r="B83" i="4"/>
  <c r="G83" i="4" s="1"/>
  <c r="H83" i="4" s="1"/>
  <c r="B84" i="4"/>
  <c r="G84" i="4" s="1"/>
  <c r="H84" i="4" s="1"/>
  <c r="B85" i="4"/>
  <c r="G85" i="4" s="1"/>
  <c r="H85" i="4" s="1"/>
  <c r="B86" i="4"/>
  <c r="G86" i="4" s="1"/>
  <c r="H86" i="4" s="1"/>
  <c r="B87" i="4"/>
  <c r="G87" i="4" s="1"/>
  <c r="H87" i="4" s="1"/>
  <c r="B88" i="4"/>
  <c r="G88" i="4" s="1"/>
  <c r="H88" i="4" s="1"/>
  <c r="B89" i="4"/>
  <c r="G89" i="4" s="1"/>
  <c r="H89" i="4" s="1"/>
  <c r="B90" i="4"/>
  <c r="G90" i="4" s="1"/>
  <c r="H90" i="4" s="1"/>
  <c r="B91" i="4"/>
  <c r="G91" i="4" s="1"/>
  <c r="H91" i="4" s="1"/>
  <c r="B92" i="4"/>
  <c r="G92" i="4" s="1"/>
  <c r="H92" i="4" s="1"/>
  <c r="B93" i="4"/>
  <c r="G93" i="4" s="1"/>
  <c r="H93" i="4" s="1"/>
  <c r="B94" i="4"/>
  <c r="G94" i="4" s="1"/>
  <c r="H94" i="4" s="1"/>
  <c r="B95" i="4"/>
  <c r="G95" i="4" s="1"/>
  <c r="H95" i="4" s="1"/>
  <c r="B96" i="4"/>
  <c r="G96" i="4" s="1"/>
  <c r="H96" i="4" s="1"/>
  <c r="B97" i="4"/>
  <c r="G97" i="4" s="1"/>
  <c r="H97" i="4" s="1"/>
  <c r="B98" i="4"/>
  <c r="G98" i="4" s="1"/>
  <c r="H98" i="4" s="1"/>
  <c r="B99" i="4"/>
  <c r="G99" i="4" s="1"/>
  <c r="H99" i="4" s="1"/>
  <c r="B100" i="4"/>
  <c r="G100" i="4" s="1"/>
  <c r="H100" i="4" s="1"/>
  <c r="B101" i="4"/>
  <c r="G101" i="4" s="1"/>
  <c r="H101" i="4" s="1"/>
  <c r="B102" i="4"/>
  <c r="G102" i="4" s="1"/>
  <c r="H102" i="4" s="1"/>
  <c r="B103" i="4"/>
  <c r="G103" i="4" s="1"/>
  <c r="H103" i="4" s="1"/>
  <c r="B104" i="4"/>
  <c r="G104" i="4" s="1"/>
  <c r="H104" i="4" s="1"/>
  <c r="B105" i="4"/>
  <c r="G105" i="4" s="1"/>
  <c r="H105" i="4" s="1"/>
  <c r="B106" i="4"/>
  <c r="G106" i="4" s="1"/>
  <c r="H106" i="4" s="1"/>
  <c r="B107" i="4"/>
  <c r="G107" i="4" s="1"/>
  <c r="H107" i="4" s="1"/>
  <c r="B108" i="4"/>
  <c r="G108" i="4" s="1"/>
  <c r="H108" i="4" s="1"/>
  <c r="B109" i="4"/>
  <c r="G109" i="4" s="1"/>
  <c r="H109" i="4" s="1"/>
  <c r="B110" i="4"/>
  <c r="G110" i="4" s="1"/>
  <c r="H110" i="4" s="1"/>
  <c r="B111" i="4"/>
  <c r="G111" i="4" s="1"/>
  <c r="H111" i="4" s="1"/>
  <c r="B112" i="4"/>
  <c r="G112" i="4" s="1"/>
  <c r="H112" i="4" s="1"/>
  <c r="B113" i="4"/>
  <c r="G113" i="4" s="1"/>
  <c r="H113" i="4" s="1"/>
  <c r="B114" i="4"/>
  <c r="G114" i="4" s="1"/>
  <c r="H114" i="4" s="1"/>
  <c r="B115" i="4"/>
  <c r="G115" i="4" s="1"/>
  <c r="H115" i="4" s="1"/>
  <c r="B116" i="4"/>
  <c r="G116" i="4" s="1"/>
  <c r="H116" i="4" s="1"/>
  <c r="B117" i="4"/>
  <c r="G117" i="4" s="1"/>
  <c r="H117" i="4" s="1"/>
  <c r="B118" i="4"/>
  <c r="G118" i="4" s="1"/>
  <c r="H118" i="4" s="1"/>
  <c r="B119" i="4"/>
  <c r="G119" i="4" s="1"/>
  <c r="H119" i="4" s="1"/>
  <c r="B120" i="4"/>
  <c r="G120" i="4" s="1"/>
  <c r="H120" i="4" s="1"/>
  <c r="B121" i="4"/>
  <c r="G121" i="4" s="1"/>
  <c r="H121" i="4" s="1"/>
  <c r="B122" i="4"/>
  <c r="G122" i="4" s="1"/>
  <c r="H122" i="4" s="1"/>
  <c r="B123" i="4"/>
  <c r="G123" i="4" s="1"/>
  <c r="H123" i="4" s="1"/>
  <c r="B124" i="4"/>
  <c r="G124" i="4" s="1"/>
  <c r="H124" i="4" s="1"/>
  <c r="B125" i="4"/>
  <c r="G125" i="4" s="1"/>
  <c r="H125" i="4" s="1"/>
  <c r="B126" i="4"/>
  <c r="G126" i="4" s="1"/>
  <c r="H126" i="4" s="1"/>
  <c r="B127" i="4"/>
  <c r="G127" i="4" s="1"/>
  <c r="H127" i="4" s="1"/>
  <c r="B128" i="4"/>
  <c r="G128" i="4" s="1"/>
  <c r="H128" i="4" s="1"/>
  <c r="B129" i="4"/>
  <c r="G129" i="4" s="1"/>
  <c r="H129" i="4" s="1"/>
  <c r="B130" i="4"/>
  <c r="G130" i="4" s="1"/>
  <c r="H130" i="4" s="1"/>
  <c r="B131" i="4"/>
  <c r="G131" i="4" s="1"/>
  <c r="H131" i="4" s="1"/>
  <c r="B132" i="4"/>
  <c r="G132" i="4" s="1"/>
  <c r="H132" i="4" s="1"/>
  <c r="B133" i="4"/>
  <c r="G133" i="4" s="1"/>
  <c r="H133" i="4" s="1"/>
  <c r="B134" i="4"/>
  <c r="G134" i="4" s="1"/>
  <c r="H134" i="4" s="1"/>
  <c r="B135" i="4"/>
  <c r="G135" i="4" s="1"/>
  <c r="H135" i="4" s="1"/>
  <c r="B136" i="4"/>
  <c r="G136" i="4" s="1"/>
  <c r="H136" i="4" s="1"/>
  <c r="B137" i="4"/>
  <c r="G137" i="4" s="1"/>
  <c r="H137" i="4" s="1"/>
  <c r="B138" i="4"/>
  <c r="G138" i="4" s="1"/>
  <c r="H138" i="4" s="1"/>
  <c r="B139" i="4"/>
  <c r="G139" i="4" s="1"/>
  <c r="H139" i="4" s="1"/>
  <c r="B140" i="4"/>
  <c r="G140" i="4" s="1"/>
  <c r="H140" i="4" s="1"/>
  <c r="B141" i="4"/>
  <c r="G141" i="4" s="1"/>
  <c r="H141" i="4" s="1"/>
  <c r="B142" i="4"/>
  <c r="G142" i="4" s="1"/>
  <c r="H142" i="4" s="1"/>
  <c r="B143" i="4"/>
  <c r="G143" i="4" s="1"/>
  <c r="H143" i="4" s="1"/>
  <c r="B144" i="4"/>
  <c r="G144" i="4" s="1"/>
  <c r="H144" i="4" s="1"/>
  <c r="B145" i="4"/>
  <c r="G145" i="4" s="1"/>
  <c r="H145" i="4" s="1"/>
  <c r="B146" i="4"/>
  <c r="G146" i="4" s="1"/>
  <c r="H146" i="4" s="1"/>
  <c r="B147" i="4"/>
  <c r="G147" i="4" s="1"/>
  <c r="H147" i="4" s="1"/>
  <c r="B148" i="4"/>
  <c r="G148" i="4" s="1"/>
  <c r="H148" i="4" s="1"/>
  <c r="B149" i="4"/>
  <c r="G149" i="4" s="1"/>
  <c r="H149" i="4" s="1"/>
  <c r="B150" i="4"/>
  <c r="G150" i="4" s="1"/>
  <c r="H150" i="4" s="1"/>
  <c r="B151" i="4"/>
  <c r="G151" i="4" s="1"/>
  <c r="H151" i="4" s="1"/>
  <c r="B152" i="4"/>
  <c r="G152" i="4" s="1"/>
  <c r="H152" i="4" s="1"/>
  <c r="B153" i="4"/>
  <c r="G153" i="4" s="1"/>
  <c r="H153" i="4" s="1"/>
  <c r="B154" i="4"/>
  <c r="G154" i="4" s="1"/>
  <c r="H154" i="4" s="1"/>
  <c r="B155" i="4"/>
  <c r="G155" i="4" s="1"/>
  <c r="H155" i="4" s="1"/>
  <c r="B156" i="4"/>
  <c r="G156" i="4" s="1"/>
  <c r="H156" i="4" s="1"/>
  <c r="B157" i="4"/>
  <c r="G157" i="4" s="1"/>
  <c r="H157" i="4" s="1"/>
  <c r="B158" i="4"/>
  <c r="G158" i="4" s="1"/>
  <c r="H158" i="4" s="1"/>
  <c r="B159" i="4"/>
  <c r="G159" i="4" s="1"/>
  <c r="H159" i="4" s="1"/>
  <c r="B160" i="4"/>
  <c r="G160" i="4" s="1"/>
  <c r="H160" i="4" s="1"/>
  <c r="B161" i="4"/>
  <c r="G161" i="4" s="1"/>
  <c r="H161" i="4" s="1"/>
  <c r="B162" i="4"/>
  <c r="G162" i="4" s="1"/>
  <c r="H162" i="4" s="1"/>
  <c r="B163" i="4"/>
  <c r="G163" i="4" s="1"/>
  <c r="H163" i="4" s="1"/>
  <c r="B164" i="4"/>
  <c r="G164" i="4" s="1"/>
  <c r="H164" i="4" s="1"/>
  <c r="B165" i="4"/>
  <c r="G165" i="4" s="1"/>
  <c r="H165" i="4" s="1"/>
  <c r="B166" i="4"/>
  <c r="G166" i="4" s="1"/>
  <c r="H166" i="4" s="1"/>
  <c r="B167" i="4"/>
  <c r="G167" i="4" s="1"/>
  <c r="H167" i="4" s="1"/>
  <c r="B168" i="4"/>
  <c r="G168" i="4" s="1"/>
  <c r="H168" i="4" s="1"/>
  <c r="B169" i="4"/>
  <c r="G169" i="4" s="1"/>
  <c r="H169" i="4" s="1"/>
  <c r="B170" i="4"/>
  <c r="G170" i="4" s="1"/>
  <c r="H170" i="4" s="1"/>
  <c r="B171" i="4"/>
  <c r="G171" i="4" s="1"/>
  <c r="H171" i="4" s="1"/>
  <c r="B172" i="4"/>
  <c r="G172" i="4" s="1"/>
  <c r="H172" i="4" s="1"/>
  <c r="B173" i="4"/>
  <c r="G173" i="4" s="1"/>
  <c r="H173" i="4" s="1"/>
  <c r="B174" i="4"/>
  <c r="G174" i="4" s="1"/>
  <c r="H174" i="4" s="1"/>
  <c r="B175" i="4"/>
  <c r="G175" i="4" s="1"/>
  <c r="H175" i="4" s="1"/>
  <c r="B176" i="4"/>
  <c r="G176" i="4" s="1"/>
  <c r="H176" i="4" s="1"/>
  <c r="B177" i="4"/>
  <c r="G177" i="4" s="1"/>
  <c r="H177" i="4" s="1"/>
  <c r="B178" i="4"/>
  <c r="G178" i="4" s="1"/>
  <c r="H178" i="4" s="1"/>
  <c r="B179" i="4"/>
  <c r="G179" i="4" s="1"/>
  <c r="H179" i="4" s="1"/>
  <c r="B180" i="4"/>
  <c r="G180" i="4" s="1"/>
  <c r="H180" i="4" s="1"/>
  <c r="B181" i="4"/>
  <c r="G181" i="4" s="1"/>
  <c r="H181" i="4" s="1"/>
  <c r="B182" i="4"/>
  <c r="G182" i="4" s="1"/>
  <c r="H182" i="4" s="1"/>
  <c r="B183" i="4"/>
  <c r="G183" i="4" s="1"/>
  <c r="H183" i="4" s="1"/>
  <c r="B184" i="4"/>
  <c r="G184" i="4" s="1"/>
  <c r="H184" i="4" s="1"/>
  <c r="B185" i="4"/>
  <c r="G185" i="4" s="1"/>
  <c r="H185" i="4" s="1"/>
  <c r="B186" i="4"/>
  <c r="G186" i="4" s="1"/>
  <c r="H186" i="4" s="1"/>
  <c r="B187" i="4"/>
  <c r="G187" i="4" s="1"/>
  <c r="H187" i="4" s="1"/>
  <c r="B188" i="4"/>
  <c r="G188" i="4" s="1"/>
  <c r="H188" i="4" s="1"/>
  <c r="B189" i="4"/>
  <c r="G189" i="4" s="1"/>
  <c r="H189" i="4" s="1"/>
  <c r="B190" i="4"/>
  <c r="G190" i="4" s="1"/>
  <c r="H190" i="4" s="1"/>
  <c r="B191" i="4"/>
  <c r="G191" i="4" s="1"/>
  <c r="H191" i="4" s="1"/>
  <c r="B192" i="4"/>
  <c r="G192" i="4" s="1"/>
  <c r="H192" i="4" s="1"/>
  <c r="B193" i="4"/>
  <c r="G193" i="4" s="1"/>
  <c r="H193" i="4" s="1"/>
  <c r="B194" i="4"/>
  <c r="G194" i="4" s="1"/>
  <c r="H194" i="4" s="1"/>
  <c r="B195" i="4"/>
  <c r="G195" i="4" s="1"/>
  <c r="H195" i="4" s="1"/>
  <c r="B196" i="4"/>
  <c r="G196" i="4" s="1"/>
  <c r="H196" i="4" s="1"/>
  <c r="B197" i="4"/>
  <c r="G197" i="4" s="1"/>
  <c r="H197" i="4" s="1"/>
  <c r="B198" i="4"/>
  <c r="G198" i="4" s="1"/>
  <c r="H198" i="4" s="1"/>
  <c r="B199" i="4"/>
  <c r="G199" i="4" s="1"/>
  <c r="H199" i="4" s="1"/>
  <c r="B200" i="4"/>
  <c r="G200" i="4" s="1"/>
  <c r="H200" i="4" s="1"/>
  <c r="B201" i="4"/>
  <c r="G201" i="4" s="1"/>
  <c r="H201" i="4" s="1"/>
  <c r="B202" i="4"/>
  <c r="G202" i="4" s="1"/>
  <c r="H202" i="4" s="1"/>
  <c r="B203" i="4"/>
  <c r="G203" i="4" s="1"/>
  <c r="H203" i="4" s="1"/>
  <c r="B204" i="4"/>
  <c r="G204" i="4" s="1"/>
  <c r="H204" i="4" s="1"/>
  <c r="B205" i="4"/>
  <c r="G205" i="4" s="1"/>
  <c r="H205" i="4" s="1"/>
  <c r="B206" i="4"/>
  <c r="G206" i="4" s="1"/>
  <c r="H206" i="4" s="1"/>
  <c r="B207" i="4"/>
  <c r="G207" i="4" s="1"/>
  <c r="H207" i="4" s="1"/>
  <c r="B208" i="4"/>
  <c r="G208" i="4" s="1"/>
  <c r="H208" i="4" s="1"/>
  <c r="B209" i="4"/>
  <c r="G209" i="4" s="1"/>
  <c r="H209" i="4" s="1"/>
  <c r="B210" i="4"/>
  <c r="G210" i="4" s="1"/>
  <c r="H210" i="4" s="1"/>
  <c r="B211" i="4"/>
  <c r="G211" i="4" s="1"/>
  <c r="H211" i="4" s="1"/>
  <c r="B212" i="4"/>
  <c r="G212" i="4" s="1"/>
  <c r="H212" i="4" s="1"/>
  <c r="B213" i="4"/>
  <c r="G213" i="4" s="1"/>
  <c r="H213" i="4" s="1"/>
  <c r="B214" i="4"/>
  <c r="G214" i="4" s="1"/>
  <c r="H214" i="4" s="1"/>
  <c r="B215" i="4"/>
  <c r="G215" i="4" s="1"/>
  <c r="H215" i="4" s="1"/>
  <c r="B216" i="4"/>
  <c r="G216" i="4" s="1"/>
  <c r="H216" i="4" s="1"/>
  <c r="B217" i="4"/>
  <c r="G217" i="4" s="1"/>
  <c r="H217" i="4" s="1"/>
  <c r="B218" i="4"/>
  <c r="G218" i="4" s="1"/>
  <c r="H218" i="4" s="1"/>
  <c r="B219" i="4"/>
  <c r="G219" i="4" s="1"/>
  <c r="H219" i="4" s="1"/>
  <c r="B220" i="4"/>
  <c r="G220" i="4" s="1"/>
  <c r="H220" i="4" s="1"/>
  <c r="B221" i="4"/>
  <c r="G221" i="4" s="1"/>
  <c r="H221" i="4" s="1"/>
  <c r="B222" i="4"/>
  <c r="G222" i="4" s="1"/>
  <c r="H222" i="4" s="1"/>
  <c r="B223" i="4"/>
  <c r="G223" i="4" s="1"/>
  <c r="H223" i="4" s="1"/>
  <c r="B224" i="4"/>
  <c r="G224" i="4" s="1"/>
  <c r="H224" i="4" s="1"/>
  <c r="B225" i="4"/>
  <c r="G225" i="4" s="1"/>
  <c r="H225" i="4" s="1"/>
  <c r="B226" i="4"/>
  <c r="G226" i="4" s="1"/>
  <c r="H226" i="4" s="1"/>
  <c r="B227" i="4"/>
  <c r="G227" i="4" s="1"/>
  <c r="H227" i="4" s="1"/>
  <c r="B228" i="4"/>
  <c r="G228" i="4" s="1"/>
  <c r="H228" i="4" s="1"/>
  <c r="B229" i="4"/>
  <c r="G229" i="4" s="1"/>
  <c r="H229" i="4" s="1"/>
  <c r="B230" i="4"/>
  <c r="G230" i="4" s="1"/>
  <c r="H230" i="4" s="1"/>
  <c r="B231" i="4"/>
  <c r="G231" i="4" s="1"/>
  <c r="H231" i="4" s="1"/>
  <c r="B232" i="4"/>
  <c r="G232" i="4" s="1"/>
  <c r="H232" i="4" s="1"/>
  <c r="B234" i="4"/>
  <c r="G234" i="4" s="1"/>
  <c r="H234" i="4" s="1"/>
  <c r="B235" i="4"/>
  <c r="G235" i="4" s="1"/>
  <c r="H235" i="4" s="1"/>
  <c r="B236" i="4"/>
  <c r="G236" i="4" s="1"/>
  <c r="H236" i="4" s="1"/>
  <c r="B237" i="4"/>
  <c r="G237" i="4" s="1"/>
  <c r="H237" i="4" s="1"/>
  <c r="B238" i="4"/>
  <c r="G238" i="4" s="1"/>
  <c r="H238" i="4" s="1"/>
  <c r="B239" i="4"/>
  <c r="G239" i="4" s="1"/>
  <c r="H239" i="4" s="1"/>
  <c r="B240" i="4"/>
  <c r="G240" i="4" s="1"/>
  <c r="H240" i="4" s="1"/>
  <c r="B241" i="4"/>
  <c r="G241" i="4" s="1"/>
  <c r="H241" i="4" s="1"/>
  <c r="B246" i="4"/>
  <c r="G246" i="4" s="1"/>
  <c r="H246" i="4" s="1"/>
  <c r="B247" i="4"/>
  <c r="G247" i="4" s="1"/>
  <c r="H247" i="4" s="1"/>
  <c r="B248" i="4"/>
  <c r="G248" i="4" s="1"/>
  <c r="H248" i="4" s="1"/>
  <c r="B249" i="4"/>
  <c r="G249" i="4" s="1"/>
  <c r="H249" i="4" s="1"/>
  <c r="B250" i="4"/>
  <c r="G250" i="4" s="1"/>
  <c r="H250" i="4" s="1"/>
  <c r="B251" i="4"/>
  <c r="G251" i="4" s="1"/>
  <c r="H251" i="4" s="1"/>
  <c r="B252" i="4"/>
  <c r="G252" i="4" s="1"/>
  <c r="H252" i="4" s="1"/>
  <c r="B253" i="4"/>
  <c r="G253" i="4" s="1"/>
  <c r="H253" i="4" s="1"/>
  <c r="B254" i="4"/>
  <c r="G254" i="4" s="1"/>
  <c r="H254" i="4" s="1"/>
  <c r="B255" i="4"/>
  <c r="G255" i="4" s="1"/>
  <c r="H255" i="4" s="1"/>
  <c r="B256" i="4"/>
  <c r="G256" i="4" s="1"/>
  <c r="H256" i="4" s="1"/>
  <c r="B257" i="4"/>
  <c r="G257" i="4" s="1"/>
  <c r="H257" i="4" s="1"/>
  <c r="B258" i="4"/>
  <c r="G258" i="4" s="1"/>
  <c r="H258" i="4" s="1"/>
  <c r="B259" i="4"/>
  <c r="G259" i="4" s="1"/>
  <c r="H259" i="4" s="1"/>
  <c r="B260" i="4"/>
  <c r="G260" i="4" s="1"/>
  <c r="H260" i="4" s="1"/>
  <c r="B261" i="4"/>
  <c r="G261" i="4" s="1"/>
  <c r="H261" i="4" s="1"/>
  <c r="B262" i="4"/>
  <c r="G262" i="4" s="1"/>
  <c r="H262" i="4" s="1"/>
  <c r="B263" i="4"/>
  <c r="G263" i="4" s="1"/>
  <c r="H263" i="4" s="1"/>
  <c r="B264" i="4"/>
  <c r="G264" i="4" s="1"/>
  <c r="H264" i="4" s="1"/>
  <c r="B265" i="4"/>
  <c r="G265" i="4" s="1"/>
  <c r="H265" i="4" s="1"/>
  <c r="B266" i="4"/>
  <c r="G266" i="4" s="1"/>
  <c r="H266" i="4" s="1"/>
  <c r="B267" i="4"/>
  <c r="G267" i="4" s="1"/>
  <c r="H267" i="4" s="1"/>
  <c r="B268" i="4"/>
  <c r="G268" i="4" s="1"/>
  <c r="H268" i="4" s="1"/>
  <c r="B269" i="4"/>
  <c r="G269" i="4" s="1"/>
  <c r="H269" i="4" s="1"/>
  <c r="B270" i="4"/>
  <c r="G270" i="4" s="1"/>
  <c r="H270" i="4" s="1"/>
  <c r="B271" i="4"/>
  <c r="G271" i="4" s="1"/>
  <c r="H271" i="4" s="1"/>
  <c r="B272" i="4"/>
  <c r="G272" i="4" s="1"/>
  <c r="H272" i="4" s="1"/>
  <c r="B273" i="4"/>
  <c r="G273" i="4" s="1"/>
  <c r="H273" i="4" s="1"/>
  <c r="B274" i="4"/>
  <c r="G274" i="4" s="1"/>
  <c r="H274" i="4" s="1"/>
  <c r="B275" i="4"/>
  <c r="G275" i="4" s="1"/>
  <c r="H275" i="4" s="1"/>
  <c r="B276" i="4"/>
  <c r="G276" i="4" s="1"/>
  <c r="H276" i="4" s="1"/>
  <c r="B277" i="4"/>
  <c r="G277" i="4" s="1"/>
  <c r="H277" i="4" s="1"/>
  <c r="B278" i="4"/>
  <c r="G278" i="4" s="1"/>
  <c r="H278" i="4" s="1"/>
  <c r="B279" i="4"/>
  <c r="G279" i="4" s="1"/>
  <c r="H279" i="4" s="1"/>
  <c r="B280" i="4"/>
  <c r="G280" i="4" s="1"/>
  <c r="H280" i="4" s="1"/>
  <c r="B281" i="4"/>
  <c r="G281" i="4" s="1"/>
  <c r="H281" i="4" s="1"/>
  <c r="B282" i="4"/>
  <c r="G282" i="4" s="1"/>
  <c r="H282" i="4" s="1"/>
  <c r="B283" i="4"/>
  <c r="G283" i="4" s="1"/>
  <c r="H283" i="4" s="1"/>
  <c r="B284" i="4"/>
  <c r="G284" i="4" s="1"/>
  <c r="H284" i="4" s="1"/>
  <c r="B285" i="4"/>
  <c r="G285" i="4" s="1"/>
  <c r="H285" i="4" s="1"/>
  <c r="B286" i="4"/>
  <c r="G286" i="4" s="1"/>
  <c r="H286" i="4" s="1"/>
  <c r="B287" i="4"/>
  <c r="G287" i="4" s="1"/>
  <c r="H287" i="4" s="1"/>
  <c r="B288" i="4"/>
  <c r="G288" i="4" s="1"/>
  <c r="H288" i="4" s="1"/>
  <c r="B289" i="4"/>
  <c r="G289" i="4" s="1"/>
  <c r="H289" i="4" s="1"/>
  <c r="B290" i="4"/>
  <c r="G290" i="4" s="1"/>
  <c r="H290" i="4" s="1"/>
  <c r="B291" i="4"/>
  <c r="G291" i="4" s="1"/>
  <c r="H291" i="4" s="1"/>
  <c r="B293" i="4"/>
  <c r="G293" i="4" s="1"/>
  <c r="H293" i="4" s="1"/>
  <c r="B294" i="4"/>
  <c r="G294" i="4" s="1"/>
  <c r="H294" i="4" s="1"/>
  <c r="B295" i="4"/>
  <c r="G295" i="4" s="1"/>
  <c r="H295" i="4" s="1"/>
  <c r="B296" i="4"/>
  <c r="G296" i="4" s="1"/>
  <c r="H296" i="4" s="1"/>
  <c r="B297" i="4"/>
  <c r="G297" i="4" s="1"/>
  <c r="H297" i="4" s="1"/>
  <c r="B298" i="4"/>
  <c r="G298" i="4" s="1"/>
  <c r="H298" i="4" s="1"/>
  <c r="B299" i="4"/>
  <c r="G299" i="4" s="1"/>
  <c r="H299" i="4" s="1"/>
  <c r="B300" i="4"/>
  <c r="G300" i="4" s="1"/>
  <c r="H300" i="4" s="1"/>
  <c r="B301" i="4"/>
  <c r="G301" i="4" s="1"/>
  <c r="H301" i="4" s="1"/>
  <c r="B302" i="4"/>
  <c r="G302" i="4" s="1"/>
  <c r="H302" i="4" s="1"/>
  <c r="B303" i="4"/>
  <c r="G303" i="4" s="1"/>
  <c r="H303" i="4" s="1"/>
  <c r="B304" i="4"/>
  <c r="G304" i="4" s="1"/>
  <c r="H304" i="4" s="1"/>
  <c r="B305" i="4"/>
  <c r="G305" i="4" s="1"/>
  <c r="H305" i="4" s="1"/>
  <c r="B306" i="4"/>
  <c r="G306" i="4" s="1"/>
  <c r="H306" i="4" s="1"/>
  <c r="B307" i="4"/>
  <c r="G307" i="4" s="1"/>
  <c r="H307" i="4" s="1"/>
  <c r="B308" i="4"/>
  <c r="G308" i="4" s="1"/>
  <c r="H308" i="4" s="1"/>
  <c r="B309" i="4"/>
  <c r="G309" i="4" s="1"/>
  <c r="H309" i="4" s="1"/>
  <c r="B310" i="4"/>
  <c r="G310" i="4" s="1"/>
  <c r="H310" i="4" s="1"/>
  <c r="B325" i="4"/>
  <c r="G325" i="4" s="1"/>
  <c r="H325" i="4" s="1"/>
  <c r="B326" i="4"/>
  <c r="G326" i="4" s="1"/>
  <c r="H326" i="4" s="1"/>
  <c r="B327" i="4"/>
  <c r="G327" i="4" s="1"/>
  <c r="H327" i="4" s="1"/>
  <c r="B328" i="4"/>
  <c r="G328" i="4" s="1"/>
  <c r="H328" i="4" s="1"/>
  <c r="B329" i="4"/>
  <c r="G329" i="4" s="1"/>
  <c r="H329" i="4" s="1"/>
  <c r="B330" i="4"/>
  <c r="G330" i="4" s="1"/>
  <c r="H330" i="4" s="1"/>
  <c r="B331" i="4"/>
  <c r="G331" i="4" s="1"/>
  <c r="H331" i="4" s="1"/>
  <c r="B332" i="4"/>
  <c r="G332" i="4" s="1"/>
  <c r="H332" i="4" s="1"/>
  <c r="B333" i="4"/>
  <c r="G333" i="4" s="1"/>
  <c r="H333" i="4" s="1"/>
  <c r="B334" i="4"/>
  <c r="G334" i="4" s="1"/>
  <c r="H334" i="4" s="1"/>
  <c r="B335" i="4"/>
  <c r="G335" i="4" s="1"/>
  <c r="H335" i="4" s="1"/>
  <c r="B336" i="4"/>
  <c r="G336" i="4" s="1"/>
  <c r="H336" i="4" s="1"/>
  <c r="B337" i="4"/>
  <c r="G337" i="4" s="1"/>
  <c r="H337" i="4" s="1"/>
  <c r="B338" i="4"/>
  <c r="G338" i="4" s="1"/>
  <c r="H338" i="4" s="1"/>
  <c r="B339" i="4"/>
  <c r="G339" i="4" s="1"/>
  <c r="H339" i="4" s="1"/>
  <c r="B340" i="4"/>
  <c r="G340" i="4" s="1"/>
  <c r="H340" i="4" s="1"/>
  <c r="B341" i="4"/>
  <c r="G341" i="4" s="1"/>
  <c r="H341" i="4" s="1"/>
  <c r="B342" i="4"/>
  <c r="G342" i="4" s="1"/>
  <c r="H342" i="4" s="1"/>
  <c r="B343" i="4"/>
  <c r="G343" i="4" s="1"/>
  <c r="H343" i="4" s="1"/>
  <c r="B344" i="4"/>
  <c r="G344" i="4" s="1"/>
  <c r="H344" i="4" s="1"/>
  <c r="B345" i="4"/>
  <c r="G345" i="4" s="1"/>
  <c r="H345" i="4" s="1"/>
  <c r="B346" i="4"/>
  <c r="G346" i="4" s="1"/>
  <c r="H346" i="4" s="1"/>
  <c r="B347" i="4"/>
  <c r="G347" i="4" s="1"/>
  <c r="H347" i="4" s="1"/>
  <c r="B348" i="4"/>
  <c r="G348" i="4" s="1"/>
  <c r="H348" i="4" s="1"/>
  <c r="B349" i="4"/>
  <c r="G349" i="4" s="1"/>
  <c r="H349" i="4" s="1"/>
  <c r="B350" i="4"/>
  <c r="G350" i="4" s="1"/>
  <c r="H350" i="4" s="1"/>
  <c r="B351" i="4"/>
  <c r="G351" i="4" s="1"/>
  <c r="H351" i="4" s="1"/>
  <c r="B353" i="4"/>
  <c r="G353" i="4" s="1"/>
  <c r="H353" i="4" s="1"/>
  <c r="B354" i="4"/>
  <c r="G354" i="4" s="1"/>
  <c r="H354" i="4" s="1"/>
  <c r="B358" i="4"/>
  <c r="G358" i="4" s="1"/>
  <c r="H358" i="4" s="1"/>
  <c r="B359" i="4"/>
  <c r="G359" i="4" s="1"/>
  <c r="H359" i="4" s="1"/>
  <c r="B360" i="4"/>
  <c r="G360" i="4" s="1"/>
  <c r="H360" i="4" s="1"/>
  <c r="B361" i="4"/>
  <c r="G361" i="4" s="1"/>
  <c r="H361" i="4" s="1"/>
  <c r="B363" i="4"/>
  <c r="G363" i="4" s="1"/>
  <c r="H363" i="4" s="1"/>
  <c r="B367" i="4"/>
  <c r="G367" i="4" s="1"/>
  <c r="H367" i="4" s="1"/>
  <c r="B368" i="4"/>
  <c r="G368" i="4" s="1"/>
  <c r="H368" i="4" s="1"/>
  <c r="B369" i="4"/>
  <c r="G369" i="4" s="1"/>
  <c r="H369" i="4" s="1"/>
  <c r="B370" i="4"/>
  <c r="G370" i="4" s="1"/>
  <c r="H370" i="4" s="1"/>
  <c r="B371" i="4"/>
  <c r="G371" i="4" s="1"/>
  <c r="H371" i="4" s="1"/>
  <c r="B372" i="4"/>
  <c r="G372" i="4" s="1"/>
  <c r="H372" i="4" s="1"/>
  <c r="B373" i="4"/>
  <c r="G373" i="4" s="1"/>
  <c r="H373" i="4" s="1"/>
  <c r="B374" i="4"/>
  <c r="G374" i="4" s="1"/>
  <c r="H374" i="4" s="1"/>
  <c r="B375" i="4"/>
  <c r="G375" i="4" s="1"/>
  <c r="H375" i="4" s="1"/>
  <c r="B376" i="4"/>
  <c r="G376" i="4" s="1"/>
  <c r="H376" i="4" s="1"/>
  <c r="B377" i="4"/>
  <c r="G377" i="4" s="1"/>
  <c r="H377" i="4" s="1"/>
  <c r="B378" i="4"/>
  <c r="G378" i="4" s="1"/>
  <c r="H378" i="4" s="1"/>
  <c r="B379" i="4"/>
  <c r="G379" i="4" s="1"/>
  <c r="H379" i="4" s="1"/>
  <c r="B380" i="4"/>
  <c r="G380" i="4" s="1"/>
  <c r="H380" i="4" s="1"/>
  <c r="B381" i="4"/>
  <c r="G381" i="4" s="1"/>
  <c r="H381" i="4" s="1"/>
  <c r="B382" i="4"/>
  <c r="G382" i="4" s="1"/>
  <c r="H382" i="4" s="1"/>
  <c r="B383" i="4"/>
  <c r="G383" i="4" s="1"/>
  <c r="H383" i="4" s="1"/>
  <c r="B384" i="4"/>
  <c r="G384" i="4" s="1"/>
  <c r="H384" i="4" s="1"/>
  <c r="B385" i="4"/>
  <c r="G385" i="4" s="1"/>
  <c r="H385" i="4" s="1"/>
  <c r="B392" i="4"/>
  <c r="G392" i="4" s="1"/>
  <c r="H392" i="4" s="1"/>
  <c r="B395" i="4"/>
  <c r="G395" i="4" s="1"/>
  <c r="H395" i="4" s="1"/>
  <c r="B396" i="4"/>
  <c r="G396" i="4" s="1"/>
  <c r="H396" i="4" s="1"/>
  <c r="B397" i="4"/>
  <c r="G397" i="4" s="1"/>
  <c r="H397" i="4" s="1"/>
  <c r="B398" i="4"/>
  <c r="G398" i="4" s="1"/>
  <c r="H398" i="4" s="1"/>
  <c r="B399" i="4"/>
  <c r="G399" i="4" s="1"/>
  <c r="H399" i="4" s="1"/>
  <c r="B400" i="4"/>
  <c r="G400" i="4" s="1"/>
  <c r="H400" i="4" s="1"/>
  <c r="B401" i="4"/>
  <c r="G401" i="4" s="1"/>
  <c r="H401" i="4" s="1"/>
  <c r="B402" i="4"/>
  <c r="G402" i="4" s="1"/>
  <c r="H402" i="4" s="1"/>
  <c r="B403" i="4"/>
  <c r="G403" i="4" s="1"/>
  <c r="H403" i="4" s="1"/>
  <c r="B404" i="4"/>
  <c r="G404" i="4" s="1"/>
  <c r="H404" i="4" s="1"/>
  <c r="B405" i="4"/>
  <c r="G405" i="4" s="1"/>
  <c r="H405" i="4" s="1"/>
  <c r="B406" i="4"/>
  <c r="G406" i="4" s="1"/>
  <c r="H406" i="4" s="1"/>
  <c r="B407" i="4"/>
  <c r="G407" i="4" s="1"/>
  <c r="H407" i="4" s="1"/>
  <c r="B408" i="4"/>
  <c r="G408" i="4" s="1"/>
  <c r="H408" i="4" s="1"/>
  <c r="B415" i="4"/>
  <c r="G415" i="4" s="1"/>
  <c r="H415" i="4" s="1"/>
  <c r="B2" i="4"/>
  <c r="F2" i="4"/>
  <c r="D2" i="4"/>
  <c r="G2" i="4" l="1"/>
  <c r="H2" i="4" s="1"/>
  <c r="G49" i="2"/>
  <c r="H49" i="2"/>
  <c r="I49" i="2"/>
  <c r="J49" i="2"/>
  <c r="J3" i="2" l="1"/>
</calcChain>
</file>

<file path=xl/sharedStrings.xml><?xml version="1.0" encoding="utf-8"?>
<sst xmlns="http://schemas.openxmlformats.org/spreadsheetml/2006/main" count="5640" uniqueCount="1343">
  <si>
    <t>KHI/HO/D/HLGRP HEALTH/P/1732/08/2022</t>
  </si>
  <si>
    <t>KHI/HO/D/HLGRP HEALTH/P/2716/09/2023</t>
  </si>
  <si>
    <t>KHI/HO/D/HLGRP HEALTH/P/3311/09/2024</t>
  </si>
  <si>
    <t>S. NO.</t>
  </si>
  <si>
    <t>POLICY NUMBER</t>
  </si>
  <si>
    <t>ENDORSEMENT NUMBER</t>
  </si>
  <si>
    <t>ISSUE DATE</t>
  </si>
  <si>
    <t>PERIOD FROM</t>
  </si>
  <si>
    <t>PERIOD TO</t>
  </si>
  <si>
    <t>GROSS CONTRIBUTION</t>
  </si>
  <si>
    <t>NET CONTRIBUTION</t>
  </si>
  <si>
    <t>OUTSTANDNG CONTRIBUTION</t>
  </si>
  <si>
    <t>KHI/HO/D/HLGRP HEALTH/E/16491/09/2022</t>
  </si>
  <si>
    <t>KHI/HO/D/HLGRP HEALTH/E/19975/05/2023</t>
  </si>
  <si>
    <t>KHI/HO/D/HLGRP HEALTH/E/20799/07/2023</t>
  </si>
  <si>
    <t>KHI/HO/D/HLGRP HEALTH/E/21933/10/2023</t>
  </si>
  <si>
    <t>KHI/HO/D/HLGRP HEALTH/E/21951/10/2023</t>
  </si>
  <si>
    <t>KHI/HO/D/HLGRP HEALTH/E/22065/10/2023</t>
  </si>
  <si>
    <t>KHI/HO/D/HLGRP HEALTH/E/22205/10/2023</t>
  </si>
  <si>
    <t>KHI/HO/D/HLGRP HEALTH/E/22263/10/2023</t>
  </si>
  <si>
    <t>KHI/HO/D/HLGRP HEALTH/E/22444/11/2023</t>
  </si>
  <si>
    <t>KHI/HO/D/HLGRP HEALTH/E/22547/11/2023</t>
  </si>
  <si>
    <t>KHI/HO/D/HLGRP HEALTH/E/22585/11/2023</t>
  </si>
  <si>
    <t>KHI/HO/D/HLGRP HEALTH/E/22718/11/2023</t>
  </si>
  <si>
    <t>KHI/HO/D/HLGRP HEALTH/E/22752/11/2023</t>
  </si>
  <si>
    <t>KHI/HO/D/HLGRP HEALTH/E/23018/12/2023</t>
  </si>
  <si>
    <t>KHI/HO/D/HLGRP HEALTH/E/23162/12/2023</t>
  </si>
  <si>
    <t>KHI/HO/D/HLGRP HEALTH/E/23305/12/2023</t>
  </si>
  <si>
    <t>KHI/HO/D/HLGRP HEALTH/E/23373/01/2024</t>
  </si>
  <si>
    <t>KHI/HO/D/HLGRP HEALTH/E/23517/01/2024</t>
  </si>
  <si>
    <t>KHI/HO/D/HLGRP HEALTH/E/23533/01/2024</t>
  </si>
  <si>
    <t>KHI/HO/D/HLGRP HEALTH/E/23549/01/2024</t>
  </si>
  <si>
    <t>KHI/HO/D/HLGRP HEALTH/E/23736/01/2024</t>
  </si>
  <si>
    <t>KHI/HO/D/HLGRP HEALTH/E/23943/02/2024</t>
  </si>
  <si>
    <t>KHI/HO/D/HLGRP HEALTH/E/23978/02/2024</t>
  </si>
  <si>
    <t>KHI/HO/D/HLGRP HEALTH/E/24066/02/2024</t>
  </si>
  <si>
    <t>KHI/HO/D/HLGRP HEALTH/E/24165/02/2024</t>
  </si>
  <si>
    <t>KHI/HO/D/HLGRP HEALTH/E/24203/02/2024</t>
  </si>
  <si>
    <t>KHI/HO/D/HLGRP HEALTH/E/24486/03/2024</t>
  </si>
  <si>
    <t>KHI/HO/D/HLGRP HEALTH/E/24912/04/2024</t>
  </si>
  <si>
    <t>KHI/HO/D/HLGRP HEALTH/E/24932/04/2024</t>
  </si>
  <si>
    <t>KHI/HO/D/HLGRP HEALTH/E/24977/04/2024</t>
  </si>
  <si>
    <t>KHI/HO/D/HLGRP HEALTH/E/25028/04/2024</t>
  </si>
  <si>
    <t>KHI/HO/D/HLGRP HEALTH/E/25143/05/2024</t>
  </si>
  <si>
    <t>KHI/HO/D/HLGRP HEALTH/E/25258/05/2024</t>
  </si>
  <si>
    <t>KHI/HO/D/HLGRP HEALTH/E/25435/05/2024</t>
  </si>
  <si>
    <t>KHI/HO/D/HLGRP HEALTH/E/25746/06/2024</t>
  </si>
  <si>
    <t>KHI/HO/D/HLGRP HEALTH/E/25783/06/2024</t>
  </si>
  <si>
    <t>KHI/HO/D/HLGRP HEALTH/E/25801/06/2024</t>
  </si>
  <si>
    <t>KHI/HO/D/HLGRP HEALTH/E/26032/07/2024</t>
  </si>
  <si>
    <t>KHI/HO/D/HLGRP HEALTH/E/26432/08/2024</t>
  </si>
  <si>
    <t>KHI/HO/D/HLGRP HEALTH/E/26466/08/2024</t>
  </si>
  <si>
    <t>KHI/HO/D/HLGRP HEALTH/E/26581/08/2024</t>
  </si>
  <si>
    <t>KNOCK OFF</t>
  </si>
  <si>
    <t>For Knock off:</t>
  </si>
  <si>
    <t>ITECKNOLOGI TRACKING SERVICES (PVT) LIMITED</t>
  </si>
  <si>
    <t>OUTSTANDING SUMMARY FOR KNOCK OFF AGAINST PAYABLE AMOUNT
Email Dated: Fri 16-May-2025 4:21 pm (Raheel Malik)</t>
  </si>
  <si>
    <t>Received Amount</t>
  </si>
  <si>
    <t>POLICY</t>
  </si>
  <si>
    <t>TYPE</t>
  </si>
  <si>
    <t>ENDORSEMENT</t>
  </si>
  <si>
    <t>TRACKER</t>
  </si>
  <si>
    <t>KHI/HO/D/MO/CV/P/104956/12/2024</t>
  </si>
  <si>
    <t xml:space="preserve"> </t>
  </si>
  <si>
    <t>ITECKNOLOGI (TRACKER)</t>
  </si>
  <si>
    <t>KHI/HO/D/MO/CV/P/104945/12/2024</t>
  </si>
  <si>
    <t>KHI/HO/D/MO/PC COMP/P/104949/12/2024</t>
  </si>
  <si>
    <t>KHI/HO/D/MO/PC COMP/P/104960/12/2024</t>
  </si>
  <si>
    <t>KHI/HO/D/MO/PC COMP/P/104963/12/2024</t>
  </si>
  <si>
    <t>LHR/LHR/D/MO/PC COMP/P/105385/01/2025</t>
  </si>
  <si>
    <t>KHI/HO/D/MO/PC COMP/P/105528/01/2025</t>
  </si>
  <si>
    <t>KHI/HO/D/MO/PC TPP/P/105545/01/2025</t>
  </si>
  <si>
    <t>KHI/HO/D/MO/PC COMP/P/105631/01/2025</t>
  </si>
  <si>
    <t>KHI/HO/D/MO/PC COMP/P/105921/01/2025</t>
  </si>
  <si>
    <t>KHI/HO/D/MO/PC COMP/P/106039/01/2025</t>
  </si>
  <si>
    <t>KHI/HO/D/MO/PC COMP/P/106111/01/2025</t>
  </si>
  <si>
    <t>KHI/HO/D/MO/PC COMP/P/106198/01/2025</t>
  </si>
  <si>
    <t>KHI/HO/D/MO/PC TPP/P/106360/01/2025</t>
  </si>
  <si>
    <t>KHI/HO/D/MO/PC COMP/P/106413/01/2025</t>
  </si>
  <si>
    <t>KHI/HO/D/MO/PC COMP/P/106579/01/2025</t>
  </si>
  <si>
    <t>KHI/HO/D/MO/PC COMP/P/106594/01/2025</t>
  </si>
  <si>
    <t>KHI/HO/D/MO/PC COMP/P/106600/01/2025</t>
  </si>
  <si>
    <t>KHI/HO/D/MO/PC COMP/P/106653/01/2025</t>
  </si>
  <si>
    <t>KHI/HO/D/MO/PC COMP/P/106654/01/2025</t>
  </si>
  <si>
    <t>KHI/HO/D/MO/PC COMP/P/106656/01/2025</t>
  </si>
  <si>
    <t>KHI/HO/D/MO/PC COMP/P/106658/01/2025</t>
  </si>
  <si>
    <t>KHI/HO/D/MO/PC COMP/P/106659/01/2025</t>
  </si>
  <si>
    <t>KHI/HO/D/MO/PC COMP/P/106661/01/2025</t>
  </si>
  <si>
    <t>KHI/HO/D/MO/PC COMP/P/106662/01/2025</t>
  </si>
  <si>
    <t>KHI/HO/D/MO/PC COMP/P/106664/01/2025</t>
  </si>
  <si>
    <t>KHI/HO/D/MO/PC COMP/P/106665/01/2025</t>
  </si>
  <si>
    <t>KHI/HO/D/MO/PC COMP/P/106781/01/2025</t>
  </si>
  <si>
    <t>KHI/HO/D/MO/PC COMP/P/106806/01/2025</t>
  </si>
  <si>
    <t>KHI/HO/D/MO/PC COMP/P/106850/01/2025</t>
  </si>
  <si>
    <t>KHI/HO/D/MO/PC COMP/E/51793/01/2025</t>
  </si>
  <si>
    <t>KHI/HO/D/MO/PC COMP/E/52322/02/2025</t>
  </si>
  <si>
    <t>PREMIUM</t>
  </si>
  <si>
    <t>SALAAM TAKAFUL LTD</t>
  </si>
  <si>
    <t>KHI/HO/D/MO/PC COMP/P/105594/01/2025</t>
  </si>
  <si>
    <t>KHI/HO/D/MO/PC COMP/E/52337/02/2025</t>
  </si>
  <si>
    <t>KHI/HO/D/MO/PC COMP/C/106033/2/01/2025</t>
  </si>
  <si>
    <t>KHI/HO/D/MO/PC COMP/P/84616/02/2024</t>
  </si>
  <si>
    <t>KHI/HO/D/MO/CV/P/86492/04/2024</t>
  </si>
  <si>
    <t>KHI/HO/D/MO/CV/P/86495/04/2024</t>
  </si>
  <si>
    <t>KHI/HO/D/MO/CV/P/86585/04/2024</t>
  </si>
  <si>
    <t>KHI/HO/D/MO/PC COMP/P/90692/06/2024</t>
  </si>
  <si>
    <t>KHI/HO/D/MO/PC COMP/P/100672/10/2024</t>
  </si>
  <si>
    <t>KHI/HO/D/MO/CV/P/103497/12/2024</t>
  </si>
  <si>
    <t>KHI/HO/D/MO/PD COMP/P/79741/12/2023</t>
  </si>
  <si>
    <t>KHI/HO/D/MO/PD COMP/P/87622/04/2024</t>
  </si>
  <si>
    <t>KHI/HO/D/MO/PD COMP/P/87822/04/2024</t>
  </si>
  <si>
    <t>KHI/HO/D/MO/PD COMP/P/88008/04/2024</t>
  </si>
  <si>
    <t>KHI/HO/D/MO/PD COMP/P/88119/04/2024</t>
  </si>
  <si>
    <t>KHI/HO/D/MO/PD COMP/P/88131/04/2024</t>
  </si>
  <si>
    <t>KHI/HO/D/MO/PD COMP/P/88151/04/2024</t>
  </si>
  <si>
    <t>KHI/HO/D/MO/PD COMP/P/88227/05/2024</t>
  </si>
  <si>
    <t>KHI/HO/D/MO/PD COMP/P/88751/05/2024</t>
  </si>
  <si>
    <t>KHI/HO/D/MO/PD COMP/P/88939/05/2024</t>
  </si>
  <si>
    <t>KHI/HO/D/MO/PD COMP/P/89060/05/2024</t>
  </si>
  <si>
    <t>KHI/HO/D/MO/PD COMP/P/89083/05/2024</t>
  </si>
  <si>
    <t>KHI/HO/D/MO/PD COMP/P/89332/05/2024</t>
  </si>
  <si>
    <t>KHI/HO/D/MO/PD COMP/P/89467/05/2024</t>
  </si>
  <si>
    <t>KHI/HO/D/MO/PD COMP/P/89636/05/2024</t>
  </si>
  <si>
    <t>KHI/HO/D/MO/PD COMP/P/89681/05/2024</t>
  </si>
  <si>
    <t>KHI/HO/D/MO/PD COMP/P/89730/05/2024</t>
  </si>
  <si>
    <t>KHI/HO/D/MO/PD COMP/P/89741/05/2024</t>
  </si>
  <si>
    <t>KHI/HO/D/MO/PD COMP/P/89937/05/2024</t>
  </si>
  <si>
    <t>KHI/HO/D/MO/PD COMP/P/90167/06/2024</t>
  </si>
  <si>
    <t>KHI/HO/D/MO/PD COMP/P/90615/06/2024</t>
  </si>
  <si>
    <t>KHI/HO/D/MO/PD COMP/P/91352/06/2024</t>
  </si>
  <si>
    <t>KHI/HO/D/MO/PD COMP/P/92067/07/2024</t>
  </si>
  <si>
    <t>KHI/HO/D/MO/PD COMP/P/92359/07/2024</t>
  </si>
  <si>
    <t>KHI/HO/D/MO/PD COMP/P/92400/07/2024</t>
  </si>
  <si>
    <t>KHI/HO/D/MO/PD COMP/P/92839/07/2024</t>
  </si>
  <si>
    <t>KHI/HO/D/MO/PD COMP/P/92928/07/2024</t>
  </si>
  <si>
    <t>KHI/HO/D/MO/PD COMP/P/93275/07/2024</t>
  </si>
  <si>
    <t>KHI/HO/D/MO/PD COMP/P/93276/07/2024</t>
  </si>
  <si>
    <t>KHI/HO/D/MO/PD COMP/P/93319/07/2024</t>
  </si>
  <si>
    <t>KHI/HO/D/MO/PD COMP/P/93346/07/2024</t>
  </si>
  <si>
    <t>KHI/HO/D/MO/PD COMP/P/93438/07/2024</t>
  </si>
  <si>
    <t>KHI/HO/D/MO/PD COMP/P/93485/07/2024</t>
  </si>
  <si>
    <t>KHI/HO/D/MO/PD COMP/P/93635/07/2024</t>
  </si>
  <si>
    <t>KHI/HO/D/MO/PD COMP/P/93670/07/2024</t>
  </si>
  <si>
    <t>KHI/HO/D/MO/PD COMP/P/93696/07/2024</t>
  </si>
  <si>
    <t>KHI/HO/D/MO/PD COMP/P/93917/07/2024</t>
  </si>
  <si>
    <t>KHI/HO/D/MO/PD COMP/P/94004/07/2024</t>
  </si>
  <si>
    <t>KHI/HO/D/MO/PD COMP/P/94005/07/2024</t>
  </si>
  <si>
    <t>KHI/HO/D/MO/PD COMP/P/94076/07/2024</t>
  </si>
  <si>
    <t>KHI/HO/D/MO/PD COMP/P/94078/07/2024</t>
  </si>
  <si>
    <t>KHI/HO/D/MO/PD COMP/P/94263/07/2024</t>
  </si>
  <si>
    <t>KHI/HO/D/MO/PD COMP/P/94335/07/2024</t>
  </si>
  <si>
    <t>KHI/HO/D/MO/PD COMP/P/94350/07/2024</t>
  </si>
  <si>
    <t>KHI/HO/D/MO/PD COMP/P/94378/08/2024</t>
  </si>
  <si>
    <t>KHI/HO/D/MO/PD COMP/P/94399/08/2024</t>
  </si>
  <si>
    <t>KHI/HO/D/MO/PD COMP/P/94838/08/2024</t>
  </si>
  <si>
    <t>KHI/HO/D/MO/PD COMP/P/94842/08/2024</t>
  </si>
  <si>
    <t>KHI/HO/D/MO/PD COMP/P/95637/08/2024</t>
  </si>
  <si>
    <t>KHI/HO/D/MO/PD COMP/P/95789/08/2024</t>
  </si>
  <si>
    <t>KHI/HO/D/MO/PD COMP/P/96868/09/2024</t>
  </si>
  <si>
    <t>KHI/HO/D/MO/PD COMP/P/97075/09/2024</t>
  </si>
  <si>
    <t>KHI/HO/D/MO/PD COMP/P/97284/09/2024</t>
  </si>
  <si>
    <t>KHI/HO/D/MO/PD COMP/P/97539/09/2024</t>
  </si>
  <si>
    <t>KHI/HO/D/MO/PD COMP/P/97797/09/2024</t>
  </si>
  <si>
    <t>KHI/HO/D/MO/PD COMP/P/97802/09/2024</t>
  </si>
  <si>
    <t>KHI/HO/D/MO/PD COMP/P/97824/09/2024</t>
  </si>
  <si>
    <t>KHI/HO/D/MO/PD COMP/P/97826/09/2024</t>
  </si>
  <si>
    <t>KHI/HO/D/MO/PD COMP/P/98820/10/2024</t>
  </si>
  <si>
    <t>KHI/HO/D/MO/PD COMP/P/99075/10/2024</t>
  </si>
  <si>
    <t>KHI/HO/D/MO/PD COMP/P/99187/10/2024</t>
  </si>
  <si>
    <t>KHI/HO/D/MO/PD COMP/P/99503/10/2024</t>
  </si>
  <si>
    <t>KHI/HO/D/MO/PD COMP/P/99592/10/2024</t>
  </si>
  <si>
    <t>KHI/HO/D/MO/PD COMP/P/100042/10/2024</t>
  </si>
  <si>
    <t>KHI/HO/D/MO/PD COMP/P/101180/11/2024</t>
  </si>
  <si>
    <t>KHI/HO/D/MO/PD COMP/P/101404/11/2024</t>
  </si>
  <si>
    <t>KHI/HO/D/MO/PD COMP/P/101770/11/2024</t>
  </si>
  <si>
    <t>KHI/HO/D/MO/PD COMP/P/101951/11/2024</t>
  </si>
  <si>
    <t>KHI/HO/D/MO/PD COMP/P/102357/11/2024</t>
  </si>
  <si>
    <t>KHI/HO/D/MO/PD COMP/P/102561/11/2024</t>
  </si>
  <si>
    <t>KHI/HO/D/MO/PD COMP/P/102825/11/2024</t>
  </si>
  <si>
    <t>KHI/HO/D/MO/PD COMP/P/102827/11/2024</t>
  </si>
  <si>
    <t>KHI/HO/D/MO/PD COMP/P/102902/11/2024</t>
  </si>
  <si>
    <t>KHI/HO/D/MO/PD COMP/P/103693/12/2024</t>
  </si>
  <si>
    <t>KHI/HO/D/MO/PD COMP/P/104008/12/2024</t>
  </si>
  <si>
    <t>KHI/HO/D/MO/PD COMP/P/104470/12/2024</t>
  </si>
  <si>
    <t>KHI/HO/D/MO/PD COMP/P/104480/12/2024</t>
  </si>
  <si>
    <t>KHI/HO/D/MO/PD COMP/P/104648/12/2024</t>
  </si>
  <si>
    <t>KHI/HO/D/MO/PD COMP/P/104734/12/2024</t>
  </si>
  <si>
    <t>KHI/HO/D/MO/PD COMP/P/105047/12/2024</t>
  </si>
  <si>
    <t>KHI/HO/D/MO/PD COMP/P/105078/12/2024</t>
  </si>
  <si>
    <t>KHI/HO/D/MO/PD COMP/P/105145/01/2025</t>
  </si>
  <si>
    <t>KHI/HO/D/MO/PD COMP/P/105386/01/2025</t>
  </si>
  <si>
    <t>KHI/HO/D/MO/PD COMP/P/105710/01/2025</t>
  </si>
  <si>
    <t>KHI/HO/D/MO/PD COMP/P/105825/01/2025</t>
  </si>
  <si>
    <t>KHI/HO/D/MO/PD COMP/P/106216/01/2025</t>
  </si>
  <si>
    <t>KHI/HO/D/MO/PD COMP/P/106370/01/2025</t>
  </si>
  <si>
    <t>KHI/HO/D/MO/PD COMP/P/106796/01/2025</t>
  </si>
  <si>
    <t>KHI/HO/D/MO/PD COMP/P/106812/01/2025</t>
  </si>
  <si>
    <t>KHI/HO/D/MO/PD COMP/P/106829/01/2025</t>
  </si>
  <si>
    <t>KHI/HO/D/MO/PD COMP/P/107388/02/2025</t>
  </si>
  <si>
    <t>KHI/HO/D/MO/PD COMP/E/40759/04/2024</t>
  </si>
  <si>
    <t>KHI/HO/D/MO/PD COMP/E/42783/07/2024</t>
  </si>
  <si>
    <t>KHI/HO/D/MO/PD COMP/E/50131/12/2024</t>
  </si>
  <si>
    <t>KHI/HO/D/MO/PD COMP/P/103552/12/2024</t>
  </si>
  <si>
    <t>KHI/HO/D/MO/PC COMP/E/52584/02/2025</t>
  </si>
  <si>
    <t>KHI/HO/D/MO/PC COMP/E/52585/02/2025</t>
  </si>
  <si>
    <t>KHI/HO/D/MO/PC TPP/E/52586/02/2025</t>
  </si>
  <si>
    <t>KHI/HO/D/MO/PD COMP/P/103620/12/2024</t>
  </si>
  <si>
    <t>KHI/HO/D/MO/PD COMP/P/103907/12/2024</t>
  </si>
  <si>
    <t>KHI/HO/D/MO/PD COMP/P/104081/12/2024</t>
  </si>
  <si>
    <t>KHI/HO/D/MO/PD COMP/P/104817/12/2024</t>
  </si>
  <si>
    <t>KHI/HO/D/MO/PD COMP/P/105052/12/2024</t>
  </si>
  <si>
    <t>KHI/HO/D/MO/PD COMP/P/105191/01/2025</t>
  </si>
  <si>
    <t>KHI/HO/D/MO/PD COMP/P/105424/01/2025</t>
  </si>
  <si>
    <t>KHI/HO/D/MO/PD COMP/P/105569/01/2025</t>
  </si>
  <si>
    <t>KHI/HO/D/MO/PD COMP/P/105704/01/2025</t>
  </si>
  <si>
    <t>KHI/HO/D/MO/PD COMP/P/105792/01/2025</t>
  </si>
  <si>
    <t>KHI/HO/D/MO/PD COMP/P/105801/01/2025</t>
  </si>
  <si>
    <t>KHI/HO/D/MO/PD COMP/P/105870/01/2025</t>
  </si>
  <si>
    <t>KHI/HO/D/MO/PD COMP/P/105886/01/2025</t>
  </si>
  <si>
    <t>KHI/HO/D/MO/PD COMP/P/106162/01/2025</t>
  </si>
  <si>
    <t>KHI/HO/D/MO/PD COMP/P/106173/01/2025</t>
  </si>
  <si>
    <t>KHI/HO/D/MO/PD COMP/P/106259/01/2025</t>
  </si>
  <si>
    <t>KHI/HO/D/MO/PD COMP/P/106495/01/2025</t>
  </si>
  <si>
    <t>KHI/HO/D/MO/PD COMP/P/106567/01/2025</t>
  </si>
  <si>
    <t>KHI/HO/D/MO/PD COMP/P/106709/01/2025</t>
  </si>
  <si>
    <t>KHI/HO/D/MO/PD COMP/P/106741/01/2025</t>
  </si>
  <si>
    <t>KHI/HO/D/MO/PD COMP/P/106785/01/2025</t>
  </si>
  <si>
    <t>KHI/HO/D/MO/PD COMP/P/106831/01/2025</t>
  </si>
  <si>
    <t>KHI/HO/D/MO/PD COMP/P/106885/01/2025</t>
  </si>
  <si>
    <t>KHI/HO/D/MO/PD COMP/P/106930/01/2025</t>
  </si>
  <si>
    <t>KHI/HO/D/MO/PD COMP/P/106987/02/2025</t>
  </si>
  <si>
    <t>KHI/HO/D/MO/PD COMP/P/107087/02/2025</t>
  </si>
  <si>
    <t>KHI/HO/D/MO/PD COMP/P/107138/02/2025</t>
  </si>
  <si>
    <t>KHI/HO/D/MO/PD COMP/P/107299/02/2025</t>
  </si>
  <si>
    <t>KHI/HO/D/MO/PD COMP/P/107477/02/2025</t>
  </si>
  <si>
    <t>KHI/HO/D/MO/PD COMP/P/107483/02/2025</t>
  </si>
  <si>
    <t>KHI/HO/D/MO/PD COMP/P/107484/02/2025</t>
  </si>
  <si>
    <t>KHI/HO/D/MO/PD COMP/P/107525/02/2025</t>
  </si>
  <si>
    <t>KHI/HO/D/MO/PD COMP/P/107615/02/2025</t>
  </si>
  <si>
    <t>KHI/HO/D/MO/PD COMP/P/107855/03/2025</t>
  </si>
  <si>
    <t>KHI/HO/D/MO/PD COMP/P/108247/03/2025</t>
  </si>
  <si>
    <t>KHI/HO/D/MO/PD COMP/E/58930/03/2025</t>
  </si>
  <si>
    <t>KHI/HO/D/MO/CV/P/80024/12/2023</t>
  </si>
  <si>
    <t>KHI/HO/D/MO/PC COMP/P/107740/02/2025</t>
  </si>
  <si>
    <t>KHI/HO/D/MO/PC COMP/P/107748/02/2025</t>
  </si>
  <si>
    <t>KHI/HO/D/MO/PC COMP/P/107859/03/2025</t>
  </si>
  <si>
    <t>KHI/HO/D/MO/PC COMP/P/107966/03/2025</t>
  </si>
  <si>
    <t>KHI/HO/D/MO/PC COMP/P/107992/03/2025</t>
  </si>
  <si>
    <t>KHI/HO/D/MO/PC COMP/P/107994/03/2025</t>
  </si>
  <si>
    <t>KHI/HO/D/MO/PC COMP/P/108030/03/2025</t>
  </si>
  <si>
    <t>KHI/HO/D/MO/PC COMP/P/108037/03/2025</t>
  </si>
  <si>
    <t>KHI/HO/D/MO/PC COMP/P/108057/03/2025</t>
  </si>
  <si>
    <t>KHI/HO/D/MO/PC COMP/P/108131/03/2025</t>
  </si>
  <si>
    <t>KHI/HO/D/MO/PC COMP/P/108267/03/2025</t>
  </si>
  <si>
    <t>KHI/HO/D/MO/PC COMP/P/108387/03/2025</t>
  </si>
  <si>
    <t>KHI/HO/D/MO/PC COMP/P/108510/03/2025</t>
  </si>
  <si>
    <t>KHI/HO/D/MO/PC COMP/P/108513/03/2025</t>
  </si>
  <si>
    <t>KHI/HO/D/MO/PC COMP/P/108514/03/2025</t>
  </si>
  <si>
    <t>KHI/HO/D/MO/PC COMP/P/108515/03/2025</t>
  </si>
  <si>
    <t>KHI/HO/D/MO/PC COMP/P/108531/04/2025</t>
  </si>
  <si>
    <t>KHI/HO/D/MO/PC TPP/P/108600/04/2025</t>
  </si>
  <si>
    <t>KHI/HO/D/MO/PC COMP/E/52900/03/2025</t>
  </si>
  <si>
    <t>KHI/HO/D/MO/PC COMP/P/106573/01/2025</t>
  </si>
  <si>
    <t>KHI/HO/D/MO/PC COMP/P/106849/01/2025</t>
  </si>
  <si>
    <t>KHI/HO/D/MO/PC COMP/P/106964/02/2025</t>
  </si>
  <si>
    <t>KHI/HO/D/MO/PC COMP/P/106965/02/2025</t>
  </si>
  <si>
    <t>KHI/HO/D/MO/PC COMP/P/106967/02/2025</t>
  </si>
  <si>
    <t>KHI/HO/D/MO/PC COMP/P/106968/02/2025</t>
  </si>
  <si>
    <t>KHI/HO/D/MO/PC COMP/P/106969/02/2025</t>
  </si>
  <si>
    <t>KHI/HO/D/MO/PC TPP/P/106976/02/2025</t>
  </si>
  <si>
    <t>KHI/HO/D/MO/PC COMP/P/107081/02/2025</t>
  </si>
  <si>
    <t>KHI/HO/D/MO/PC TPP/P/107084/02/2025</t>
  </si>
  <si>
    <t>KHI/HO/D/MO/PC COMP/P/107158/02/2025</t>
  </si>
  <si>
    <t>KHI/HO/D/MO/PC COMP/P/107192/02/2025</t>
  </si>
  <si>
    <t>LHR/LHR/D/MO/PC COMP/P/107209/02/2025</t>
  </si>
  <si>
    <t>LHR/LHR/D/MO/PC COMP/P/107348/02/2025</t>
  </si>
  <si>
    <t>KHI/HO/D/MO/PC COMP/P/107370/02/2025</t>
  </si>
  <si>
    <t>KHI/HO/D/MO/CV/P/107416/02/2025</t>
  </si>
  <si>
    <t>LHR/LHR/D/MO/PC COMP/P/107492/02/2025</t>
  </si>
  <si>
    <t>KHI/HO/D/MO/PC COMP/P/107521/02/2025</t>
  </si>
  <si>
    <t>KHI/HO/D/MO/PC COMP/P/107544/02/2025</t>
  </si>
  <si>
    <t>KHI/HO/D/MO/PC COMP/P/107598/02/2025</t>
  </si>
  <si>
    <t>KHI/HO/D/MO/PC COMP/P/107600/02/2025</t>
  </si>
  <si>
    <t>LHR/LHR/D/MO/PC COMP/P/107647/02/2025</t>
  </si>
  <si>
    <t>KHI/HO/D/MO/PC COMP/P/107656/02/2025</t>
  </si>
  <si>
    <t>KHI/HO/D/MO/PC COMP/P/107679/02/2025</t>
  </si>
  <si>
    <t>KHI/HO/D/MO/PC COMP/P/107681/02/2025</t>
  </si>
  <si>
    <t>KHI/HO/D/MO/PC TPP/P/107696/02/2025</t>
  </si>
  <si>
    <t>KHI/HO/D/MO/PC COMP/P/107700/02/2025</t>
  </si>
  <si>
    <t>KHI/HO/D/MO/PC COMP/P/107702/02/2025</t>
  </si>
  <si>
    <t>KHI/HO/D/MO/PC COMP/P/107703/02/2025</t>
  </si>
  <si>
    <t>KHI/HO/D/MO/PC COMP/P/107719/02/2025</t>
  </si>
  <si>
    <t>KHI/HO/D/MO/PC COMP/P/107726/02/2025</t>
  </si>
  <si>
    <t>KHI/HO/D/MO/PC COMP/P/107743/02/2025</t>
  </si>
  <si>
    <t>KHI/HO/D/MO/PC COMP/P/107759/02/2025</t>
  </si>
  <si>
    <t>KHI/HO/D/MO/PC TPP/E/53218/03/2025</t>
  </si>
  <si>
    <t>KHI/HO/D/MO/PC COMP/E/53222/03/2025</t>
  </si>
  <si>
    <t>KHI/HO/D/MO/PC COMP/C/106254/1/01/2025</t>
  </si>
  <si>
    <t>KHI/HO/D/MO/PC COMP/P/92860/07/2024</t>
  </si>
  <si>
    <t>KHI/HO/D/MO/PC COMP/P/94025/07/2024</t>
  </si>
  <si>
    <t>KHI/HO/D/MO/PC COMP/P/107200/02/2025</t>
  </si>
  <si>
    <t>KHI/HO/D/MO/PC COMP/P/107222/02/2025</t>
  </si>
  <si>
    <t>KHI/HO/D/MO/PC COMP/P/107553/02/2025</t>
  </si>
  <si>
    <t>FSD/FSD/D/MO/PC COMP/P/107621/02/2025</t>
  </si>
  <si>
    <t>KHI/HO/D/MO/PC COMP/P/107667/02/2025</t>
  </si>
  <si>
    <t>KHI/HO/D/MO/PC COMP/P/107960/03/2025</t>
  </si>
  <si>
    <t>KHI/HO/D/MO/PC COMP/E/52647/00004/02/2025</t>
  </si>
  <si>
    <t>KHI/HO/D/MO/CV/C/107155/1/02/2025</t>
  </si>
  <si>
    <t>KHI/HO/D/MO/PC COMP/C/107260/1/02/2025</t>
  </si>
  <si>
    <t>KHI/HO/D/MO/PC COMP/C/93729/1/07/2024</t>
  </si>
  <si>
    <t>KHI/HO/D/MO/PD COMP/P/89923/05/2024</t>
  </si>
  <si>
    <t>KHI/HO/D/MO/PD COMP/P/93063/07/2024</t>
  </si>
  <si>
    <t>KHI/HO/D/MO/PD COMP/P/94297/07/2024</t>
  </si>
  <si>
    <t>KHI/HO/D/MO/PD COMP/P/94667/08/2024</t>
  </si>
  <si>
    <t>KHI/HO/D/MO/PD COMP/P/94867/08/2024</t>
  </si>
  <si>
    <t>KHI/HO/D/MO/PD COMP/P/95758/08/2024</t>
  </si>
  <si>
    <t>KHI/HO/D/MO/PD COMP/P/96377/08/2024</t>
  </si>
  <si>
    <t>KHI/HO/D/MO/PD COMP/P/96784/09/2024</t>
  </si>
  <si>
    <t>KHI/HO/D/MO/PD COMP/P/97047/09/2024</t>
  </si>
  <si>
    <t>KHI/HO/D/MO/PD COMP/P/97279/09/2024</t>
  </si>
  <si>
    <t>KHI/HO/D/MO/PD COMP/P/97992/09/2024</t>
  </si>
  <si>
    <t>KHI/HO/D/MO/PD COMP/P/98018/09/2024</t>
  </si>
  <si>
    <t>KHI/HO/D/MO/PD COMP/P/98039/09/2024</t>
  </si>
  <si>
    <t>KHI/HO/D/MO/PD COMP/P/98115/09/2024</t>
  </si>
  <si>
    <t>KHI/HO/D/MO/PD COMP/P/98723/10/2024</t>
  </si>
  <si>
    <t>KHI/HO/D/MO/PD COMP/P/98858/10/2024</t>
  </si>
  <si>
    <t>KHI/HO/D/MO/PD COMP/P/99114/10/2024</t>
  </si>
  <si>
    <t>KHI/HO/D/MO/PD COMP/P/99249/10/2024</t>
  </si>
  <si>
    <t>KHI/HO/D/MO/PD COMP/P/99278/10/2024</t>
  </si>
  <si>
    <t>KHI/HO/D/MO/PD COMP/P/99659/10/2024</t>
  </si>
  <si>
    <t>KHI/HO/D/MO/PD COMP/P/99691/10/2024</t>
  </si>
  <si>
    <t>KHI/HO/D/MO/PD COMP/P/99884/10/2024</t>
  </si>
  <si>
    <t>KHI/HO/D/MO/PD COMP/P/99915/10/2024</t>
  </si>
  <si>
    <t>KHI/HO/D/MO/PD COMP/P/100011/10/2024</t>
  </si>
  <si>
    <t>KHI/HO/D/MO/PD COMP/P/100678/10/2024</t>
  </si>
  <si>
    <t>KHI/HO/D/MO/PD COMP/P/100881/10/2024</t>
  </si>
  <si>
    <t>KHI/HO/D/MO/PD COMP/P/101021/10/2024</t>
  </si>
  <si>
    <t>KHI/HO/D/MO/PD COMP/P/101538/11/2024</t>
  </si>
  <si>
    <t>KHI/HO/D/MO/PD COMP/P/101604/11/2024</t>
  </si>
  <si>
    <t>KHI/HO/D/MO/PD COMP/P/101611/11/2024</t>
  </si>
  <si>
    <t>KHI/HO/D/MO/PD COMP/P/101851/11/2024</t>
  </si>
  <si>
    <t>KHI/HO/D/MO/PD COMP/P/103079/11/2024</t>
  </si>
  <si>
    <t>KHI/HO/D/MO/PD COMP/P/103206/12/2024</t>
  </si>
  <si>
    <t>KHI/HO/D/MO/PD COMP/P/103314/12/2024</t>
  </si>
  <si>
    <t>KHI/HO/D/MO/PD COMP/P/103622/12/2024</t>
  </si>
  <si>
    <t>KHI/HO/D/MO/PD COMP/P/104789/12/2024</t>
  </si>
  <si>
    <t>KHI/HO/D/MO/PD COMP/P/104895/12/2024</t>
  </si>
  <si>
    <t>KHI/HO/D/MO/PD COMP/P/105185/01/2025</t>
  </si>
  <si>
    <t>KHI/HO/D/MO/PD COMP/P/106157/01/2025</t>
  </si>
  <si>
    <t>KHI/HO/D/MO/PD COMP/E/49559/11/2024</t>
  </si>
  <si>
    <t>KHI/HO/D/MO/PD COMP/E/49560/11/2024</t>
  </si>
  <si>
    <t>KHI/HO/D/MO/PD COMP/E/49561/11/2024</t>
  </si>
  <si>
    <t>KHI/HO/D/MO/PD COMP/E/49562/11/2024</t>
  </si>
  <si>
    <t>KHI/HO/D/MO/PD COMP/E/49588/12/2024</t>
  </si>
  <si>
    <t>KHI/HO/D/MO/PD COMP/E/51909/01/2025</t>
  </si>
  <si>
    <t>KHI/HO/D/MO/PD COMP/E/51911/01/2025</t>
  </si>
  <si>
    <t>KHI/HO/D/MO/PC COMP/C/106033/1/01/2025</t>
  </si>
  <si>
    <t>KHI/HO/D/MO/PC COMP/P/94786/08/2024</t>
  </si>
  <si>
    <t>KHI/HO/D/MO/PC COMP/P/94787/08/2024</t>
  </si>
  <si>
    <t>KHI/HO/D/MO/PC COMP/P/96596/09/2024</t>
  </si>
  <si>
    <t>KHI/HO/D/MO/PC COMP/P/105252/01/2025</t>
  </si>
  <si>
    <t>KHI/HO/D/MO/PC COMP/P/105848/01/2025</t>
  </si>
  <si>
    <t>KHI/HO/D/MO/PC COMP/P/107833/03/2025</t>
  </si>
  <si>
    <t>KHI/HO/D/MO/PC COMP/P/107834/03/2025</t>
  </si>
  <si>
    <t>KHI/HO/D/MO/PC COMP/P/107835/03/2025</t>
  </si>
  <si>
    <t>KHI/HO/D/MO/PC COMP/P/107836/03/2025</t>
  </si>
  <si>
    <t>KHI/HO/D/MO/CV/P/107844/03/2025</t>
  </si>
  <si>
    <t>KHI/HO/D/MO/PC COMP/P/107846/03/2025</t>
  </si>
  <si>
    <t>KHI/HO/D/MO/PC COMP/P/107847/03/2025</t>
  </si>
  <si>
    <t>KHI/HO/D/MO/PC COMP/P/107983/03/2025</t>
  </si>
  <si>
    <t>KHI/HO/D/MO/PC TPP/P/108018/03/2025</t>
  </si>
  <si>
    <t>KHI/HO/D/MO/PC COMP/P/108095/03/2025</t>
  </si>
  <si>
    <t>KHI/HO/D/MO/PC COMP/P/108125/03/2025</t>
  </si>
  <si>
    <t>KHI/HO/D/MO/PC COMP/P/108207/03/2025</t>
  </si>
  <si>
    <t>KHI/HO/D/MO/PC COMP/P/108902/04/2025</t>
  </si>
  <si>
    <t>KHI/HO/D/MO/PC COMP/C/107535/3/02/2025</t>
  </si>
  <si>
    <t>KHI/HO/D/MO/PC COMP/C/107978/1/03/2025</t>
  </si>
  <si>
    <t>KHI/HO/D/MO/PC COMP/C/107978/2/03/2025</t>
  </si>
  <si>
    <t>KHI/HO/D/MO/PC COMP/C/107978/3/03/2025</t>
  </si>
  <si>
    <t>KHI/HO/D/MO/PC COMP/C/107978/4/03/2025</t>
  </si>
  <si>
    <t>KHI/HO/D/MO/PC COMP/C/107978/5/03/2025</t>
  </si>
  <si>
    <t>KHI/HO/D/MO/PC COMP/C/107979/1/03/2025</t>
  </si>
  <si>
    <t>KHI/HO/D/MO/PC COMP/C/107979/2/03/2025</t>
  </si>
  <si>
    <t>KHI/HO/D/MO/PC COMP/C/108284/1/03/2025</t>
  </si>
  <si>
    <t>KHI/HO/D/MO/PC COMP/C/108284/2/03/2025</t>
  </si>
  <si>
    <t>KHI/HO/D/MO/PC COMP/C/108284/3/03/2025</t>
  </si>
  <si>
    <t>KHI/HO/D/MO/PC COMP/C/108533/6/04/2025</t>
  </si>
  <si>
    <t>KHI/HO/D/MO/PC COMP/C/103544/1/12/2024</t>
  </si>
  <si>
    <t>KHI/HO/D/MO/PC COMP/C/103544/2/12/2024</t>
  </si>
  <si>
    <t>KHI/HO/D/MO/PC COMP/P/94021/07/2024</t>
  </si>
  <si>
    <t>KHI/HO/D/MO/PC COMP/P/103523/12/2024</t>
  </si>
  <si>
    <t>KHI/HO/D/MO/PC COMP/P/104666/12/2024</t>
  </si>
  <si>
    <t>KHI/HO/D/MO/PD COMP/P/105187/01/2025</t>
  </si>
  <si>
    <t>KHI/HO/D/MO/PC COMP/P/105225/01/2025</t>
  </si>
  <si>
    <t>KHI/HO/D/MO/PC COMP/P/105237/01/2025</t>
  </si>
  <si>
    <t>KHI/HO/D/MO/PC COMP/P/105239/01/2025</t>
  </si>
  <si>
    <t>KHI/HO/D/MO/PC COMP/P/105241/01/2025</t>
  </si>
  <si>
    <t>KHI/HO/D/MO/PC COMP/P/105243/01/2025</t>
  </si>
  <si>
    <t>KHI/HO/D/MO/PC COMP/P/105268/01/2025</t>
  </si>
  <si>
    <t>KHI/HO/D/MO/PC COMP/P/105380/01/2025</t>
  </si>
  <si>
    <t>KHI/HO/D/MO/PC COMP/P/105489/01/2025</t>
  </si>
  <si>
    <t>KHI/HO/D/MO/PC COMP/P/105588/01/2025</t>
  </si>
  <si>
    <t>KHI/HO/D/MO/PC COMP/P/105770/01/2025</t>
  </si>
  <si>
    <t>KHI/HO/D/MO/PC COMP/P/106037/01/2025</t>
  </si>
  <si>
    <t>KHI/HO/D/MO/PC COMP/P/106068/01/2025</t>
  </si>
  <si>
    <t>KHI/HO/D/MO/PC COMP/P/106073/01/2025</t>
  </si>
  <si>
    <t>KHI/HO/D/MO/PC COMP/P/106371/01/2025</t>
  </si>
  <si>
    <t>KHI/HO/D/MO/PC COMP/P/106475/01/2025</t>
  </si>
  <si>
    <t>KHI/HO/D/MO/PC COMP/P/106744/01/2025</t>
  </si>
  <si>
    <t>KHI/HO/D/MO/PC COMP/P/106765/01/2025</t>
  </si>
  <si>
    <t>KHI/HO/D/MO/PC COMP/P/106768/01/2025</t>
  </si>
  <si>
    <t>KHI/HO/D/MO/PC COMP/P/106936/01/2025</t>
  </si>
  <si>
    <t>KHI/HO/D/MO/PC COMP/P/107025/02/2025</t>
  </si>
  <si>
    <t>KHI/HO/D/MO/PC COMP/P/107124/02/2025</t>
  </si>
  <si>
    <t>KHI/HO/D/MO/PC COMP/P/107343/02/2025</t>
  </si>
  <si>
    <t>KHI/HO/D/MO/PC COMP/E/50142/12/2024</t>
  </si>
  <si>
    <t>KHI/HO/D/MO/PC COMP/E/51841/00002/01/2025</t>
  </si>
  <si>
    <t>KHI/HO/D/MO/PC COMP/E/51843/01/2025</t>
  </si>
  <si>
    <t>KHI/HO/D/MO/PC COMP/E/51844/01/2025</t>
  </si>
  <si>
    <t>KHI/HO/D/MO/PC COMP/C/106619/1/01/2025</t>
  </si>
  <si>
    <t>KHI/HO/D/MO/PC COMP/C/106619/2/01/2025</t>
  </si>
  <si>
    <t>KHI/HO/D/MO/PC COMP/C/106619/3/01/2025</t>
  </si>
  <si>
    <t>KHI/HO/D/MO/PC COMP/P/93573/07/2024</t>
  </si>
  <si>
    <t>KHI/HO/D/MO/PC COMP/P/93575/07/2024</t>
  </si>
  <si>
    <t>KHI/HO/D/MO/PC COMP/P/94785/08/2024</t>
  </si>
  <si>
    <t>KHI/HO/D/MO/PC COMP/P/107482/02/2025</t>
  </si>
  <si>
    <t>KHI/HO/D/MO/PC COMP/E/51840/00001/01/2025</t>
  </si>
  <si>
    <t>KHI/HO/D/MO/PC COMP/E/51907/01/2025</t>
  </si>
  <si>
    <t>KHI/HO/D/MO/PC COMP/E/52647/00018/02/2025</t>
  </si>
  <si>
    <t>KHI/HO/D/MO/PC COMP/E/52647/00028/02/2025</t>
  </si>
  <si>
    <t>KHI/HO/D/MO/PC COMP/E/52647/00021/02/2025</t>
  </si>
  <si>
    <t>KHI/HO/D/MO/PC COMP/P/105228/01/2025</t>
  </si>
  <si>
    <t>KHI/HO/D/MO/PC COMP/P/105229/01/2025</t>
  </si>
  <si>
    <t>KHI/HO/D/MO/PC COMP/P/105232/01/2025</t>
  </si>
  <si>
    <t>KHI/HO/D/MO/PC COMP/P/105235/01/2025</t>
  </si>
  <si>
    <t>KHI/HO/D/MO/PC COMP/P/105250/01/2025</t>
  </si>
  <si>
    <t>KHI/HO/D/MO/PC COMP/P/105251/01/2025</t>
  </si>
  <si>
    <t>KHI/HO/D/MO/PC COMP/P/106629/01/2025</t>
  </si>
  <si>
    <t>KHI/HO/D/MO/PC COMP/P/106631/01/2025</t>
  </si>
  <si>
    <t>KHI/HO/D/MO/PC COMP/P/106634/01/2025</t>
  </si>
  <si>
    <t>KHI/HO/D/MO/PC COMP/P/106637/01/2025</t>
  </si>
  <si>
    <t>KHI/HO/D/MO/PC COMP/P/106639/01/2025</t>
  </si>
  <si>
    <t>KHI/HO/D/MO/PC COMP/P/107027/02/2025</t>
  </si>
  <si>
    <t>KHI/HO/D/MO/PC COMP/P/107030/02/2025</t>
  </si>
  <si>
    <t>KHI/HO/D/MO/PC COMP/P/107032/02/2025</t>
  </si>
  <si>
    <t>KHI/HO/D/MO/PC COMP/P/107036/02/2025</t>
  </si>
  <si>
    <t>KHI/HO/D/MO/PC COMP/P/107037/02/2025</t>
  </si>
  <si>
    <t>KHI/HO/D/MO/PC COMP/P/107039/02/2025</t>
  </si>
  <si>
    <t>KHI/HO/D/MO/PC COMP/P/107635/02/2025</t>
  </si>
  <si>
    <t>KHI/HO/D/MO/PC COMP/P/108477/03/2025</t>
  </si>
  <si>
    <t>KHI/HO/D/MO/PC COMP/E/52382/00001/02/2025</t>
  </si>
  <si>
    <t>KHI/HO/D/MO/PC COMP/E/52382/00002/02/2025</t>
  </si>
  <si>
    <t>KHI/HO/D/MO/PC COMP/C/107042/1/02/2025</t>
  </si>
  <si>
    <t>KHI/HO/D/MO/PC COMP/C/107042/3/02/2025</t>
  </si>
  <si>
    <t>KHI/HO/D/MO/PC COMP/C/107535/1/02/2025</t>
  </si>
  <si>
    <t>KHI/HO/D/MO/PC COMP/C/107535/2/02/2025</t>
  </si>
  <si>
    <t>KHI/HO/D/MO/PC COMP/C/108021/1/03/2025</t>
  </si>
  <si>
    <t>KHI/HO/D/MO/PC COMP/C/108021/2/03/2025</t>
  </si>
  <si>
    <t>KHI/HO/D/MO/PC COMP/C/108021/3/03/2025</t>
  </si>
  <si>
    <t>KHI/HO/D/MO/PC COMP/E/52583/02/2025</t>
  </si>
  <si>
    <t>KHI/HO/D/MO/PC COMP/P/105224/01/2025</t>
  </si>
  <si>
    <t>KHI/HO/D/MO/PC COMP/P/105244/01/2025</t>
  </si>
  <si>
    <t>KHI/HO/D/MO/PC COMP/P/105245/01/2025</t>
  </si>
  <si>
    <t>KHI/HO/D/MO/PC COMP/P/105246/01/2025</t>
  </si>
  <si>
    <t>KHI/HO/D/MO/PC COMP/P/105249/01/2025</t>
  </si>
  <si>
    <t>KHI/HO/D/MO/PC COMP/P/106233/01/2025</t>
  </si>
  <si>
    <t>KHI/HO/D/MO/PC COMP/P/106245/01/2025</t>
  </si>
  <si>
    <t>KHI/HO/D/MO/PC COMP/P/106416/01/2025</t>
  </si>
  <si>
    <t>KHI/HO/D/MO/PC COMP/P/106482/01/2025</t>
  </si>
  <si>
    <t>KHI/HO/D/MO/PC COMP/P/106549/01/2025</t>
  </si>
  <si>
    <t>KHI/HO/D/MO/PC TPP/P/106651/01/2025</t>
  </si>
  <si>
    <t>KHI/HO/D/MO/PC COMP/P/106951/01/2025</t>
  </si>
  <si>
    <t>KHI/HO/D/MO/PC COMP/P/106953/02/2025</t>
  </si>
  <si>
    <t>KHI/HO/D/MO/PC COMP/C/106035/1/01/2025</t>
  </si>
  <si>
    <t>KHI/HO/D/MO/PC COMP/C/106036/1/01/2025</t>
  </si>
  <si>
    <t>KHI/HO/D/MO/PC COMP/C/106036/2/01/2025</t>
  </si>
  <si>
    <t>KHI/HO/D/MO/PC COMP/C/106036/3/01/2025</t>
  </si>
  <si>
    <t>KHI/HO/D/MO/PC COMP/C/106036/4/01/2025</t>
  </si>
  <si>
    <t>KHI/HO/D/MO/PC COMP/C/106036/5/01/2025</t>
  </si>
  <si>
    <t>KHI/HO/D/MO/PC COMP/C/106036/6/01/2025</t>
  </si>
  <si>
    <t>KHI/HO/D/MO/PC COMP/C/106036/7/01/2025</t>
  </si>
  <si>
    <t>KHI/HO/D/MO/PC COMP/C/106036/8/01/2025</t>
  </si>
  <si>
    <t>TOTAL</t>
  </si>
  <si>
    <t xml:space="preserve">   </t>
  </si>
  <si>
    <t>FUNC_ASSORTED_STRING(IA.ASSORTED_CODE)</t>
  </si>
  <si>
    <t>ASSORTED_CODE</t>
  </si>
  <si>
    <t>050000600096</t>
  </si>
  <si>
    <t>050000505744</t>
  </si>
  <si>
    <t>040000170158</t>
  </si>
  <si>
    <t>050000700693</t>
  </si>
  <si>
    <t>050000726618</t>
  </si>
  <si>
    <t>050000676907</t>
  </si>
  <si>
    <t>050000681397</t>
  </si>
  <si>
    <t>040000177997</t>
  </si>
  <si>
    <t>040000160362</t>
  </si>
  <si>
    <t>050000668895</t>
  </si>
  <si>
    <t>050000688390</t>
  </si>
  <si>
    <t>040000167354</t>
  </si>
  <si>
    <t>050000711017</t>
  </si>
  <si>
    <t>050000661292</t>
  </si>
  <si>
    <t>050000680977</t>
  </si>
  <si>
    <t>050000626933</t>
  </si>
  <si>
    <t>050000664215</t>
  </si>
  <si>
    <t>050000679082</t>
  </si>
  <si>
    <t>050000660349</t>
  </si>
  <si>
    <t>050000668365</t>
  </si>
  <si>
    <t>040000153833</t>
  </si>
  <si>
    <t>050000700709</t>
  </si>
  <si>
    <t>050000705115</t>
  </si>
  <si>
    <t>050000691418</t>
  </si>
  <si>
    <t>050000716603</t>
  </si>
  <si>
    <t>050000678965</t>
  </si>
  <si>
    <t>040000170051</t>
  </si>
  <si>
    <t>050000738817</t>
  </si>
  <si>
    <t>040000171786</t>
  </si>
  <si>
    <t>050000696760</t>
  </si>
  <si>
    <t>050000738375</t>
  </si>
  <si>
    <t>040000172295</t>
  </si>
  <si>
    <t>050000693120</t>
  </si>
  <si>
    <t>050000739299</t>
  </si>
  <si>
    <t>050000738323</t>
  </si>
  <si>
    <t>040000159957</t>
  </si>
  <si>
    <t>050000700819</t>
  </si>
  <si>
    <t>050000711722</t>
  </si>
  <si>
    <t>050000735412</t>
  </si>
  <si>
    <t>040000174715</t>
  </si>
  <si>
    <t>050000746480</t>
  </si>
  <si>
    <t>040000170045</t>
  </si>
  <si>
    <t>040000174359</t>
  </si>
  <si>
    <t>050000718225</t>
  </si>
  <si>
    <t>050000741190</t>
  </si>
  <si>
    <t>040000172000</t>
  </si>
  <si>
    <t>040000172240</t>
  </si>
  <si>
    <t>040000171542</t>
  </si>
  <si>
    <t>040000172397</t>
  </si>
  <si>
    <t>050000718326</t>
  </si>
  <si>
    <t>040000172254</t>
  </si>
  <si>
    <t>040000179880</t>
  </si>
  <si>
    <t>040000182201</t>
  </si>
  <si>
    <t>040000180357</t>
  </si>
  <si>
    <t>040000183706</t>
  </si>
  <si>
    <t>040000182015</t>
  </si>
  <si>
    <t>040000186692</t>
  </si>
  <si>
    <t>040000174980</t>
  </si>
  <si>
    <t>040000186619</t>
  </si>
  <si>
    <t>040000183986</t>
  </si>
  <si>
    <t>040000184815</t>
  </si>
  <si>
    <t>040000184584</t>
  </si>
  <si>
    <t>040000188074</t>
  </si>
  <si>
    <t>050000777982</t>
  </si>
  <si>
    <t>040000183356</t>
  </si>
  <si>
    <t>040000184793</t>
  </si>
  <si>
    <t>040000182903</t>
  </si>
  <si>
    <t>040000187846</t>
  </si>
  <si>
    <t>040000185983</t>
  </si>
  <si>
    <t>040000185686</t>
  </si>
  <si>
    <t>040000188235</t>
  </si>
  <si>
    <t>040000183148</t>
  </si>
  <si>
    <t>KHI/AR/AR/D/MO/MC TTT/C/23311/09/2024</t>
  </si>
  <si>
    <t>020000047003</t>
  </si>
  <si>
    <t>040000185727</t>
  </si>
  <si>
    <t>040000183106</t>
  </si>
  <si>
    <t>040000182234</t>
  </si>
  <si>
    <t>KHI/HO/D/MR/INLAND TRANSIT/C/23311/09/2024</t>
  </si>
  <si>
    <t>020000047541</t>
  </si>
  <si>
    <t>040000186187</t>
  </si>
  <si>
    <t>040000186737</t>
  </si>
  <si>
    <t>040000187006</t>
  </si>
  <si>
    <t>040000185586</t>
  </si>
  <si>
    <t>040000173525</t>
  </si>
  <si>
    <t>040000179341</t>
  </si>
  <si>
    <t>040000175713</t>
  </si>
  <si>
    <t>040000180313</t>
  </si>
  <si>
    <t>040000180936</t>
  </si>
  <si>
    <t>040000179972</t>
  </si>
  <si>
    <t>040000175712</t>
  </si>
  <si>
    <t>040000179970</t>
  </si>
  <si>
    <t>040000174281</t>
  </si>
  <si>
    <t>040000179081</t>
  </si>
  <si>
    <t>040000180799</t>
  </si>
  <si>
    <t>040000177442</t>
  </si>
  <si>
    <t>040000177946</t>
  </si>
  <si>
    <t>040000173848</t>
  </si>
  <si>
    <t>040000179996</t>
  </si>
  <si>
    <t>050000759941</t>
  </si>
  <si>
    <t>040000179283</t>
  </si>
  <si>
    <t>040000173122</t>
  </si>
  <si>
    <t>040000174011</t>
  </si>
  <si>
    <t>040000178663</t>
  </si>
  <si>
    <t>040000179574</t>
  </si>
  <si>
    <t>040000179991</t>
  </si>
  <si>
    <t>050000761985</t>
  </si>
  <si>
    <t>040000174700</t>
  </si>
  <si>
    <t>050000759600</t>
  </si>
  <si>
    <t>040000176528</t>
  </si>
  <si>
    <t>050000775491</t>
  </si>
  <si>
    <t>040000173362</t>
  </si>
  <si>
    <t>LHR/LHR/F/MO/PC COMP/P/94838/08/2024</t>
  </si>
  <si>
    <t>040000181003</t>
  </si>
  <si>
    <t>040000181010</t>
  </si>
  <si>
    <t>040000179174</t>
  </si>
  <si>
    <t>050000750217</t>
  </si>
  <si>
    <t>040000174215</t>
  </si>
  <si>
    <t>040000180447</t>
  </si>
  <si>
    <t>040000179140</t>
  </si>
  <si>
    <t>040000179529</t>
  </si>
  <si>
    <t>040000175615</t>
  </si>
  <si>
    <t>040000178812</t>
  </si>
  <si>
    <t>040000180935</t>
  </si>
  <si>
    <t>040000181004</t>
  </si>
  <si>
    <t>040000178584</t>
  </si>
  <si>
    <t>050000759728</t>
  </si>
  <si>
    <t>040000180399</t>
  </si>
  <si>
    <t>040000174347</t>
  </si>
  <si>
    <t>040000173552</t>
  </si>
  <si>
    <t>050000773615</t>
  </si>
  <si>
    <t>050000758985</t>
  </si>
  <si>
    <t>040000180054</t>
  </si>
  <si>
    <t>040000180058</t>
  </si>
  <si>
    <t>040000180470</t>
  </si>
  <si>
    <t>040000178555</t>
  </si>
  <si>
    <t>040000179083</t>
  </si>
  <si>
    <t>040000179446</t>
  </si>
  <si>
    <t>040000180937</t>
  </si>
  <si>
    <t>040000186967</t>
  </si>
  <si>
    <t>040000180414</t>
  </si>
  <si>
    <t>040000187147</t>
  </si>
  <si>
    <t>040000183674</t>
  </si>
  <si>
    <t>040000184260</t>
  </si>
  <si>
    <t>040000186023</t>
  </si>
  <si>
    <t>040000186111</t>
  </si>
  <si>
    <t>040000184559</t>
  </si>
  <si>
    <t>040000186221</t>
  </si>
  <si>
    <t>040000184766</t>
  </si>
  <si>
    <t>040000183463</t>
  </si>
  <si>
    <t>040000183981</t>
  </si>
  <si>
    <t>040000184553</t>
  </si>
  <si>
    <t>040000187113</t>
  </si>
  <si>
    <t>040000187852</t>
  </si>
  <si>
    <t>040000184586</t>
  </si>
  <si>
    <t>040000186514</t>
  </si>
  <si>
    <t>040000179606</t>
  </si>
  <si>
    <t>040000181040</t>
  </si>
  <si>
    <t>040000179443</t>
  </si>
  <si>
    <t>050000826716</t>
  </si>
  <si>
    <t>050000826719</t>
  </si>
  <si>
    <t>040000190877</t>
  </si>
  <si>
    <t>040000194442</t>
  </si>
  <si>
    <t>050000854472</t>
  </si>
  <si>
    <t>040000193343</t>
  </si>
  <si>
    <t>050000846217</t>
  </si>
  <si>
    <t>040000195084</t>
  </si>
  <si>
    <t>040000195088</t>
  </si>
  <si>
    <t>040000193639</t>
  </si>
  <si>
    <t>040000194744</t>
  </si>
  <si>
    <t>040000194747</t>
  </si>
  <si>
    <t>040000195060</t>
  </si>
  <si>
    <t>040000194516</t>
  </si>
  <si>
    <t>040000192961</t>
  </si>
  <si>
    <t>040000191305</t>
  </si>
  <si>
    <t>040000193085</t>
  </si>
  <si>
    <t>040000194942</t>
  </si>
  <si>
    <t>040000194533</t>
  </si>
  <si>
    <t>040000194964</t>
  </si>
  <si>
    <t>040000194701</t>
  </si>
  <si>
    <t>040000194845</t>
  </si>
  <si>
    <t>040000195507</t>
  </si>
  <si>
    <t>040000195183</t>
  </si>
  <si>
    <t>040000195727</t>
  </si>
  <si>
    <t>050000846479</t>
  </si>
  <si>
    <t>040000195237</t>
  </si>
  <si>
    <t>040000195254</t>
  </si>
  <si>
    <t>040000195742</t>
  </si>
  <si>
    <t>040000195765</t>
  </si>
  <si>
    <t>040000195824</t>
  </si>
  <si>
    <t>040000195345</t>
  </si>
  <si>
    <t>040000195364</t>
  </si>
  <si>
    <t>040000191406</t>
  </si>
  <si>
    <t>040000195672</t>
  </si>
  <si>
    <t>040000195285</t>
  </si>
  <si>
    <t>040000195412</t>
  </si>
  <si>
    <t>040000195501</t>
  </si>
  <si>
    <t>040000188817</t>
  </si>
  <si>
    <t>040000193269</t>
  </si>
  <si>
    <t>040000193335</t>
  </si>
  <si>
    <t>040000195536</t>
  </si>
  <si>
    <t>040000195537</t>
  </si>
  <si>
    <t>040000195548</t>
  </si>
  <si>
    <t>040000195604</t>
  </si>
  <si>
    <t>040000196389</t>
  </si>
  <si>
    <t>040000196408</t>
  </si>
  <si>
    <t>040000198076</t>
  </si>
  <si>
    <t>040000196209</t>
  </si>
  <si>
    <t>040000195390</t>
  </si>
  <si>
    <t>040000191890</t>
  </si>
  <si>
    <t>050000845514</t>
  </si>
  <si>
    <t>040000195045</t>
  </si>
  <si>
    <t>040000195048</t>
  </si>
  <si>
    <t>050000846218</t>
  </si>
  <si>
    <t>040000195075</t>
  </si>
  <si>
    <t>040000196274</t>
  </si>
  <si>
    <t>040000195077</t>
  </si>
  <si>
    <t>040000195078</t>
  </si>
  <si>
    <t>040000195080</t>
  </si>
  <si>
    <t>040000195089</t>
  </si>
  <si>
    <t>040000196246</t>
  </si>
  <si>
    <t>040000195541</t>
  </si>
  <si>
    <t>050000857488</t>
  </si>
  <si>
    <t>040000194383</t>
  </si>
  <si>
    <t>040000195611</t>
  </si>
  <si>
    <t>040000195616</t>
  </si>
  <si>
    <t>040000196882</t>
  </si>
  <si>
    <t>040000193276</t>
  </si>
  <si>
    <t>040000193744</t>
  </si>
  <si>
    <t>040000195280</t>
  </si>
  <si>
    <t>040000196016</t>
  </si>
  <si>
    <t>040000194834</t>
  </si>
  <si>
    <t>040000196361</t>
  </si>
  <si>
    <t>040000192948</t>
  </si>
  <si>
    <t>040000195009</t>
  </si>
  <si>
    <t>040000196527</t>
  </si>
  <si>
    <t>040000196549</t>
  </si>
  <si>
    <t>040000197078</t>
  </si>
  <si>
    <t>040000196425</t>
  </si>
  <si>
    <t>050000826717</t>
  </si>
  <si>
    <t>050000826718</t>
  </si>
  <si>
    <t>040000193332</t>
  </si>
  <si>
    <t>040000193353</t>
  </si>
  <si>
    <t>040000190613</t>
  </si>
  <si>
    <t>040000193518</t>
  </si>
  <si>
    <t>040000196922</t>
  </si>
  <si>
    <t>040000196655</t>
  </si>
  <si>
    <t>040000193764</t>
  </si>
  <si>
    <t>040000194574</t>
  </si>
  <si>
    <t>040000196680</t>
  </si>
  <si>
    <t>040000195318</t>
  </si>
  <si>
    <t>040000196062</t>
  </si>
  <si>
    <t>040000195392</t>
  </si>
  <si>
    <t>040000189091</t>
  </si>
  <si>
    <t>040000194459</t>
  </si>
  <si>
    <t>040000194489</t>
  </si>
  <si>
    <t>040000195606</t>
  </si>
  <si>
    <t>040000196970</t>
  </si>
  <si>
    <t>040000195813</t>
  </si>
  <si>
    <t>040000197541</t>
  </si>
  <si>
    <t>040000196197</t>
  </si>
  <si>
    <t>040000197185</t>
  </si>
  <si>
    <t>040000195525</t>
  </si>
  <si>
    <t>040000193124</t>
  </si>
  <si>
    <t>040000196484</t>
  </si>
  <si>
    <t>040000192806</t>
  </si>
  <si>
    <t>040000196831</t>
  </si>
  <si>
    <t>040000190346</t>
  </si>
  <si>
    <t>040000193810</t>
  </si>
  <si>
    <t>040000194546</t>
  </si>
  <si>
    <t>040000194447</t>
  </si>
  <si>
    <t>040000197263</t>
  </si>
  <si>
    <t>040000193216</t>
  </si>
  <si>
    <t>040000196196</t>
  </si>
  <si>
    <t>040000195617</t>
  </si>
  <si>
    <t>050000826774</t>
  </si>
  <si>
    <t>040000193338</t>
  </si>
  <si>
    <t>040000194110</t>
  </si>
  <si>
    <t>040000196289</t>
  </si>
  <si>
    <t>040000195803</t>
  </si>
  <si>
    <t>040000196938</t>
  </si>
  <si>
    <t>040000196674</t>
  </si>
  <si>
    <t>040000195539</t>
  </si>
  <si>
    <t>040000195085</t>
  </si>
  <si>
    <t>040000195091</t>
  </si>
  <si>
    <t>040000195092</t>
  </si>
  <si>
    <t>040000194012</t>
  </si>
  <si>
    <t>040000188908</t>
  </si>
  <si>
    <t>040000192377</t>
  </si>
  <si>
    <t>040000192586</t>
  </si>
  <si>
    <t>040000191666</t>
  </si>
  <si>
    <t>040000196571</t>
  </si>
  <si>
    <t>040000196842</t>
  </si>
  <si>
    <t>040000193327</t>
  </si>
  <si>
    <t>040000193347</t>
  </si>
  <si>
    <t>040000196652</t>
  </si>
  <si>
    <t>040000193526</t>
  </si>
  <si>
    <t>040000190748</t>
  </si>
  <si>
    <t>050000871502</t>
  </si>
  <si>
    <t>040000195540</t>
  </si>
  <si>
    <t>040000196451</t>
  </si>
  <si>
    <t>040000196509</t>
  </si>
  <si>
    <t>040000194147</t>
  </si>
  <si>
    <t>040000191308</t>
  </si>
  <si>
    <t>040000191804</t>
  </si>
  <si>
    <t>040000189311</t>
  </si>
  <si>
    <t>050000834841</t>
  </si>
  <si>
    <t>040000195619</t>
  </si>
  <si>
    <t>040000194970</t>
  </si>
  <si>
    <t>040000192952</t>
  </si>
  <si>
    <t>040000193340</t>
  </si>
  <si>
    <t>040000188667</t>
  </si>
  <si>
    <t>040000189191</t>
  </si>
  <si>
    <t>040000195449</t>
  </si>
  <si>
    <t>040000192366</t>
  </si>
  <si>
    <t>050000846477</t>
  </si>
  <si>
    <t>040000193770</t>
  </si>
  <si>
    <t>040000193913</t>
  </si>
  <si>
    <t>040000191122</t>
  </si>
  <si>
    <t>040000194036</t>
  </si>
  <si>
    <t>040000194067</t>
  </si>
  <si>
    <t>040000190043</t>
  </si>
  <si>
    <t>040000194089</t>
  </si>
  <si>
    <t>040000196378</t>
  </si>
  <si>
    <t>040000192895</t>
  </si>
  <si>
    <t>040000191213</t>
  </si>
  <si>
    <t>040000192966</t>
  </si>
  <si>
    <t>040000194275</t>
  </si>
  <si>
    <t>040000197231</t>
  </si>
  <si>
    <t>040000194325</t>
  </si>
  <si>
    <t>040000194689</t>
  </si>
  <si>
    <t>040000193077</t>
  </si>
  <si>
    <t>040000192765</t>
  </si>
  <si>
    <t>040000188901</t>
  </si>
  <si>
    <t>040000192608</t>
  </si>
  <si>
    <t>040000193331</t>
  </si>
  <si>
    <t>040000193345</t>
  </si>
  <si>
    <t>040000193350</t>
  </si>
  <si>
    <t>040000193354</t>
  </si>
  <si>
    <t>040000194318</t>
  </si>
  <si>
    <t>040000190427</t>
  </si>
  <si>
    <t>040000192690</t>
  </si>
  <si>
    <t>040000196241</t>
  </si>
  <si>
    <t>040000195848</t>
  </si>
  <si>
    <t>040000196194</t>
  </si>
  <si>
    <t>050000857487</t>
  </si>
  <si>
    <t>050000857489</t>
  </si>
  <si>
    <t>050000857490</t>
  </si>
  <si>
    <t>040000195684</t>
  </si>
  <si>
    <t>040000196482</t>
  </si>
  <si>
    <t>040000195141</t>
  </si>
  <si>
    <t>040000196554</t>
  </si>
  <si>
    <t>040000191157</t>
  </si>
  <si>
    <t>040000197577</t>
  </si>
  <si>
    <t>040000197579</t>
  </si>
  <si>
    <t>040000192969</t>
  </si>
  <si>
    <t>040000194003</t>
  </si>
  <si>
    <t>040000197595</t>
  </si>
  <si>
    <t>040000193525</t>
  </si>
  <si>
    <t>040000197091</t>
  </si>
  <si>
    <t>040000196111</t>
  </si>
  <si>
    <t>040000195562</t>
  </si>
  <si>
    <t>040000193719</t>
  </si>
  <si>
    <t>050000846481</t>
  </si>
  <si>
    <t>040000193906</t>
  </si>
  <si>
    <t>040000193374</t>
  </si>
  <si>
    <t>040000193349</t>
  </si>
  <si>
    <t>040000193272</t>
  </si>
  <si>
    <t>050000834812</t>
  </si>
  <si>
    <t>040000197684</t>
  </si>
  <si>
    <t>040000195002</t>
  </si>
  <si>
    <t>040000195678</t>
  </si>
  <si>
    <t>040000197578</t>
  </si>
  <si>
    <t>040000195057</t>
  </si>
  <si>
    <t>040000195053</t>
  </si>
  <si>
    <t>040000194281</t>
  </si>
  <si>
    <t>040000193328</t>
  </si>
  <si>
    <t>040000193348</t>
  </si>
  <si>
    <t>050000864508</t>
  </si>
  <si>
    <t>040000194702</t>
  </si>
  <si>
    <t>040000194863</t>
  </si>
  <si>
    <t>040000193568</t>
  </si>
  <si>
    <t>040000188400</t>
  </si>
  <si>
    <t>040000195189</t>
  </si>
  <si>
    <t>040000193693</t>
  </si>
  <si>
    <t>040000189795</t>
  </si>
  <si>
    <t>040000193980</t>
  </si>
  <si>
    <t>040000190344</t>
  </si>
  <si>
    <t>040000193355</t>
  </si>
  <si>
    <t>040000193356</t>
  </si>
  <si>
    <t>040000194981</t>
  </si>
  <si>
    <t>050000853890</t>
  </si>
  <si>
    <t>040000196006</t>
  </si>
  <si>
    <t>040000196039</t>
  </si>
  <si>
    <t>040000195523</t>
  </si>
  <si>
    <t>040000196946</t>
  </si>
  <si>
    <t>040000196663</t>
  </si>
  <si>
    <t>040000196535</t>
  </si>
  <si>
    <t>040000195411</t>
  </si>
  <si>
    <t>050000864515</t>
  </si>
  <si>
    <t>040000195958</t>
  </si>
  <si>
    <t>050000861219</t>
  </si>
  <si>
    <t>040000196363</t>
  </si>
  <si>
    <t>040000197034</t>
  </si>
  <si>
    <t>040000196467</t>
  </si>
  <si>
    <t>040000196500</t>
  </si>
  <si>
    <t>040000196507</t>
  </si>
  <si>
    <t>040000196511</t>
  </si>
  <si>
    <t>040000196189</t>
  </si>
  <si>
    <t>040000196654</t>
  </si>
  <si>
    <t>040000196653</t>
  </si>
  <si>
    <t>040000197574</t>
  </si>
  <si>
    <t>040000196868</t>
  </si>
  <si>
    <t>040000196560</t>
  </si>
  <si>
    <t>040000195609</t>
  </si>
  <si>
    <t>040000196665</t>
  </si>
  <si>
    <t>040000196666</t>
  </si>
  <si>
    <t>040000197432</t>
  </si>
  <si>
    <t>040000196880</t>
  </si>
  <si>
    <t>040000184898</t>
  </si>
  <si>
    <t>KHI/HO/D/MO/PC COMP/R/72781/1/07/2024</t>
  </si>
  <si>
    <t>080000164619</t>
  </si>
  <si>
    <t>KHI/HO/D/MO/PC COMP/R/72871/1/07/2024</t>
  </si>
  <si>
    <t>080000164300</t>
  </si>
  <si>
    <t>KHI/HO/D/MO/CV/R/72861/1/07/2024</t>
  </si>
  <si>
    <t>080000164232</t>
  </si>
  <si>
    <t>KHI/HO/D/MO/PC COMP/R/72821/1/07/2024</t>
  </si>
  <si>
    <t>080000164664</t>
  </si>
  <si>
    <t>KHI/HO/D/MO/PC COMP/R/72611/1/07/2024</t>
  </si>
  <si>
    <t>080000164528</t>
  </si>
  <si>
    <t>KHI/HO/D/MO/PC COMP/C/93461/1/07/2024</t>
  </si>
  <si>
    <t>070000162611</t>
  </si>
  <si>
    <t>KHI/HO/D/MO/PC COMP/C/94301/1/07/2024</t>
  </si>
  <si>
    <t>070000163446</t>
  </si>
  <si>
    <t>KHI/HO/D/MO/PC COMP/R/72551/1/07/2024</t>
  </si>
  <si>
    <t>080000164568</t>
  </si>
  <si>
    <t>KHI/HO/D/MO/PC COMP/R/72631/1/07/2024</t>
  </si>
  <si>
    <t>080000164574</t>
  </si>
  <si>
    <t>KHI/HO/D/MO/PC COMP/C/93731/1/07/2024</t>
  </si>
  <si>
    <t>070000162975</t>
  </si>
  <si>
    <t>KHI/HO/D/MO/PC COMP/C/92801/1/07/2024</t>
  </si>
  <si>
    <t>070000162271</t>
  </si>
  <si>
    <t>KHI/HO/D/MO/PC COMP/C/93631/1/07/2024</t>
  </si>
  <si>
    <t>070000162956</t>
  </si>
  <si>
    <t>KHI/HO/D/MO/PC COMP/C/94201/1/07/2024</t>
  </si>
  <si>
    <t>070000163375</t>
  </si>
  <si>
    <t>KHI/HO/D/MO/PC COMP/R/72671/1/07/2024</t>
  </si>
  <si>
    <t>080000164638</t>
  </si>
  <si>
    <t>KHI/HO/D/MO/CV/R/73111/1/07/2024</t>
  </si>
  <si>
    <t>080000164504</t>
  </si>
  <si>
    <t>KHI/HO/D/MO/PC COMP/C/93671/1/07/2024</t>
  </si>
  <si>
    <t>070000162961</t>
  </si>
  <si>
    <t>KHI/HO/D/MO/PC COMP/R/84594/4/02/2025</t>
  </si>
  <si>
    <t>080000178949</t>
  </si>
  <si>
    <t>KHI/HO/D/MO/PC COMP/C/107561/1/02/2025</t>
  </si>
  <si>
    <t>070000177265</t>
  </si>
  <si>
    <t>KHI/HO/D/MO/PC COMP/R/82265/5/01/2025</t>
  </si>
  <si>
    <t>080000176753</t>
  </si>
  <si>
    <t>KHI/HO/D/MO/PC COMP/R/82444/4/01/2025</t>
  </si>
  <si>
    <t>080000176918</t>
  </si>
  <si>
    <t>KHI/HO/D/MO/PC COMP/C/106722/2/01/2025</t>
  </si>
  <si>
    <t>070000174970</t>
  </si>
  <si>
    <t>KHI/HO/D/MO/PC COMP/R/81871/1/01/2025</t>
  </si>
  <si>
    <t>080000175054</t>
  </si>
  <si>
    <t>070000174031</t>
  </si>
  <si>
    <t>KHI/HO/D/MO/PC COMP/C/105374/4/01/2025</t>
  </si>
  <si>
    <t>070000173911</t>
  </si>
  <si>
    <t>KHI/HO/D/MO/PC COMP/C/105927/7/01/2025</t>
  </si>
  <si>
    <t>070000173941</t>
  </si>
  <si>
    <t>KHI/HO/D/MO/PC COMP/C/105928/8/01/2025</t>
  </si>
  <si>
    <t>070000173957</t>
  </si>
  <si>
    <t>KHI/HO/D/MO/PC COMP/R/82215/5/01/2025</t>
  </si>
  <si>
    <t>080000175017</t>
  </si>
  <si>
    <t>KHI/HO/D/MO/PC COMP/R/77793/3/01/2025</t>
  </si>
  <si>
    <t>080000176765</t>
  </si>
  <si>
    <t>KHI/HO/D/MO/MC COMP/C/103311/1/12/2024</t>
  </si>
  <si>
    <t>070000171518</t>
  </si>
  <si>
    <t>KHI/HO/D/MO/PC COMP/R/82917/7/01/2025</t>
  </si>
  <si>
    <t>080000175035</t>
  </si>
  <si>
    <t>KHI/HO/D/MO/PC COMP/C/103262/2/12/2024</t>
  </si>
  <si>
    <t>070000171506</t>
  </si>
  <si>
    <t>KHI/HO/D/MO/PC COMP/C/106701/1/01/2025</t>
  </si>
  <si>
    <t>070000174892</t>
  </si>
  <si>
    <t>KHI/HO/D/MO/PC COMP/C/106707/7/01/2025</t>
  </si>
  <si>
    <t>070000174912</t>
  </si>
  <si>
    <t>KHI/HO/D/MO/PC COMP/R/81491/1/01/2025</t>
  </si>
  <si>
    <t>080000176767</t>
  </si>
  <si>
    <t>KHI/HO/D/MO/PC COMP/R/84252/2/02/2025</t>
  </si>
  <si>
    <t>080000177439</t>
  </si>
  <si>
    <t>KHI/HO/D/MO/PC COMP/C/103531/1/12/2024</t>
  </si>
  <si>
    <t>070000171585</t>
  </si>
  <si>
    <t>KHI/HO/D/MO/PC COMP/C/103702/2/12/2024</t>
  </si>
  <si>
    <t>070000171851</t>
  </si>
  <si>
    <t>KHI/HO/D/MO/PC COMP/C/105721/1/01/2025</t>
  </si>
  <si>
    <t>070000173877</t>
  </si>
  <si>
    <t>KHI/HO/D/MO/PC COMP/R/82357/7/01/2025</t>
  </si>
  <si>
    <t>080000176940</t>
  </si>
  <si>
    <t>KHI/HO/D/MO/PC COMP/C/103831/1/12/2024</t>
  </si>
  <si>
    <t>070000171676</t>
  </si>
  <si>
    <t>KHI/HO/D/MO/PC COMP/R/82254/4/01/2025</t>
  </si>
  <si>
    <t>080000174926</t>
  </si>
  <si>
    <t>KHI/HO/D/MO/PC COMP/R/85933/3/03/2025</t>
  </si>
  <si>
    <t>080000180733</t>
  </si>
  <si>
    <t>KHI/HO/D/MO/PC COMP/R/86646/6/04/2025</t>
  </si>
  <si>
    <t>080000182952</t>
  </si>
  <si>
    <t>KHI/HO/D/MO/PC COMP/R/86636/6/04/2025</t>
  </si>
  <si>
    <t>080000183383</t>
  </si>
  <si>
    <t>KHI/HO/D/MO/PC COMP/R/87876/6/04/2025</t>
  </si>
  <si>
    <t>080000183403</t>
  </si>
  <si>
    <t>KHI/HO/D/MO/PC COMP/R/84451/1/02/2025</t>
  </si>
  <si>
    <t>080000178832</t>
  </si>
  <si>
    <t>KHI/HO/D/MO/PC COMP/R/87866/6/04/2025</t>
  </si>
  <si>
    <t>080000183448</t>
  </si>
  <si>
    <t>KHI/HO/D/MO/PC COMP/R/81802/2/12/2024</t>
  </si>
  <si>
    <t>080000174641</t>
  </si>
  <si>
    <t>KHI/HO/D/MO/PC COMP/C/107012/2/02/2025</t>
  </si>
  <si>
    <t>070000176426</t>
  </si>
  <si>
    <t>KHI/HO/D/MO/PC COMP/R/86523/3/03/2025</t>
  </si>
  <si>
    <t>080000180481</t>
  </si>
  <si>
    <t>KHI/HO/D/MO/PC COMP/C/108044/4/03/2025</t>
  </si>
  <si>
    <t>070000178694</t>
  </si>
  <si>
    <t>KHI/HO/D/MO/PC COMP/R/81994/4/01/2025</t>
  </si>
  <si>
    <t>080000176786</t>
  </si>
  <si>
    <t>KHI/HO/D/MO/PC COMP/C/107351/1/02/2025</t>
  </si>
  <si>
    <t>070000176752</t>
  </si>
  <si>
    <t>KHI/HO/D/MO/PC COMP/R/82666/6/01/2025</t>
  </si>
  <si>
    <t>080000176848</t>
  </si>
  <si>
    <t>KHI/HO/D/MO/PC COMP/R/84601/1/02/2025</t>
  </si>
  <si>
    <t>080000178991</t>
  </si>
  <si>
    <t>KHI/HO/D/MO/PC COMP/C/107402/2/02/2025</t>
  </si>
  <si>
    <t>070000177014</t>
  </si>
  <si>
    <t>KHI/HO/D/MO/CV/C/107454/4/02/2025</t>
  </si>
  <si>
    <t>070000177074</t>
  </si>
  <si>
    <t>KHI/HO/D/MO/CV/C/107453/3/02/2025</t>
  </si>
  <si>
    <t>070000177078</t>
  </si>
  <si>
    <t>KHI/HO/D/MO/PC COMP/R/82358/8/01/2025</t>
  </si>
  <si>
    <t>080000176949</t>
  </si>
  <si>
    <t>KHI/HO/D/MO/PC COMP/C/105214/4/01/2025</t>
  </si>
  <si>
    <t>070000173660</t>
  </si>
  <si>
    <t>KHI/HO/D/MO/MC COMP/R/85242/2/02/2025</t>
  </si>
  <si>
    <t>080000178785</t>
  </si>
  <si>
    <t>KHI/HO/D/MO/PC COMP/R/84805/5/03/2025</t>
  </si>
  <si>
    <t>080000180710</t>
  </si>
  <si>
    <t>KHI/HO/D/MO/PC COMP/C/108281/1/03/2025</t>
  </si>
  <si>
    <t>070000179154</t>
  </si>
  <si>
    <t>KHI/HO/D/MO/PC COMP/R/82013/3/01/2025</t>
  </si>
  <si>
    <t>080000176796</t>
  </si>
  <si>
    <t>KHI/HO/D/MO/PC COMP/C/106696/6/01/2025</t>
  </si>
  <si>
    <t>070000174863</t>
  </si>
  <si>
    <t>KHI/HO/D/MO/PC COMP/R/85962/2/03/2025</t>
  </si>
  <si>
    <t>080000180618</t>
  </si>
  <si>
    <t>KHI/HO/D/MO/PC COMP/C/106694/4/01/2025</t>
  </si>
  <si>
    <t>070000174882</t>
  </si>
  <si>
    <t>KHI/HO/D/MO/PC COMP/R/81964/4/01/2025</t>
  </si>
  <si>
    <t>080000176826</t>
  </si>
  <si>
    <t>KHI/HO/D/MO/PC COMP/R/82441/1/01/2025</t>
  </si>
  <si>
    <t>080000176863</t>
  </si>
  <si>
    <t>KHI/HO/D/MO/MC COMP/C/105207/7/01/2025</t>
  </si>
  <si>
    <t>070000173676</t>
  </si>
  <si>
    <t>KHI/HO/D/MO/PC COMP/R/85882/2/03/2025</t>
  </si>
  <si>
    <t>080000180637</t>
  </si>
  <si>
    <t>KHI/HO/D/MO/PC COMP/C/103802/2/12/2024</t>
  </si>
  <si>
    <t>070000171734</t>
  </si>
  <si>
    <t>KHI/HO/D/MO/MC COMP/R/81984/4/01/2025</t>
  </si>
  <si>
    <t>080000176700</t>
  </si>
  <si>
    <t>KHI/HO/D/MO/MC COMP/R/83261/1/01/2025</t>
  </si>
  <si>
    <t>080000176703</t>
  </si>
  <si>
    <t>KHI/HO/D/MO/PC COMP/C/104271/1/12/2024</t>
  </si>
  <si>
    <t>070000172608</t>
  </si>
  <si>
    <t>KHI/HO/D/MO/CV/C/106061/1/01/2025</t>
  </si>
  <si>
    <t>070000174045</t>
  </si>
  <si>
    <t>KHI/HO/D/MO/PC COMP/R/84822/2/03/2025</t>
  </si>
  <si>
    <t>080000180435</t>
  </si>
  <si>
    <t>KHI/HO/D/MO/PC COMP/C/106846/6/01/2025</t>
  </si>
  <si>
    <t>070000175673</t>
  </si>
  <si>
    <t>KHI/HO/D/MO/PC COMP/C/104892/2/12/2024</t>
  </si>
  <si>
    <t>070000173496</t>
  </si>
  <si>
    <t>KHI/HO/D/MO/PC COMP/C/107541/1/02/2025</t>
  </si>
  <si>
    <t>070000177218</t>
  </si>
  <si>
    <t>KHI/HO/D/MO/PC COMP/R/83314/4/02/2025</t>
  </si>
  <si>
    <t>080000179003</t>
  </si>
  <si>
    <t>KHI/HO/D/MO/PC COMP/C/107572/2/02/2025</t>
  </si>
  <si>
    <t>070000177283</t>
  </si>
  <si>
    <t>KHI/HO/D/MO/PC COMP/C/107573/3/02/2025</t>
  </si>
  <si>
    <t>070000177293</t>
  </si>
  <si>
    <t>KHI/HO/D/MO/PC COMP/R/82921/1/02/2025</t>
  </si>
  <si>
    <t>080000178864</t>
  </si>
  <si>
    <t>KHI/HO/D/MO/PC COMP/C/105285/5/01/2025</t>
  </si>
  <si>
    <t>070000173847</t>
  </si>
  <si>
    <t>KHI/HO/D/MO/MC COMP/C/107865/5/03/2025</t>
  </si>
  <si>
    <t>070000179275</t>
  </si>
  <si>
    <t>KHI/HO/D/MO/PC COMP/R/81072/2/12/2024</t>
  </si>
  <si>
    <t>080000174646</t>
  </si>
  <si>
    <t>070000178404</t>
  </si>
  <si>
    <t>KHI/HO/D/MO/PC COMP/C/108052/2/03/2025</t>
  </si>
  <si>
    <t>070000178607</t>
  </si>
  <si>
    <t>KHI/HO/D/MO/PC COMP/C/107044/4/02/2025</t>
  </si>
  <si>
    <t>070000176422</t>
  </si>
  <si>
    <t>KHI/HO/D/MO/PC COMP/C/106616/6/01/2025</t>
  </si>
  <si>
    <t>070000174462</t>
  </si>
  <si>
    <t>KHI/HO/D/MO/PC COMP/R/82244/4/01/2025</t>
  </si>
  <si>
    <t>080000176744</t>
  </si>
  <si>
    <t>KHI/HO/D/MO/PC COMP/C/107623/3/02/2025</t>
  </si>
  <si>
    <t>070000177371</t>
  </si>
  <si>
    <t>KHI/HO/D/MO/PC COMP/C/106688/8/01/2025</t>
  </si>
  <si>
    <t>070000174842</t>
  </si>
  <si>
    <t>KHI/HO/D/MO/PC COMP/R/80905/5/01/2025</t>
  </si>
  <si>
    <t>080000176792</t>
  </si>
  <si>
    <t>KHI/HO/D/MO/PC COMP/R/82014/4/01/2025</t>
  </si>
  <si>
    <t>080000176808</t>
  </si>
  <si>
    <t>KHI/HO/D/MO/PC COMP/C/105238/8/01/2025</t>
  </si>
  <si>
    <t>070000175113</t>
  </si>
  <si>
    <t>KHI/HO/D/MO/PC COMP/C/107861/1/03/2025</t>
  </si>
  <si>
    <t>070000177802</t>
  </si>
  <si>
    <t>KHI/HO/D/MO/PC COMP/C/106842/2/01/2025</t>
  </si>
  <si>
    <t>070000175723</t>
  </si>
  <si>
    <t>KHI/HO/D/MO/PC COMP/C/106852/2/01/2025</t>
  </si>
  <si>
    <t>070000175737</t>
  </si>
  <si>
    <t>KHI/HO/D/MO/PC COMP/R/80972/2/01/2025</t>
  </si>
  <si>
    <t>080000174907</t>
  </si>
  <si>
    <t>KHI/HO/D/MO/PC COMP/R/79882/2/12/2024</t>
  </si>
  <si>
    <t>080000174566</t>
  </si>
  <si>
    <t>KHI/HO/D/MO/PC COMP/C/107403/3/02/2025</t>
  </si>
  <si>
    <t>070000176789</t>
  </si>
  <si>
    <t>KHI/HO/D/MO/PC COMP/C/108245/5/03/2025</t>
  </si>
  <si>
    <t>070000179104</t>
  </si>
  <si>
    <t>KHI/HO/D/MO/PC COMP/C/108291/1/03/2025</t>
  </si>
  <si>
    <t>070000179209</t>
  </si>
  <si>
    <t>KHI/HO/D/MO/PC TP/C/105188/8/01/2025</t>
  </si>
  <si>
    <t>070000174133</t>
  </si>
  <si>
    <t>KHI/HO/D/MO/PC COMP/R/81152/2/01/2025</t>
  </si>
  <si>
    <t>080000176897</t>
  </si>
  <si>
    <t>KHI/HO/D/MO/PC COMP/R/84373/3/02/2025</t>
  </si>
  <si>
    <t>080000178989</t>
  </si>
  <si>
    <t>KHI/HO/D/MO/PC COMP/R/82442/2/01/2025</t>
  </si>
  <si>
    <t>080000176906</t>
  </si>
  <si>
    <t>KHI/HO/D/MO/PC COMP/C/105332/2/01/2025</t>
  </si>
  <si>
    <t>070000173665</t>
  </si>
  <si>
    <t>KHI/HO/D/MO/PC COMP/C/105302/2/01/2025</t>
  </si>
  <si>
    <t>070000173681</t>
  </si>
  <si>
    <t>KHI/HO/D/MO/PC COMP/R/84602/2/02/2025</t>
  </si>
  <si>
    <t>080000179008</t>
  </si>
  <si>
    <t>KHI/HO/D/MO/PC COMP/R/84604/4/02/2025</t>
  </si>
  <si>
    <t>080000179020</t>
  </si>
  <si>
    <t>KHI/HO/D/MO/PC COMP/C/107574/4/02/2025</t>
  </si>
  <si>
    <t>070000177300</t>
  </si>
  <si>
    <t>KHI/HO/D/MO/PC COMP/C/104281/1/12/2024</t>
  </si>
  <si>
    <t>070000172624</t>
  </si>
  <si>
    <t>KHI/HO/D/MO/PC COMP/C/104952/2/12/2024</t>
  </si>
  <si>
    <t>070000173522</t>
  </si>
  <si>
    <t>KHI/HO/D/MO/PC COMP/C/104951/1/12/2024</t>
  </si>
  <si>
    <t>070000173527</t>
  </si>
  <si>
    <t>KHI/HO/D/MO/PC COMP/C/106703/3/01/2025</t>
  </si>
  <si>
    <t>070000174929</t>
  </si>
  <si>
    <t>KHI/HO/D/MO/PC COMP/C/104451/1/12/2024</t>
  </si>
  <si>
    <t>070000172764</t>
  </si>
  <si>
    <t>KHI/HO/D/MO/PC COMP/R/83803/3/02/2025</t>
  </si>
  <si>
    <t>080000178883</t>
  </si>
  <si>
    <t>KHI/HO/D/MO/PC COMP/R/84892/2/03/2025</t>
  </si>
  <si>
    <t>080000180564</t>
  </si>
  <si>
    <t>KHI/HO/D/MO/PC COMP/R/81482/2/01/2025</t>
  </si>
  <si>
    <t>080000175048</t>
  </si>
  <si>
    <t>KHI/HO/D/MO/PC COMP/C/107042/2/02/2025</t>
  </si>
  <si>
    <t>070000176397</t>
  </si>
  <si>
    <t>KHI/HO/D/MO/PC COMP/R/85845/5/03/2025</t>
  </si>
  <si>
    <t>080000180574</t>
  </si>
  <si>
    <t>KHI/HO/D/MO/PC COMP/C/108282/2/03/2025</t>
  </si>
  <si>
    <t>070000179181</t>
  </si>
  <si>
    <t>KHI/HO/D/MO/PC COMP/R/84444/4/02/2025</t>
  </si>
  <si>
    <t>080000178922</t>
  </si>
  <si>
    <t>KHI/HO/D/MO/PC COMP/R/80041/1/12/2024</t>
  </si>
  <si>
    <t>080000174806</t>
  </si>
  <si>
    <t>KHI/HO/D/MO/PC COMP/R/82003/3/01/2025</t>
  </si>
  <si>
    <t>080000176885</t>
  </si>
  <si>
    <t>KHI/HO/D/MO/PC COMP/C/106724/4/01/2025</t>
  </si>
  <si>
    <t>070000174963</t>
  </si>
  <si>
    <t>KHI/HO/D/MO/PC COMP/C/108054/4/03/2025</t>
  </si>
  <si>
    <t>070000178614</t>
  </si>
  <si>
    <t>KHI/HO/D/MO/PC COMP/C/106145/5/01/2025</t>
  </si>
  <si>
    <t>070000175367</t>
  </si>
  <si>
    <t>KHI/HO/D/MO/PC COMP/R/79311/1/12/2024</t>
  </si>
  <si>
    <t>080000172779</t>
  </si>
  <si>
    <t>KHI/HO/D/MO/PC COMP/R/86233/3/03/2025</t>
  </si>
  <si>
    <t>080000180547</t>
  </si>
  <si>
    <t>KHI/HO/D/MO/PC COMP/R/79671/1/12/2024</t>
  </si>
  <si>
    <t>080000174676</t>
  </si>
  <si>
    <t>KHI/HO/D/MO/PC COMP/R/80211/1/12/2024</t>
  </si>
  <si>
    <t>080000174699</t>
  </si>
  <si>
    <t>KHI/HO/D/MO/PC COMP/C/108284/4/03/2025</t>
  </si>
  <si>
    <t>070000179195</t>
  </si>
  <si>
    <t>KHI/HO/D/MO/PC COMP/R/79271/1/12/2024</t>
  </si>
  <si>
    <t>080000174723</t>
  </si>
  <si>
    <t>KHI/HO/D/MO/PC COMP/C/104411/1/12/2024</t>
  </si>
  <si>
    <t>070000172743</t>
  </si>
  <si>
    <t>KHI/HO/D/MO/PC COMP/R/82262/2/01/2025</t>
  </si>
  <si>
    <t>080000176758</t>
  </si>
  <si>
    <t>KHI/HO/D/MO/PC COMP/C/106621/1/01/2025</t>
  </si>
  <si>
    <t>070000174482</t>
  </si>
  <si>
    <t>KHI/HO/D/MO/PC COMP/C/105492/2/01/2025</t>
  </si>
  <si>
    <t>070000173810</t>
  </si>
  <si>
    <t>KHI/HO/D/MO/PC COMP/C/103201/1/12/2024</t>
  </si>
  <si>
    <t>070000171492</t>
  </si>
  <si>
    <t>KHI/HO/D/MO/PC COMP/C/104052/2/12/2024</t>
  </si>
  <si>
    <t>070000171834</t>
  </si>
  <si>
    <t>KHI/HO/D/MO/PC COMP/C/108331/1/03/2025</t>
  </si>
  <si>
    <t>070000179273</t>
  </si>
  <si>
    <t>KHI/HO/D/MO/CV/R/82176/6/01/2025</t>
  </si>
  <si>
    <t>080000176717</t>
  </si>
  <si>
    <t>KHI/HO/D/MO/PC COMP/R/82214/4/01/2025</t>
  </si>
  <si>
    <t>080000175004</t>
  </si>
  <si>
    <t>KHI/HO/D/MO/MC COMP/C/107391/1/02/2025</t>
  </si>
  <si>
    <t>070000176766</t>
  </si>
  <si>
    <t>KHI/HO/D/MO/PC TP/C/107875/5/03/2025</t>
  </si>
  <si>
    <t>070000178667</t>
  </si>
  <si>
    <t>KHI/HO/D/MO/PC COMP/C/107462/2/02/2025</t>
  </si>
  <si>
    <t>070000177102</t>
  </si>
  <si>
    <t>KHI/HO/D/MO/PC COMP/R/81395/5/01/2025</t>
  </si>
  <si>
    <t>080000176874</t>
  </si>
  <si>
    <t>KHI/HO/D/MO/PC COMP/C/106712/2/01/2025</t>
  </si>
  <si>
    <t>070000174933</t>
  </si>
  <si>
    <t>KHI/HO/D/MO/PC COMP/C/105301/1/01/2025</t>
  </si>
  <si>
    <t>070000173655</t>
  </si>
  <si>
    <t>KHI/HO/D/MO/PC COMP/C/107533/3/02/2025</t>
  </si>
  <si>
    <t>070000177195</t>
  </si>
  <si>
    <t>KHI/HO/D/MO/PC COMP/C/106702/2/01/2025</t>
  </si>
  <si>
    <t>070000174923</t>
  </si>
  <si>
    <t>KHI/HO/D/MO/MC COMP/C/108111/1/03/2025</t>
  </si>
  <si>
    <t>070000178671</t>
  </si>
  <si>
    <t>KHI/HO/D/MO/PC COMP/R/86235/5/03/2025</t>
  </si>
  <si>
    <t>080000180538</t>
  </si>
  <si>
    <t>KHI/HO/D/MO/PC COMP/R/84965/5/03/2025</t>
  </si>
  <si>
    <t>080000179069</t>
  </si>
  <si>
    <t>KHI/HO/D/MO/PC COMP/R/81961/1/01/2025</t>
  </si>
  <si>
    <t>080000176921</t>
  </si>
  <si>
    <t>KHI/HO/D/MO/PC COMP/R/83373/3/02/2025</t>
  </si>
  <si>
    <t>080000179040</t>
  </si>
  <si>
    <t>KHI/HO/D/MO/PC COMP/C/108301/1/03/2025</t>
  </si>
  <si>
    <t>070000179230</t>
  </si>
  <si>
    <t>KHI/HO/D/MO/PC COMP/C/108303/3/03/2025</t>
  </si>
  <si>
    <t>070000179236</t>
  </si>
  <si>
    <t>KHI/HO/D/MO/PC COMP/R/85373/3/03/2025</t>
  </si>
  <si>
    <t>080000180454</t>
  </si>
  <si>
    <t>KHI/HO/D/MO/PC COMP/R/84735/5/03/2025</t>
  </si>
  <si>
    <t>080000180508</t>
  </si>
  <si>
    <t>KHI/HO/D/MO/PC COMP/C/107554/4/02/2025</t>
  </si>
  <si>
    <t>070000177243</t>
  </si>
  <si>
    <t>KHI/HO/D/MO/PC COMP/R/82301/1/02/2025</t>
  </si>
  <si>
    <t>080000178857</t>
  </si>
  <si>
    <t>KHI/HO/D/MO/PC COMP/C/107461/1/02/2025</t>
  </si>
  <si>
    <t>070000177100</t>
  </si>
  <si>
    <t>KHI/HO/D/MO/PC COMP/C/106982/2/02/2025</t>
  </si>
  <si>
    <t>070000177110</t>
  </si>
  <si>
    <t>KHI/HO/D/MO/PC COMP/C/108412/2/03/2025</t>
  </si>
  <si>
    <t>070000179322</t>
  </si>
  <si>
    <t>KHI/HO/D/MO/PC COMP/C/108421/1/03/2025</t>
  </si>
  <si>
    <t>070000179374</t>
  </si>
  <si>
    <t>KHI/HO/D/MO/PC COMP/C/108413/3/03/2025</t>
  </si>
  <si>
    <t>070000179337</t>
  </si>
  <si>
    <t>KHI/HO/D/MO/PC COMP/R/85945/5/03/2025</t>
  </si>
  <si>
    <t>080000180580</t>
  </si>
  <si>
    <t>KHI/HO/D/MO/PC COMP/R/85955/5/03/2025</t>
  </si>
  <si>
    <t>080000180592</t>
  </si>
  <si>
    <t>KHI/HO/D/MO/PC COMP/C/108646/6/04/2025</t>
  </si>
  <si>
    <t>070000180192</t>
  </si>
  <si>
    <t>KHI/HO/D/MO/PC COMP/R/85853/3/03/2025</t>
  </si>
  <si>
    <t>080000180614</t>
  </si>
  <si>
    <t>KHI/HO/D/MO/PC COMP/R/85895/5/03/2025</t>
  </si>
  <si>
    <t>080000180660</t>
  </si>
  <si>
    <t>KHI/HO/D/MO/PC COMP/R/86676/6/04/2025</t>
  </si>
  <si>
    <t>080000183050</t>
  </si>
  <si>
    <t>KHI/HO/D/MO/CV/C/108114/4/03/2025</t>
  </si>
  <si>
    <t>070000178688</t>
  </si>
  <si>
    <t>KHI/HO/D/MO/PC COMP/R/85891/1/03/2025</t>
  </si>
  <si>
    <t>080000180650</t>
  </si>
  <si>
    <t>KHI/HO/D/MO/PC COMP/C/108302/2/03/2025</t>
  </si>
  <si>
    <t>070000179233</t>
  </si>
  <si>
    <t>KHI/HO/D/MO/PC COMP/R/83802/2/03/2025</t>
  </si>
  <si>
    <t>080000180501</t>
  </si>
  <si>
    <t>KHI/HO/D/MO/PC COMP/R/85803/3/03/2025</t>
  </si>
  <si>
    <t>080000180515</t>
  </si>
  <si>
    <t>KHI/HO/D/MO/PC COMP/C/108043/3/03/2025</t>
  </si>
  <si>
    <t>070000178426</t>
  </si>
  <si>
    <t>KHI/HO/D/MO/PC COMP/C/108221/1/03/2025</t>
  </si>
  <si>
    <t>070000179058</t>
  </si>
  <si>
    <t>KHI/HO/D/MO/PC COMP/R/84801/1/03/2025</t>
  </si>
  <si>
    <t>080000180510</t>
  </si>
  <si>
    <t>KHI/HO/D/MO/PC COMP/C/108986/6/04/2025</t>
  </si>
  <si>
    <t>070000181122</t>
  </si>
  <si>
    <t>KHI/HO/D/MO/PC COMP/C/108275/5/03/2025</t>
  </si>
  <si>
    <t>070000179135</t>
  </si>
  <si>
    <t>KHI/HO/D/MO/PC COMP/C/108616/6/04/2025</t>
  </si>
  <si>
    <t>070000180526</t>
  </si>
  <si>
    <t>POLICY NO.</t>
  </si>
  <si>
    <t>Assorted_code</t>
  </si>
  <si>
    <t>Premium</t>
  </si>
  <si>
    <t>23May250004</t>
  </si>
  <si>
    <t>-12-2024</t>
  </si>
  <si>
    <t>-01-2025</t>
  </si>
  <si>
    <t>-02-2025</t>
  </si>
  <si>
    <t>-07-2024</t>
  </si>
  <si>
    <t>-03-2025</t>
  </si>
  <si>
    <t>-04-2025</t>
  </si>
  <si>
    <t>00002</t>
  </si>
  <si>
    <t>00001</t>
  </si>
  <si>
    <t>00004</t>
  </si>
  <si>
    <t>00003</t>
  </si>
  <si>
    <t>00005</t>
  </si>
  <si>
    <t>00006</t>
  </si>
  <si>
    <t>00018</t>
  </si>
  <si>
    <t>00028</t>
  </si>
  <si>
    <t>00021</t>
  </si>
  <si>
    <t>00007</t>
  </si>
  <si>
    <t>00008</t>
  </si>
  <si>
    <t>070000162987</t>
  </si>
  <si>
    <t>070000174024</t>
  </si>
  <si>
    <t>070000174026</t>
  </si>
  <si>
    <t>070000174027</t>
  </si>
  <si>
    <t>070000174028</t>
  </si>
  <si>
    <t>070000174029</t>
  </si>
  <si>
    <t>070000174030</t>
  </si>
  <si>
    <t>070000174032</t>
  </si>
  <si>
    <t>070000174033</t>
  </si>
  <si>
    <t>070000177873</t>
  </si>
  <si>
    <t>070000177874</t>
  </si>
  <si>
    <t>070000177875</t>
  </si>
  <si>
    <t>070000177876</t>
  </si>
  <si>
    <t>070000177877</t>
  </si>
  <si>
    <t>070000174470</t>
  </si>
  <si>
    <t>070000174472</t>
  </si>
  <si>
    <t>070000174473</t>
  </si>
  <si>
    <t>070000177196</t>
  </si>
  <si>
    <t>070000177199</t>
  </si>
  <si>
    <t>070000177201</t>
  </si>
  <si>
    <t>070000178405</t>
  </si>
  <si>
    <t>070000178406</t>
  </si>
  <si>
    <t>070000174018</t>
  </si>
  <si>
    <t>070000174019</t>
  </si>
  <si>
    <t>070000176396</t>
  </si>
  <si>
    <t>070000176399</t>
  </si>
  <si>
    <t>070000179192</t>
  </si>
  <si>
    <t>070000179193</t>
  </si>
  <si>
    <t>070000179194</t>
  </si>
  <si>
    <t>070000171590</t>
  </si>
  <si>
    <t>070000171591</t>
  </si>
  <si>
    <t>070000174100</t>
  </si>
  <si>
    <t>070000176594</t>
  </si>
  <si>
    <t>070000176514</t>
  </si>
  <si>
    <t>070000177879</t>
  </si>
  <si>
    <t>070000177880</t>
  </si>
  <si>
    <t>070000180108</t>
  </si>
  <si>
    <t>050000846212</t>
  </si>
  <si>
    <t>050000846215</t>
  </si>
  <si>
    <t>050000855916</t>
  </si>
  <si>
    <t>050000855917</t>
  </si>
  <si>
    <t>050000858754</t>
  </si>
  <si>
    <t>050000858760</t>
  </si>
  <si>
    <t>050000858775</t>
  </si>
  <si>
    <t>050000858777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</si>
</sst>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Trade Gothic Next"/>
      <family val="2"/>
    </font>
    <font>
      <sz val="9"/>
      <color theme="1"/>
      <name val="Trade Gothic Next"/>
      <family val="2"/>
    </font>
    <font>
      <b/>
      <sz val="9"/>
      <color theme="1"/>
      <name val="Trade Gothic Next"/>
      <family val="2"/>
    </font>
    <font>
      <b/>
      <sz val="9"/>
      <color rgb="FF0000FF"/>
      <name val="Trade Gothic Next"/>
      <family val="2"/>
    </font>
    <font>
      <b/>
      <sz val="11"/>
      <color rgb="FF0000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b/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2" fillId="0" borderId="0" xfId="0" applyNumberFormat="1" applyFont="1"/>
    <xf numFmtId="165" fontId="2" fillId="0" borderId="0" xfId="1" applyNumberFormat="1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vertical="top"/>
    </xf>
    <xf numFmtId="165" fontId="2" fillId="0" borderId="0" xfId="1" applyNumberFormat="1" applyFont="1" applyAlignment="1">
      <alignment vertical="top"/>
    </xf>
    <xf numFmtId="0" fontId="8" fillId="0" borderId="0" xfId="0" applyFont="1"/>
    <xf numFmtId="165" fontId="7" fillId="2" borderId="2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0" fontId="8" fillId="0" borderId="0" xfId="2" applyNumberFormat="1" applyFont="1"/>
    <xf numFmtId="0" fontId="9" fillId="0" borderId="1" xfId="0" applyFont="1" applyBorder="1" applyAlignment="1">
      <alignment horizontal="center"/>
    </xf>
    <xf numFmtId="4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0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1" fillId="0" borderId="0" xfId="0" applyFont="1"/>
    <xf numFmtId="0" fontId="0" fillId="0" borderId="0" xfId="0" applyAlignment="1">
      <alignment vertical="top"/>
    </xf>
    <xf numFmtId="165" fontId="12" fillId="0" borderId="0" xfId="1" applyNumberFormat="1" applyFont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0D18-373D-4F36-BA81-F8764B47DDE7}">
  <dimension ref="A1:A3"/>
  <sheetViews>
    <sheetView workbookViewId="0">
      <selection activeCell="A3" sqref="A3"/>
    </sheetView>
  </sheetViews>
  <sheetFormatPr defaultRowHeight="15" x14ac:dyDescent="0.25"/>
  <cols>
    <col min="1" max="1" width="36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F8CF-87D7-4E47-969B-00CD80CF0498}">
  <dimension ref="A2:L49"/>
  <sheetViews>
    <sheetView showGridLines="0" topLeftCell="A8" workbookViewId="0">
      <selection activeCell="K6" sqref="K6"/>
    </sheetView>
  </sheetViews>
  <sheetFormatPr defaultRowHeight="15" x14ac:dyDescent="0.25"/>
  <cols>
    <col min="1" max="1" width="5.5703125" bestFit="1" customWidth="1"/>
    <col min="2" max="2" width="33.7109375" bestFit="1" customWidth="1"/>
    <col min="3" max="3" width="34.7109375" bestFit="1" customWidth="1"/>
    <col min="4" max="4" width="10.28515625" bestFit="1" customWidth="1"/>
    <col min="5" max="5" width="11.85546875" bestFit="1" customWidth="1"/>
    <col min="6" max="6" width="10.140625" bestFit="1" customWidth="1"/>
    <col min="7" max="8" width="15.28515625" customWidth="1"/>
    <col min="9" max="9" width="16.85546875" bestFit="1" customWidth="1"/>
    <col min="10" max="10" width="12.42578125" bestFit="1" customWidth="1"/>
    <col min="11" max="11" width="13.7109375" style="6" bestFit="1" customWidth="1"/>
  </cols>
  <sheetData>
    <row r="2" spans="1:11" x14ac:dyDescent="0.25">
      <c r="A2" s="24" t="s">
        <v>55</v>
      </c>
      <c r="B2" s="24"/>
      <c r="C2" s="24"/>
      <c r="I2" s="2" t="s">
        <v>57</v>
      </c>
      <c r="J2" s="3">
        <v>3446810</v>
      </c>
    </row>
    <row r="3" spans="1:11" ht="30" customHeight="1" x14ac:dyDescent="0.25">
      <c r="A3" s="25" t="s">
        <v>56</v>
      </c>
      <c r="B3" s="24"/>
      <c r="C3" s="24"/>
      <c r="I3" s="7" t="s">
        <v>54</v>
      </c>
      <c r="J3" s="8">
        <f>+SUBTOTAL(9,J6:J48)</f>
        <v>3446810</v>
      </c>
    </row>
    <row r="5" spans="1:11" s="5" customFormat="1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4" t="s">
        <v>53</v>
      </c>
      <c r="K5" s="1" t="s">
        <v>59</v>
      </c>
    </row>
    <row r="6" spans="1:11" s="9" customFormat="1" ht="12" x14ac:dyDescent="0.2">
      <c r="A6" s="11">
        <v>1</v>
      </c>
      <c r="B6" s="12" t="s">
        <v>0</v>
      </c>
      <c r="C6" s="13" t="s">
        <v>12</v>
      </c>
      <c r="D6" s="14">
        <v>44832</v>
      </c>
      <c r="E6" s="14">
        <v>44805</v>
      </c>
      <c r="F6" s="14">
        <v>45169</v>
      </c>
      <c r="G6" s="15">
        <v>-7748</v>
      </c>
      <c r="H6" s="15">
        <v>-7825</v>
      </c>
      <c r="I6" s="15">
        <v>-7825</v>
      </c>
      <c r="J6" s="16">
        <v>-7825</v>
      </c>
      <c r="K6" s="20" t="s">
        <v>60</v>
      </c>
    </row>
    <row r="7" spans="1:11" s="9" customFormat="1" ht="12" x14ac:dyDescent="0.2">
      <c r="A7" s="11">
        <v>2</v>
      </c>
      <c r="B7" s="12" t="s">
        <v>0</v>
      </c>
      <c r="C7" s="13" t="s">
        <v>13</v>
      </c>
      <c r="D7" s="14">
        <v>45077</v>
      </c>
      <c r="E7" s="14">
        <v>44805</v>
      </c>
      <c r="F7" s="14">
        <v>45169</v>
      </c>
      <c r="G7" s="15">
        <v>-2525</v>
      </c>
      <c r="H7" s="15">
        <v>-2550</v>
      </c>
      <c r="I7" s="15">
        <v>-2550</v>
      </c>
      <c r="J7" s="16">
        <v>-2550</v>
      </c>
      <c r="K7" s="20" t="s">
        <v>60</v>
      </c>
    </row>
    <row r="8" spans="1:11" s="9" customFormat="1" ht="12" x14ac:dyDescent="0.2">
      <c r="A8" s="11">
        <v>3</v>
      </c>
      <c r="B8" s="12" t="s">
        <v>0</v>
      </c>
      <c r="C8" s="13" t="s">
        <v>14</v>
      </c>
      <c r="D8" s="14">
        <v>45134</v>
      </c>
      <c r="E8" s="14">
        <v>44805</v>
      </c>
      <c r="F8" s="14">
        <v>45169</v>
      </c>
      <c r="G8" s="15">
        <v>809</v>
      </c>
      <c r="H8" s="15">
        <v>817</v>
      </c>
      <c r="I8" s="15">
        <v>817</v>
      </c>
      <c r="J8" s="16">
        <v>817</v>
      </c>
      <c r="K8" s="20" t="s">
        <v>60</v>
      </c>
    </row>
    <row r="9" spans="1:11" s="9" customFormat="1" ht="22.5" x14ac:dyDescent="0.2">
      <c r="A9" s="11">
        <v>1</v>
      </c>
      <c r="B9" s="17" t="s">
        <v>1</v>
      </c>
      <c r="C9" s="18">
        <v>0</v>
      </c>
      <c r="D9" s="14">
        <v>45195</v>
      </c>
      <c r="E9" s="14">
        <v>45170</v>
      </c>
      <c r="F9" s="14">
        <v>45535</v>
      </c>
      <c r="G9" s="15">
        <v>4257376</v>
      </c>
      <c r="H9" s="15">
        <v>4300000</v>
      </c>
      <c r="I9" s="15">
        <v>1492388</v>
      </c>
      <c r="J9" s="16">
        <v>1492388</v>
      </c>
      <c r="K9" s="20" t="s">
        <v>58</v>
      </c>
    </row>
    <row r="10" spans="1:11" s="9" customFormat="1" ht="22.5" x14ac:dyDescent="0.2">
      <c r="A10" s="11">
        <v>2</v>
      </c>
      <c r="B10" s="17" t="s">
        <v>1</v>
      </c>
      <c r="C10" s="18" t="s">
        <v>15</v>
      </c>
      <c r="D10" s="14">
        <v>45205</v>
      </c>
      <c r="E10" s="14">
        <v>45170</v>
      </c>
      <c r="F10" s="14">
        <v>45535</v>
      </c>
      <c r="G10" s="15">
        <v>-3387</v>
      </c>
      <c r="H10" s="15">
        <v>-3421</v>
      </c>
      <c r="I10" s="15">
        <v>-3421</v>
      </c>
      <c r="J10" s="16">
        <v>-3421</v>
      </c>
      <c r="K10" s="20" t="s">
        <v>60</v>
      </c>
    </row>
    <row r="11" spans="1:11" s="9" customFormat="1" ht="22.5" x14ac:dyDescent="0.2">
      <c r="A11" s="11">
        <v>3</v>
      </c>
      <c r="B11" s="17" t="s">
        <v>1</v>
      </c>
      <c r="C11" s="18" t="s">
        <v>16</v>
      </c>
      <c r="D11" s="14">
        <v>45208</v>
      </c>
      <c r="E11" s="14">
        <v>45170</v>
      </c>
      <c r="F11" s="14">
        <v>45535</v>
      </c>
      <c r="G11" s="15">
        <v>-60317</v>
      </c>
      <c r="H11" s="15">
        <v>-60920</v>
      </c>
      <c r="I11" s="15">
        <v>-60920</v>
      </c>
      <c r="J11" s="16">
        <v>-60920</v>
      </c>
      <c r="K11" s="20" t="s">
        <v>60</v>
      </c>
    </row>
    <row r="12" spans="1:11" s="9" customFormat="1" ht="22.5" x14ac:dyDescent="0.2">
      <c r="A12" s="11">
        <v>4</v>
      </c>
      <c r="B12" s="17" t="s">
        <v>1</v>
      </c>
      <c r="C12" s="18" t="s">
        <v>17</v>
      </c>
      <c r="D12" s="14">
        <v>45215</v>
      </c>
      <c r="E12" s="14">
        <v>45170</v>
      </c>
      <c r="F12" s="14">
        <v>45535</v>
      </c>
      <c r="G12" s="15">
        <v>6083</v>
      </c>
      <c r="H12" s="15">
        <v>6144</v>
      </c>
      <c r="I12" s="15">
        <v>6144</v>
      </c>
      <c r="J12" s="16">
        <v>6144</v>
      </c>
      <c r="K12" s="20" t="s">
        <v>60</v>
      </c>
    </row>
    <row r="13" spans="1:11" s="9" customFormat="1" ht="22.5" x14ac:dyDescent="0.2">
      <c r="A13" s="11">
        <v>5</v>
      </c>
      <c r="B13" s="17" t="s">
        <v>1</v>
      </c>
      <c r="C13" s="18" t="s">
        <v>18</v>
      </c>
      <c r="D13" s="14">
        <v>45223</v>
      </c>
      <c r="E13" s="14">
        <v>45170</v>
      </c>
      <c r="F13" s="14">
        <v>45535</v>
      </c>
      <c r="G13" s="15">
        <v>-22350</v>
      </c>
      <c r="H13" s="15">
        <v>-22574</v>
      </c>
      <c r="I13" s="15">
        <v>-22574</v>
      </c>
      <c r="J13" s="16">
        <v>-22574</v>
      </c>
      <c r="K13" s="20" t="s">
        <v>60</v>
      </c>
    </row>
    <row r="14" spans="1:11" s="9" customFormat="1" ht="22.5" x14ac:dyDescent="0.2">
      <c r="A14" s="11">
        <v>6</v>
      </c>
      <c r="B14" s="17" t="s">
        <v>1</v>
      </c>
      <c r="C14" s="18" t="s">
        <v>19</v>
      </c>
      <c r="D14" s="14">
        <v>45226</v>
      </c>
      <c r="E14" s="14">
        <v>45170</v>
      </c>
      <c r="F14" s="14">
        <v>45535</v>
      </c>
      <c r="G14" s="15">
        <v>-43670</v>
      </c>
      <c r="H14" s="15">
        <v>-44107</v>
      </c>
      <c r="I14" s="15">
        <v>-44107</v>
      </c>
      <c r="J14" s="16">
        <v>-44107</v>
      </c>
      <c r="K14" s="20" t="s">
        <v>60</v>
      </c>
    </row>
    <row r="15" spans="1:11" s="9" customFormat="1" ht="22.5" x14ac:dyDescent="0.2">
      <c r="A15" s="11">
        <v>7</v>
      </c>
      <c r="B15" s="17" t="s">
        <v>1</v>
      </c>
      <c r="C15" s="18" t="s">
        <v>20</v>
      </c>
      <c r="D15" s="14">
        <v>45237</v>
      </c>
      <c r="E15" s="14">
        <v>45170</v>
      </c>
      <c r="F15" s="14">
        <v>45535</v>
      </c>
      <c r="G15" s="15">
        <v>-3070</v>
      </c>
      <c r="H15" s="15">
        <v>-3101</v>
      </c>
      <c r="I15" s="15">
        <v>-3101</v>
      </c>
      <c r="J15" s="16">
        <v>-3101</v>
      </c>
      <c r="K15" s="20" t="s">
        <v>60</v>
      </c>
    </row>
    <row r="16" spans="1:11" s="9" customFormat="1" ht="22.5" x14ac:dyDescent="0.2">
      <c r="A16" s="11">
        <v>8</v>
      </c>
      <c r="B16" s="17" t="s">
        <v>1</v>
      </c>
      <c r="C16" s="18" t="s">
        <v>21</v>
      </c>
      <c r="D16" s="14">
        <v>45244</v>
      </c>
      <c r="E16" s="14">
        <v>45170</v>
      </c>
      <c r="F16" s="14">
        <v>45535</v>
      </c>
      <c r="G16" s="15">
        <v>-3697</v>
      </c>
      <c r="H16" s="15">
        <v>-3734</v>
      </c>
      <c r="I16" s="15">
        <v>-3734</v>
      </c>
      <c r="J16" s="16">
        <v>-3734</v>
      </c>
      <c r="K16" s="20" t="s">
        <v>60</v>
      </c>
    </row>
    <row r="17" spans="1:11" s="9" customFormat="1" ht="22.5" x14ac:dyDescent="0.2">
      <c r="A17" s="11">
        <v>9</v>
      </c>
      <c r="B17" s="17" t="s">
        <v>1</v>
      </c>
      <c r="C17" s="18" t="s">
        <v>22</v>
      </c>
      <c r="D17" s="14">
        <v>45245</v>
      </c>
      <c r="E17" s="14">
        <v>45170</v>
      </c>
      <c r="F17" s="14">
        <v>45535</v>
      </c>
      <c r="G17" s="15">
        <v>4087</v>
      </c>
      <c r="H17" s="15">
        <v>4128</v>
      </c>
      <c r="I17" s="15">
        <v>4128</v>
      </c>
      <c r="J17" s="16">
        <v>4128</v>
      </c>
      <c r="K17" s="20" t="s">
        <v>60</v>
      </c>
    </row>
    <row r="18" spans="1:11" s="9" customFormat="1" ht="22.5" x14ac:dyDescent="0.2">
      <c r="A18" s="11">
        <v>10</v>
      </c>
      <c r="B18" s="17" t="s">
        <v>1</v>
      </c>
      <c r="C18" s="18" t="s">
        <v>23</v>
      </c>
      <c r="D18" s="14">
        <v>45252</v>
      </c>
      <c r="E18" s="14">
        <v>45170</v>
      </c>
      <c r="F18" s="14">
        <v>45535</v>
      </c>
      <c r="G18" s="15">
        <v>-3121</v>
      </c>
      <c r="H18" s="15">
        <v>-3152</v>
      </c>
      <c r="I18" s="15">
        <v>-3152</v>
      </c>
      <c r="J18" s="16">
        <v>-3152</v>
      </c>
      <c r="K18" s="20" t="s">
        <v>60</v>
      </c>
    </row>
    <row r="19" spans="1:11" s="9" customFormat="1" ht="22.5" x14ac:dyDescent="0.2">
      <c r="A19" s="11">
        <v>11</v>
      </c>
      <c r="B19" s="17" t="s">
        <v>1</v>
      </c>
      <c r="C19" s="18" t="s">
        <v>24</v>
      </c>
      <c r="D19" s="14">
        <v>45254</v>
      </c>
      <c r="E19" s="14">
        <v>45170</v>
      </c>
      <c r="F19" s="14">
        <v>45535</v>
      </c>
      <c r="G19" s="15">
        <v>4570</v>
      </c>
      <c r="H19" s="15">
        <v>4616</v>
      </c>
      <c r="I19" s="15">
        <v>4616</v>
      </c>
      <c r="J19" s="16">
        <v>4616</v>
      </c>
      <c r="K19" s="20" t="s">
        <v>60</v>
      </c>
    </row>
    <row r="20" spans="1:11" s="9" customFormat="1" ht="22.5" x14ac:dyDescent="0.2">
      <c r="A20" s="11">
        <v>12</v>
      </c>
      <c r="B20" s="17" t="s">
        <v>1</v>
      </c>
      <c r="C20" s="18" t="s">
        <v>25</v>
      </c>
      <c r="D20" s="14">
        <v>45272</v>
      </c>
      <c r="E20" s="14">
        <v>45170</v>
      </c>
      <c r="F20" s="14">
        <v>45535</v>
      </c>
      <c r="G20" s="15">
        <v>-57576</v>
      </c>
      <c r="H20" s="15">
        <v>-58152</v>
      </c>
      <c r="I20" s="15">
        <v>-58152</v>
      </c>
      <c r="J20" s="16">
        <v>-58152</v>
      </c>
      <c r="K20" s="20" t="s">
        <v>60</v>
      </c>
    </row>
    <row r="21" spans="1:11" s="9" customFormat="1" ht="22.5" x14ac:dyDescent="0.2">
      <c r="A21" s="11">
        <v>13</v>
      </c>
      <c r="B21" s="17" t="s">
        <v>1</v>
      </c>
      <c r="C21" s="18" t="s">
        <v>26</v>
      </c>
      <c r="D21" s="14">
        <v>45280</v>
      </c>
      <c r="E21" s="14">
        <v>45170</v>
      </c>
      <c r="F21" s="14">
        <v>45535</v>
      </c>
      <c r="G21" s="15">
        <v>-24679</v>
      </c>
      <c r="H21" s="15">
        <v>-24926</v>
      </c>
      <c r="I21" s="15">
        <v>-24926</v>
      </c>
      <c r="J21" s="16">
        <v>-24926</v>
      </c>
      <c r="K21" s="20" t="s">
        <v>60</v>
      </c>
    </row>
    <row r="22" spans="1:11" s="9" customFormat="1" ht="22.5" x14ac:dyDescent="0.2">
      <c r="A22" s="11">
        <v>14</v>
      </c>
      <c r="B22" s="17" t="s">
        <v>1</v>
      </c>
      <c r="C22" s="18" t="s">
        <v>27</v>
      </c>
      <c r="D22" s="14">
        <v>45290</v>
      </c>
      <c r="E22" s="14">
        <v>45170</v>
      </c>
      <c r="F22" s="14">
        <v>45535</v>
      </c>
      <c r="G22" s="15">
        <v>-3471</v>
      </c>
      <c r="H22" s="15">
        <v>-3506</v>
      </c>
      <c r="I22" s="15">
        <v>-3506</v>
      </c>
      <c r="J22" s="16">
        <v>-3506</v>
      </c>
      <c r="K22" s="20" t="s">
        <v>60</v>
      </c>
    </row>
    <row r="23" spans="1:11" s="9" customFormat="1" ht="22.5" x14ac:dyDescent="0.2">
      <c r="A23" s="11">
        <v>15</v>
      </c>
      <c r="B23" s="17" t="s">
        <v>1</v>
      </c>
      <c r="C23" s="18" t="s">
        <v>28</v>
      </c>
      <c r="D23" s="14">
        <v>45295</v>
      </c>
      <c r="E23" s="14">
        <v>45170</v>
      </c>
      <c r="F23" s="14">
        <v>45535</v>
      </c>
      <c r="G23" s="15">
        <v>9291</v>
      </c>
      <c r="H23" s="15">
        <v>9384</v>
      </c>
      <c r="I23" s="15">
        <v>9384</v>
      </c>
      <c r="J23" s="16">
        <v>9384</v>
      </c>
      <c r="K23" s="20" t="s">
        <v>60</v>
      </c>
    </row>
    <row r="24" spans="1:11" s="9" customFormat="1" ht="22.5" x14ac:dyDescent="0.2">
      <c r="A24" s="11">
        <v>16</v>
      </c>
      <c r="B24" s="17" t="s">
        <v>1</v>
      </c>
      <c r="C24" s="18" t="s">
        <v>29</v>
      </c>
      <c r="D24" s="14">
        <v>45304</v>
      </c>
      <c r="E24" s="14">
        <v>45170</v>
      </c>
      <c r="F24" s="14">
        <v>45535</v>
      </c>
      <c r="G24" s="15">
        <v>5012</v>
      </c>
      <c r="H24" s="15">
        <v>5062</v>
      </c>
      <c r="I24" s="15">
        <v>5062</v>
      </c>
      <c r="J24" s="16">
        <v>5062</v>
      </c>
      <c r="K24" s="20" t="s">
        <v>60</v>
      </c>
    </row>
    <row r="25" spans="1:11" s="9" customFormat="1" ht="22.5" x14ac:dyDescent="0.2">
      <c r="A25" s="11">
        <v>17</v>
      </c>
      <c r="B25" s="17" t="s">
        <v>1</v>
      </c>
      <c r="C25" s="18" t="s">
        <v>30</v>
      </c>
      <c r="D25" s="14">
        <v>45305</v>
      </c>
      <c r="E25" s="14">
        <v>45170</v>
      </c>
      <c r="F25" s="14">
        <v>45535</v>
      </c>
      <c r="G25" s="15">
        <v>7078</v>
      </c>
      <c r="H25" s="15">
        <v>7149</v>
      </c>
      <c r="I25" s="15">
        <v>7149</v>
      </c>
      <c r="J25" s="16">
        <v>7149</v>
      </c>
      <c r="K25" s="20" t="s">
        <v>60</v>
      </c>
    </row>
    <row r="26" spans="1:11" s="9" customFormat="1" ht="22.5" x14ac:dyDescent="0.2">
      <c r="A26" s="11">
        <v>18</v>
      </c>
      <c r="B26" s="17" t="s">
        <v>1</v>
      </c>
      <c r="C26" s="18" t="s">
        <v>31</v>
      </c>
      <c r="D26" s="14">
        <v>45306</v>
      </c>
      <c r="E26" s="14">
        <v>45170</v>
      </c>
      <c r="F26" s="14">
        <v>45535</v>
      </c>
      <c r="G26" s="15">
        <v>-2077</v>
      </c>
      <c r="H26" s="15">
        <v>-2098</v>
      </c>
      <c r="I26" s="15">
        <v>-2098</v>
      </c>
      <c r="J26" s="16">
        <v>-2098</v>
      </c>
      <c r="K26" s="20" t="s">
        <v>60</v>
      </c>
    </row>
    <row r="27" spans="1:11" s="9" customFormat="1" ht="22.5" x14ac:dyDescent="0.2">
      <c r="A27" s="11">
        <v>19</v>
      </c>
      <c r="B27" s="17" t="s">
        <v>1</v>
      </c>
      <c r="C27" s="18" t="s">
        <v>32</v>
      </c>
      <c r="D27" s="14">
        <v>45316</v>
      </c>
      <c r="E27" s="14">
        <v>45170</v>
      </c>
      <c r="F27" s="14">
        <v>45535</v>
      </c>
      <c r="G27" s="15">
        <v>18395</v>
      </c>
      <c r="H27" s="15">
        <v>18579</v>
      </c>
      <c r="I27" s="15">
        <v>18579</v>
      </c>
      <c r="J27" s="16">
        <v>18579</v>
      </c>
      <c r="K27" s="20" t="s">
        <v>60</v>
      </c>
    </row>
    <row r="28" spans="1:11" s="9" customFormat="1" ht="22.5" x14ac:dyDescent="0.2">
      <c r="A28" s="11">
        <v>20</v>
      </c>
      <c r="B28" s="17" t="s">
        <v>1</v>
      </c>
      <c r="C28" s="18" t="s">
        <v>33</v>
      </c>
      <c r="D28" s="14">
        <v>45332</v>
      </c>
      <c r="E28" s="14">
        <v>45170</v>
      </c>
      <c r="F28" s="14">
        <v>45535</v>
      </c>
      <c r="G28" s="15">
        <v>7802</v>
      </c>
      <c r="H28" s="15">
        <v>7880</v>
      </c>
      <c r="I28" s="15">
        <v>7880</v>
      </c>
      <c r="J28" s="16">
        <v>7880</v>
      </c>
      <c r="K28" s="20" t="s">
        <v>60</v>
      </c>
    </row>
    <row r="29" spans="1:11" s="9" customFormat="1" ht="22.5" x14ac:dyDescent="0.2">
      <c r="A29" s="11">
        <v>21</v>
      </c>
      <c r="B29" s="17" t="s">
        <v>1</v>
      </c>
      <c r="C29" s="18" t="s">
        <v>34</v>
      </c>
      <c r="D29" s="14">
        <v>45335</v>
      </c>
      <c r="E29" s="14">
        <v>45170</v>
      </c>
      <c r="F29" s="14">
        <v>45535</v>
      </c>
      <c r="G29" s="15">
        <v>2179</v>
      </c>
      <c r="H29" s="15">
        <v>2201</v>
      </c>
      <c r="I29" s="15">
        <v>2201</v>
      </c>
      <c r="J29" s="16">
        <v>2201</v>
      </c>
      <c r="K29" s="20" t="s">
        <v>60</v>
      </c>
    </row>
    <row r="30" spans="1:11" s="9" customFormat="1" ht="22.5" x14ac:dyDescent="0.2">
      <c r="A30" s="11">
        <v>22</v>
      </c>
      <c r="B30" s="17" t="s">
        <v>1</v>
      </c>
      <c r="C30" s="18" t="s">
        <v>35</v>
      </c>
      <c r="D30" s="14">
        <v>45339</v>
      </c>
      <c r="E30" s="14">
        <v>45170</v>
      </c>
      <c r="F30" s="14">
        <v>45535</v>
      </c>
      <c r="G30" s="15">
        <v>6270</v>
      </c>
      <c r="H30" s="15">
        <v>6333</v>
      </c>
      <c r="I30" s="15">
        <v>6333</v>
      </c>
      <c r="J30" s="16">
        <v>6333</v>
      </c>
      <c r="K30" s="20" t="s">
        <v>60</v>
      </c>
    </row>
    <row r="31" spans="1:11" s="9" customFormat="1" ht="22.5" x14ac:dyDescent="0.2">
      <c r="A31" s="11">
        <v>23</v>
      </c>
      <c r="B31" s="17" t="s">
        <v>1</v>
      </c>
      <c r="C31" s="18" t="s">
        <v>36</v>
      </c>
      <c r="D31" s="14">
        <v>45345</v>
      </c>
      <c r="E31" s="14">
        <v>45170</v>
      </c>
      <c r="F31" s="14">
        <v>45535</v>
      </c>
      <c r="G31" s="15">
        <v>-8419</v>
      </c>
      <c r="H31" s="15">
        <v>-8503</v>
      </c>
      <c r="I31" s="15">
        <v>-8503</v>
      </c>
      <c r="J31" s="16">
        <v>-8503</v>
      </c>
      <c r="K31" s="20" t="s">
        <v>60</v>
      </c>
    </row>
    <row r="32" spans="1:11" s="9" customFormat="1" ht="22.5" x14ac:dyDescent="0.2">
      <c r="A32" s="11">
        <v>24</v>
      </c>
      <c r="B32" s="17" t="s">
        <v>1</v>
      </c>
      <c r="C32" s="18" t="s">
        <v>37</v>
      </c>
      <c r="D32" s="14">
        <v>45348</v>
      </c>
      <c r="E32" s="14">
        <v>45170</v>
      </c>
      <c r="F32" s="14">
        <v>45535</v>
      </c>
      <c r="G32" s="15">
        <v>-2006</v>
      </c>
      <c r="H32" s="15">
        <v>-2026</v>
      </c>
      <c r="I32" s="15">
        <v>-2026</v>
      </c>
      <c r="J32" s="16">
        <v>-2026</v>
      </c>
      <c r="K32" s="20" t="s">
        <v>60</v>
      </c>
    </row>
    <row r="33" spans="1:12" s="9" customFormat="1" ht="22.5" x14ac:dyDescent="0.2">
      <c r="A33" s="11">
        <v>25</v>
      </c>
      <c r="B33" s="17" t="s">
        <v>1</v>
      </c>
      <c r="C33" s="18" t="s">
        <v>38</v>
      </c>
      <c r="D33" s="14">
        <v>45365</v>
      </c>
      <c r="E33" s="14">
        <v>45170</v>
      </c>
      <c r="F33" s="14">
        <v>45535</v>
      </c>
      <c r="G33" s="15">
        <v>-11150</v>
      </c>
      <c r="H33" s="15">
        <v>-11262</v>
      </c>
      <c r="I33" s="15">
        <v>-11262</v>
      </c>
      <c r="J33" s="16">
        <v>-11262</v>
      </c>
      <c r="K33" s="20" t="s">
        <v>60</v>
      </c>
    </row>
    <row r="34" spans="1:12" s="9" customFormat="1" ht="22.5" x14ac:dyDescent="0.2">
      <c r="A34" s="11">
        <v>26</v>
      </c>
      <c r="B34" s="17" t="s">
        <v>1</v>
      </c>
      <c r="C34" s="18" t="s">
        <v>39</v>
      </c>
      <c r="D34" s="14">
        <v>45403</v>
      </c>
      <c r="E34" s="14">
        <v>45170</v>
      </c>
      <c r="F34" s="14">
        <v>45535</v>
      </c>
      <c r="G34" s="15">
        <v>3398</v>
      </c>
      <c r="H34" s="15">
        <v>3432</v>
      </c>
      <c r="I34" s="15">
        <v>3432</v>
      </c>
      <c r="J34" s="16">
        <v>3432</v>
      </c>
      <c r="K34" s="20" t="s">
        <v>60</v>
      </c>
    </row>
    <row r="35" spans="1:12" s="9" customFormat="1" ht="22.5" x14ac:dyDescent="0.2">
      <c r="A35" s="11">
        <v>27</v>
      </c>
      <c r="B35" s="17" t="s">
        <v>1</v>
      </c>
      <c r="C35" s="18" t="s">
        <v>40</v>
      </c>
      <c r="D35" s="14">
        <v>45403</v>
      </c>
      <c r="E35" s="14">
        <v>45170</v>
      </c>
      <c r="F35" s="14">
        <v>45535</v>
      </c>
      <c r="G35" s="15">
        <v>-3244</v>
      </c>
      <c r="H35" s="15">
        <v>-3276</v>
      </c>
      <c r="I35" s="15">
        <v>-3276</v>
      </c>
      <c r="J35" s="16">
        <v>-3276</v>
      </c>
      <c r="K35" s="20" t="s">
        <v>60</v>
      </c>
    </row>
    <row r="36" spans="1:12" s="9" customFormat="1" ht="22.5" x14ac:dyDescent="0.2">
      <c r="A36" s="11">
        <v>28</v>
      </c>
      <c r="B36" s="17" t="s">
        <v>1</v>
      </c>
      <c r="C36" s="18" t="s">
        <v>41</v>
      </c>
      <c r="D36" s="14">
        <v>45406</v>
      </c>
      <c r="E36" s="14">
        <v>45170</v>
      </c>
      <c r="F36" s="14">
        <v>45535</v>
      </c>
      <c r="G36" s="15">
        <v>-5421</v>
      </c>
      <c r="H36" s="15">
        <v>-5475</v>
      </c>
      <c r="I36" s="15">
        <v>-5475</v>
      </c>
      <c r="J36" s="16">
        <v>-5475</v>
      </c>
      <c r="K36" s="20" t="s">
        <v>60</v>
      </c>
    </row>
    <row r="37" spans="1:12" s="9" customFormat="1" ht="22.5" x14ac:dyDescent="0.2">
      <c r="A37" s="11">
        <v>29</v>
      </c>
      <c r="B37" s="17" t="s">
        <v>1</v>
      </c>
      <c r="C37" s="18" t="s">
        <v>42</v>
      </c>
      <c r="D37" s="14">
        <v>45408</v>
      </c>
      <c r="E37" s="14">
        <v>45170</v>
      </c>
      <c r="F37" s="14">
        <v>45535</v>
      </c>
      <c r="G37" s="15">
        <v>-13250</v>
      </c>
      <c r="H37" s="15">
        <v>-13383</v>
      </c>
      <c r="I37" s="15">
        <v>-13383</v>
      </c>
      <c r="J37" s="16">
        <v>-13383</v>
      </c>
      <c r="K37" s="20" t="s">
        <v>60</v>
      </c>
    </row>
    <row r="38" spans="1:12" s="9" customFormat="1" ht="22.5" x14ac:dyDescent="0.2">
      <c r="A38" s="11">
        <v>30</v>
      </c>
      <c r="B38" s="17" t="s">
        <v>1</v>
      </c>
      <c r="C38" s="18" t="s">
        <v>43</v>
      </c>
      <c r="D38" s="14">
        <v>45415</v>
      </c>
      <c r="E38" s="14">
        <v>45170</v>
      </c>
      <c r="F38" s="14">
        <v>45535</v>
      </c>
      <c r="G38" s="15">
        <v>-2905</v>
      </c>
      <c r="H38" s="15">
        <v>-2934</v>
      </c>
      <c r="I38" s="15">
        <v>-2934</v>
      </c>
      <c r="J38" s="16">
        <v>-2934</v>
      </c>
      <c r="K38" s="20" t="s">
        <v>60</v>
      </c>
    </row>
    <row r="39" spans="1:12" s="9" customFormat="1" ht="22.5" x14ac:dyDescent="0.2">
      <c r="A39" s="11">
        <v>31</v>
      </c>
      <c r="B39" s="17" t="s">
        <v>1</v>
      </c>
      <c r="C39" s="18" t="s">
        <v>44</v>
      </c>
      <c r="D39" s="14">
        <v>45425</v>
      </c>
      <c r="E39" s="14">
        <v>45170</v>
      </c>
      <c r="F39" s="14">
        <v>45535</v>
      </c>
      <c r="G39" s="15">
        <v>3311</v>
      </c>
      <c r="H39" s="15">
        <v>3344</v>
      </c>
      <c r="I39" s="15">
        <v>3344</v>
      </c>
      <c r="J39" s="16">
        <v>3344</v>
      </c>
      <c r="K39" s="20" t="s">
        <v>60</v>
      </c>
    </row>
    <row r="40" spans="1:12" s="9" customFormat="1" ht="22.5" x14ac:dyDescent="0.2">
      <c r="A40" s="11">
        <v>32</v>
      </c>
      <c r="B40" s="17" t="s">
        <v>1</v>
      </c>
      <c r="C40" s="18" t="s">
        <v>45</v>
      </c>
      <c r="D40" s="14">
        <v>45435</v>
      </c>
      <c r="E40" s="14">
        <v>45170</v>
      </c>
      <c r="F40" s="14">
        <v>45535</v>
      </c>
      <c r="G40" s="15">
        <v>13600</v>
      </c>
      <c r="H40" s="15">
        <v>13736</v>
      </c>
      <c r="I40" s="15">
        <v>13736</v>
      </c>
      <c r="J40" s="16">
        <v>13736</v>
      </c>
      <c r="K40" s="20" t="s">
        <v>60</v>
      </c>
    </row>
    <row r="41" spans="1:12" s="9" customFormat="1" ht="22.5" x14ac:dyDescent="0.2">
      <c r="A41" s="11">
        <v>33</v>
      </c>
      <c r="B41" s="17" t="s">
        <v>1</v>
      </c>
      <c r="C41" s="18" t="s">
        <v>46</v>
      </c>
      <c r="D41" s="14">
        <v>45456</v>
      </c>
      <c r="E41" s="14">
        <v>45170</v>
      </c>
      <c r="F41" s="14">
        <v>45535</v>
      </c>
      <c r="G41" s="15">
        <v>15183</v>
      </c>
      <c r="H41" s="15">
        <v>15335</v>
      </c>
      <c r="I41" s="15">
        <v>15335</v>
      </c>
      <c r="J41" s="16">
        <v>15335</v>
      </c>
      <c r="K41" s="20" t="s">
        <v>60</v>
      </c>
    </row>
    <row r="42" spans="1:12" s="9" customFormat="1" ht="22.5" x14ac:dyDescent="0.2">
      <c r="A42" s="11">
        <v>34</v>
      </c>
      <c r="B42" s="17" t="s">
        <v>1</v>
      </c>
      <c r="C42" s="18" t="s">
        <v>47</v>
      </c>
      <c r="D42" s="14">
        <v>45457</v>
      </c>
      <c r="E42" s="14">
        <v>45170</v>
      </c>
      <c r="F42" s="14">
        <v>45535</v>
      </c>
      <c r="G42" s="15">
        <v>-13670</v>
      </c>
      <c r="H42" s="15">
        <v>-13807</v>
      </c>
      <c r="I42" s="15">
        <v>-13807</v>
      </c>
      <c r="J42" s="16">
        <v>-13807</v>
      </c>
      <c r="K42" s="20" t="s">
        <v>60</v>
      </c>
    </row>
    <row r="43" spans="1:12" s="9" customFormat="1" ht="22.5" x14ac:dyDescent="0.2">
      <c r="A43" s="11">
        <v>35</v>
      </c>
      <c r="B43" s="17" t="s">
        <v>1</v>
      </c>
      <c r="C43" s="18" t="s">
        <v>48</v>
      </c>
      <c r="D43" s="14">
        <v>45463</v>
      </c>
      <c r="E43" s="14">
        <v>45170</v>
      </c>
      <c r="F43" s="14">
        <v>45535</v>
      </c>
      <c r="G43" s="15">
        <v>-8214</v>
      </c>
      <c r="H43" s="15">
        <v>-8296</v>
      </c>
      <c r="I43" s="15">
        <v>-8296</v>
      </c>
      <c r="J43" s="16">
        <v>-8296</v>
      </c>
      <c r="K43" s="20" t="s">
        <v>60</v>
      </c>
    </row>
    <row r="44" spans="1:12" s="9" customFormat="1" ht="22.5" x14ac:dyDescent="0.2">
      <c r="A44" s="11">
        <v>36</v>
      </c>
      <c r="B44" s="17" t="s">
        <v>1</v>
      </c>
      <c r="C44" s="18" t="s">
        <v>49</v>
      </c>
      <c r="D44" s="14">
        <v>45478</v>
      </c>
      <c r="E44" s="14">
        <v>45170</v>
      </c>
      <c r="F44" s="14">
        <v>45535</v>
      </c>
      <c r="G44" s="15">
        <v>-7916</v>
      </c>
      <c r="H44" s="15">
        <v>-7995</v>
      </c>
      <c r="I44" s="15">
        <v>-7995</v>
      </c>
      <c r="J44" s="16">
        <v>-7995</v>
      </c>
      <c r="K44" s="20" t="s">
        <v>60</v>
      </c>
    </row>
    <row r="45" spans="1:12" s="9" customFormat="1" ht="22.5" x14ac:dyDescent="0.2">
      <c r="A45" s="11">
        <v>37</v>
      </c>
      <c r="B45" s="17" t="s">
        <v>1</v>
      </c>
      <c r="C45" s="18" t="s">
        <v>50</v>
      </c>
      <c r="D45" s="14">
        <v>45509</v>
      </c>
      <c r="E45" s="14">
        <v>45170</v>
      </c>
      <c r="F45" s="14">
        <v>45535</v>
      </c>
      <c r="G45" s="15">
        <v>4115</v>
      </c>
      <c r="H45" s="15">
        <v>4156</v>
      </c>
      <c r="I45" s="15">
        <v>41</v>
      </c>
      <c r="J45" s="16">
        <v>41</v>
      </c>
      <c r="K45" s="20" t="s">
        <v>60</v>
      </c>
    </row>
    <row r="46" spans="1:12" s="9" customFormat="1" ht="22.5" x14ac:dyDescent="0.2">
      <c r="A46" s="11">
        <v>38</v>
      </c>
      <c r="B46" s="17" t="s">
        <v>1</v>
      </c>
      <c r="C46" s="18" t="s">
        <v>51</v>
      </c>
      <c r="D46" s="14">
        <v>45510</v>
      </c>
      <c r="E46" s="14">
        <v>45170</v>
      </c>
      <c r="F46" s="14">
        <v>45535</v>
      </c>
      <c r="G46" s="15">
        <v>12770</v>
      </c>
      <c r="H46" s="15">
        <v>12898</v>
      </c>
      <c r="I46" s="15">
        <v>12898</v>
      </c>
      <c r="J46" s="16">
        <v>12898</v>
      </c>
      <c r="K46" s="20" t="s">
        <v>60</v>
      </c>
    </row>
    <row r="47" spans="1:12" s="9" customFormat="1" ht="22.5" x14ac:dyDescent="0.2">
      <c r="A47" s="11">
        <v>39</v>
      </c>
      <c r="B47" s="17" t="s">
        <v>1</v>
      </c>
      <c r="C47" s="18" t="s">
        <v>52</v>
      </c>
      <c r="D47" s="14">
        <v>45518</v>
      </c>
      <c r="E47" s="14">
        <v>45170</v>
      </c>
      <c r="F47" s="14">
        <v>45535</v>
      </c>
      <c r="G47" s="15">
        <v>-318</v>
      </c>
      <c r="H47" s="15">
        <v>-321</v>
      </c>
      <c r="I47" s="15">
        <v>-321</v>
      </c>
      <c r="J47" s="16">
        <v>-321</v>
      </c>
      <c r="K47" s="20" t="s">
        <v>60</v>
      </c>
    </row>
    <row r="48" spans="1:12" s="9" customFormat="1" ht="22.5" x14ac:dyDescent="0.2">
      <c r="A48" s="11">
        <v>1</v>
      </c>
      <c r="B48" s="17" t="s">
        <v>2</v>
      </c>
      <c r="C48" s="18">
        <v>0</v>
      </c>
      <c r="D48" s="14">
        <v>45537</v>
      </c>
      <c r="E48" s="14">
        <v>45536</v>
      </c>
      <c r="F48" s="14">
        <v>45900</v>
      </c>
      <c r="G48" s="15">
        <v>4256931</v>
      </c>
      <c r="H48" s="15">
        <v>4300000</v>
      </c>
      <c r="I48" s="15">
        <v>4300000</v>
      </c>
      <c r="J48" s="16">
        <v>2150687</v>
      </c>
      <c r="K48" s="20" t="s">
        <v>58</v>
      </c>
      <c r="L48" s="19"/>
    </row>
    <row r="49" spans="7:10" x14ac:dyDescent="0.25">
      <c r="G49" s="10">
        <f>SUM(G6:G48)</f>
        <v>8324059</v>
      </c>
      <c r="H49" s="10">
        <f>SUM(H6:H48)</f>
        <v>8407850</v>
      </c>
      <c r="I49" s="10">
        <f>SUM(I6:I48)</f>
        <v>5596123</v>
      </c>
      <c r="J49" s="10">
        <f>SUM(J6:J48)</f>
        <v>3446810</v>
      </c>
    </row>
  </sheetData>
  <mergeCells count="2">
    <mergeCell ref="A2:C2"/>
    <mergeCell ref="A3:C3"/>
  </mergeCells>
  <conditionalFormatting sqref="A6:J48">
    <cfRule type="notContainsBlanks" dxfId="4" priority="4">
      <formula>LEN(TRIM(A6))&gt;0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379B-4379-43B0-8937-2D4A1924B019}">
  <sheetPr filterMode="1"/>
  <dimension ref="B2:I461"/>
  <sheetViews>
    <sheetView topLeftCell="A441" workbookViewId="0">
      <selection activeCell="D2" sqref="D2:D460"/>
    </sheetView>
  </sheetViews>
  <sheetFormatPr defaultRowHeight="15" x14ac:dyDescent="0.25"/>
  <cols>
    <col min="3" max="3" width="42.140625" bestFit="1" customWidth="1"/>
    <col min="4" max="4" width="11.7109375" bestFit="1" customWidth="1"/>
    <col min="6" max="6" width="21.42578125" bestFit="1" customWidth="1"/>
  </cols>
  <sheetData>
    <row r="2" spans="2:9" x14ac:dyDescent="0.25">
      <c r="B2" s="22" t="s">
        <v>61</v>
      </c>
      <c r="C2" s="22" t="s">
        <v>62</v>
      </c>
      <c r="D2" s="22">
        <v>16210</v>
      </c>
      <c r="E2" s="22" t="s">
        <v>63</v>
      </c>
      <c r="F2" s="22" t="s">
        <v>64</v>
      </c>
      <c r="G2" t="s">
        <v>63</v>
      </c>
      <c r="H2" t="s">
        <v>63</v>
      </c>
      <c r="I2" t="s">
        <v>63</v>
      </c>
    </row>
    <row r="3" spans="2:9" x14ac:dyDescent="0.25">
      <c r="B3" s="22" t="s">
        <v>61</v>
      </c>
      <c r="C3" s="22" t="s">
        <v>65</v>
      </c>
      <c r="D3" s="22">
        <v>24315</v>
      </c>
      <c r="E3" s="22" t="s">
        <v>63</v>
      </c>
      <c r="F3" s="22" t="s">
        <v>64</v>
      </c>
      <c r="G3" t="s">
        <v>63</v>
      </c>
      <c r="H3" t="s">
        <v>63</v>
      </c>
      <c r="I3" t="s">
        <v>63</v>
      </c>
    </row>
    <row r="4" spans="2:9" x14ac:dyDescent="0.25">
      <c r="B4" s="22" t="s">
        <v>61</v>
      </c>
      <c r="C4" s="22" t="s">
        <v>66</v>
      </c>
      <c r="D4" s="22">
        <v>72945</v>
      </c>
      <c r="E4" s="22" t="s">
        <v>63</v>
      </c>
      <c r="F4" s="22" t="s">
        <v>64</v>
      </c>
      <c r="G4" t="s">
        <v>63</v>
      </c>
      <c r="H4" t="s">
        <v>63</v>
      </c>
      <c r="I4" t="s">
        <v>63</v>
      </c>
    </row>
    <row r="5" spans="2:9" x14ac:dyDescent="0.25">
      <c r="B5" s="22" t="s">
        <v>61</v>
      </c>
      <c r="C5" s="22" t="s">
        <v>67</v>
      </c>
      <c r="D5" s="22">
        <v>8105</v>
      </c>
      <c r="E5" s="22" t="s">
        <v>63</v>
      </c>
      <c r="F5" s="22" t="s">
        <v>64</v>
      </c>
      <c r="G5" t="s">
        <v>63</v>
      </c>
      <c r="H5" t="s">
        <v>63</v>
      </c>
      <c r="I5" t="s">
        <v>63</v>
      </c>
    </row>
    <row r="6" spans="2:9" x14ac:dyDescent="0.25">
      <c r="B6" s="22" t="s">
        <v>61</v>
      </c>
      <c r="C6" s="22" t="s">
        <v>68</v>
      </c>
      <c r="D6" s="22">
        <v>8105</v>
      </c>
      <c r="E6" s="22" t="s">
        <v>63</v>
      </c>
      <c r="F6" s="22" t="s">
        <v>64</v>
      </c>
      <c r="G6" t="s">
        <v>63</v>
      </c>
      <c r="H6" t="s">
        <v>63</v>
      </c>
      <c r="I6" t="s">
        <v>63</v>
      </c>
    </row>
    <row r="7" spans="2:9" x14ac:dyDescent="0.25">
      <c r="B7" s="22" t="s">
        <v>61</v>
      </c>
      <c r="C7" s="22" t="s">
        <v>69</v>
      </c>
      <c r="D7" s="22">
        <v>8105</v>
      </c>
      <c r="E7" s="22" t="s">
        <v>63</v>
      </c>
      <c r="F7" s="22" t="s">
        <v>64</v>
      </c>
      <c r="G7" t="s">
        <v>63</v>
      </c>
      <c r="H7" t="s">
        <v>63</v>
      </c>
      <c r="I7" t="s">
        <v>63</v>
      </c>
    </row>
    <row r="8" spans="2:9" x14ac:dyDescent="0.25">
      <c r="B8" s="22" t="s">
        <v>61</v>
      </c>
      <c r="C8" s="22" t="s">
        <v>70</v>
      </c>
      <c r="D8" s="22">
        <v>8105</v>
      </c>
      <c r="E8" s="22" t="s">
        <v>63</v>
      </c>
      <c r="F8" s="22" t="s">
        <v>64</v>
      </c>
      <c r="G8" t="s">
        <v>63</v>
      </c>
      <c r="H8" t="s">
        <v>63</v>
      </c>
      <c r="I8" t="s">
        <v>63</v>
      </c>
    </row>
    <row r="9" spans="2:9" x14ac:dyDescent="0.25">
      <c r="B9" s="22" t="s">
        <v>61</v>
      </c>
      <c r="C9" s="22" t="s">
        <v>71</v>
      </c>
      <c r="D9" s="22">
        <v>8105</v>
      </c>
      <c r="E9" s="22" t="s">
        <v>63</v>
      </c>
      <c r="F9" s="22" t="s">
        <v>64</v>
      </c>
      <c r="G9" t="s">
        <v>63</v>
      </c>
      <c r="H9" t="s">
        <v>63</v>
      </c>
      <c r="I9" t="s">
        <v>63</v>
      </c>
    </row>
    <row r="10" spans="2:9" x14ac:dyDescent="0.25">
      <c r="B10" s="22" t="s">
        <v>61</v>
      </c>
      <c r="C10" s="22" t="s">
        <v>72</v>
      </c>
      <c r="D10" s="22">
        <v>8105</v>
      </c>
      <c r="E10" s="22" t="s">
        <v>63</v>
      </c>
      <c r="F10" s="22" t="s">
        <v>64</v>
      </c>
      <c r="G10" t="s">
        <v>63</v>
      </c>
      <c r="H10" t="s">
        <v>63</v>
      </c>
      <c r="I10" t="s">
        <v>63</v>
      </c>
    </row>
    <row r="11" spans="2:9" x14ac:dyDescent="0.25">
      <c r="B11" s="22" t="s">
        <v>61</v>
      </c>
      <c r="C11" s="22" t="s">
        <v>73</v>
      </c>
      <c r="D11" s="22">
        <v>8105</v>
      </c>
      <c r="E11" s="22" t="s">
        <v>63</v>
      </c>
      <c r="F11" s="22" t="s">
        <v>64</v>
      </c>
      <c r="G11" t="s">
        <v>63</v>
      </c>
      <c r="H11" t="s">
        <v>63</v>
      </c>
      <c r="I11" t="s">
        <v>63</v>
      </c>
    </row>
    <row r="12" spans="2:9" x14ac:dyDescent="0.25">
      <c r="B12" s="22" t="s">
        <v>61</v>
      </c>
      <c r="C12" s="22" t="s">
        <v>74</v>
      </c>
      <c r="D12" s="22">
        <v>8105</v>
      </c>
      <c r="E12" s="22" t="s">
        <v>63</v>
      </c>
      <c r="F12" s="22" t="s">
        <v>64</v>
      </c>
      <c r="G12" t="s">
        <v>63</v>
      </c>
      <c r="H12" t="s">
        <v>63</v>
      </c>
      <c r="I12" t="s">
        <v>63</v>
      </c>
    </row>
    <row r="13" spans="2:9" x14ac:dyDescent="0.25">
      <c r="B13" s="22" t="s">
        <v>61</v>
      </c>
      <c r="C13" s="22" t="s">
        <v>75</v>
      </c>
      <c r="D13" s="22">
        <v>8105</v>
      </c>
      <c r="E13" s="22" t="s">
        <v>63</v>
      </c>
      <c r="F13" s="22" t="s">
        <v>64</v>
      </c>
      <c r="G13" t="s">
        <v>63</v>
      </c>
      <c r="H13" t="s">
        <v>63</v>
      </c>
      <c r="I13" t="s">
        <v>63</v>
      </c>
    </row>
    <row r="14" spans="2:9" x14ac:dyDescent="0.25">
      <c r="B14" s="22" t="s">
        <v>61</v>
      </c>
      <c r="C14" s="22" t="s">
        <v>76</v>
      </c>
      <c r="D14" s="22">
        <v>8105</v>
      </c>
      <c r="E14" s="22" t="s">
        <v>63</v>
      </c>
      <c r="F14" s="22" t="s">
        <v>64</v>
      </c>
      <c r="G14" t="s">
        <v>63</v>
      </c>
      <c r="H14" t="s">
        <v>63</v>
      </c>
      <c r="I14" t="s">
        <v>63</v>
      </c>
    </row>
    <row r="15" spans="2:9" x14ac:dyDescent="0.25">
      <c r="B15" s="22" t="s">
        <v>61</v>
      </c>
      <c r="C15" s="22" t="s">
        <v>77</v>
      </c>
      <c r="D15" s="22">
        <v>8105</v>
      </c>
      <c r="E15" s="22" t="s">
        <v>63</v>
      </c>
      <c r="F15" s="22" t="s">
        <v>64</v>
      </c>
      <c r="G15" t="s">
        <v>63</v>
      </c>
      <c r="H15" t="s">
        <v>63</v>
      </c>
      <c r="I15" t="s">
        <v>63</v>
      </c>
    </row>
    <row r="16" spans="2:9" x14ac:dyDescent="0.25">
      <c r="B16" s="22" t="s">
        <v>61</v>
      </c>
      <c r="C16" s="22" t="s">
        <v>78</v>
      </c>
      <c r="D16" s="22">
        <v>8105</v>
      </c>
      <c r="E16" s="22" t="s">
        <v>63</v>
      </c>
      <c r="F16" s="22" t="s">
        <v>64</v>
      </c>
      <c r="G16" t="s">
        <v>63</v>
      </c>
      <c r="H16" t="s">
        <v>63</v>
      </c>
      <c r="I16" t="s">
        <v>63</v>
      </c>
    </row>
    <row r="17" spans="2:9" x14ac:dyDescent="0.25">
      <c r="B17" s="22" t="s">
        <v>61</v>
      </c>
      <c r="C17" s="22" t="s">
        <v>79</v>
      </c>
      <c r="D17" s="22">
        <v>8105</v>
      </c>
      <c r="E17" s="22" t="s">
        <v>63</v>
      </c>
      <c r="F17" s="22" t="s">
        <v>64</v>
      </c>
      <c r="G17" t="s">
        <v>63</v>
      </c>
      <c r="H17" t="s">
        <v>63</v>
      </c>
      <c r="I17" t="s">
        <v>63</v>
      </c>
    </row>
    <row r="18" spans="2:9" x14ac:dyDescent="0.25">
      <c r="B18" s="22" t="s">
        <v>61</v>
      </c>
      <c r="C18" s="22" t="s">
        <v>80</v>
      </c>
      <c r="D18" s="22">
        <v>8105</v>
      </c>
      <c r="E18" s="22" t="s">
        <v>63</v>
      </c>
      <c r="F18" s="22" t="s">
        <v>64</v>
      </c>
      <c r="G18" t="s">
        <v>63</v>
      </c>
      <c r="H18" t="s">
        <v>63</v>
      </c>
      <c r="I18" t="s">
        <v>63</v>
      </c>
    </row>
    <row r="19" spans="2:9" x14ac:dyDescent="0.25">
      <c r="B19" s="22" t="s">
        <v>61</v>
      </c>
      <c r="C19" s="22" t="s">
        <v>81</v>
      </c>
      <c r="D19" s="22">
        <v>8105</v>
      </c>
      <c r="E19" s="22" t="s">
        <v>63</v>
      </c>
      <c r="F19" s="22" t="s">
        <v>64</v>
      </c>
      <c r="G19" t="s">
        <v>63</v>
      </c>
      <c r="H19" t="s">
        <v>63</v>
      </c>
      <c r="I19" t="s">
        <v>63</v>
      </c>
    </row>
    <row r="20" spans="2:9" x14ac:dyDescent="0.25">
      <c r="B20" s="22" t="s">
        <v>61</v>
      </c>
      <c r="C20" s="22" t="s">
        <v>82</v>
      </c>
      <c r="D20" s="22">
        <v>8105</v>
      </c>
      <c r="E20" s="22" t="s">
        <v>63</v>
      </c>
      <c r="F20" s="22" t="s">
        <v>64</v>
      </c>
      <c r="G20" t="s">
        <v>63</v>
      </c>
      <c r="H20" t="s">
        <v>63</v>
      </c>
      <c r="I20" t="s">
        <v>63</v>
      </c>
    </row>
    <row r="21" spans="2:9" x14ac:dyDescent="0.25">
      <c r="B21" s="22" t="s">
        <v>61</v>
      </c>
      <c r="C21" s="22" t="s">
        <v>83</v>
      </c>
      <c r="D21" s="22">
        <v>8105</v>
      </c>
      <c r="E21" s="22" t="s">
        <v>63</v>
      </c>
      <c r="F21" s="22" t="s">
        <v>64</v>
      </c>
      <c r="G21" t="s">
        <v>63</v>
      </c>
      <c r="H21" t="s">
        <v>63</v>
      </c>
      <c r="I21" t="s">
        <v>63</v>
      </c>
    </row>
    <row r="22" spans="2:9" x14ac:dyDescent="0.25">
      <c r="B22" s="22" t="s">
        <v>61</v>
      </c>
      <c r="C22" s="22" t="s">
        <v>84</v>
      </c>
      <c r="D22" s="22">
        <v>8105</v>
      </c>
      <c r="E22" s="22" t="s">
        <v>63</v>
      </c>
      <c r="F22" s="22" t="s">
        <v>64</v>
      </c>
      <c r="G22" t="s">
        <v>63</v>
      </c>
      <c r="H22" t="s">
        <v>63</v>
      </c>
      <c r="I22" t="s">
        <v>63</v>
      </c>
    </row>
    <row r="23" spans="2:9" x14ac:dyDescent="0.25">
      <c r="B23" s="22" t="s">
        <v>61</v>
      </c>
      <c r="C23" s="22" t="s">
        <v>85</v>
      </c>
      <c r="D23" s="22">
        <v>8105</v>
      </c>
      <c r="E23" s="22" t="s">
        <v>63</v>
      </c>
      <c r="F23" s="22" t="s">
        <v>64</v>
      </c>
      <c r="G23" t="s">
        <v>63</v>
      </c>
      <c r="H23" t="s">
        <v>63</v>
      </c>
      <c r="I23" t="s">
        <v>63</v>
      </c>
    </row>
    <row r="24" spans="2:9" x14ac:dyDescent="0.25">
      <c r="B24" s="22" t="s">
        <v>61</v>
      </c>
      <c r="C24" s="22" t="s">
        <v>86</v>
      </c>
      <c r="D24" s="22">
        <v>8105</v>
      </c>
      <c r="E24" s="22" t="s">
        <v>63</v>
      </c>
      <c r="F24" s="22" t="s">
        <v>64</v>
      </c>
      <c r="G24" t="s">
        <v>63</v>
      </c>
      <c r="H24" t="s">
        <v>63</v>
      </c>
      <c r="I24" t="s">
        <v>63</v>
      </c>
    </row>
    <row r="25" spans="2:9" x14ac:dyDescent="0.25">
      <c r="B25" s="22" t="s">
        <v>61</v>
      </c>
      <c r="C25" s="22" t="s">
        <v>87</v>
      </c>
      <c r="D25" s="22">
        <v>8105</v>
      </c>
      <c r="E25" s="22" t="s">
        <v>63</v>
      </c>
      <c r="F25" s="22" t="s">
        <v>64</v>
      </c>
      <c r="G25" t="s">
        <v>63</v>
      </c>
      <c r="H25" t="s">
        <v>63</v>
      </c>
      <c r="I25" t="s">
        <v>63</v>
      </c>
    </row>
    <row r="26" spans="2:9" x14ac:dyDescent="0.25">
      <c r="B26" s="22" t="s">
        <v>61</v>
      </c>
      <c r="C26" s="22" t="s">
        <v>88</v>
      </c>
      <c r="D26" s="22">
        <v>8105</v>
      </c>
      <c r="E26" s="22" t="s">
        <v>63</v>
      </c>
      <c r="F26" s="22" t="s">
        <v>64</v>
      </c>
      <c r="G26" t="s">
        <v>63</v>
      </c>
      <c r="H26" t="s">
        <v>63</v>
      </c>
      <c r="I26" t="s">
        <v>63</v>
      </c>
    </row>
    <row r="27" spans="2:9" x14ac:dyDescent="0.25">
      <c r="B27" s="22" t="s">
        <v>61</v>
      </c>
      <c r="C27" s="22" t="s">
        <v>89</v>
      </c>
      <c r="D27" s="22">
        <v>8105</v>
      </c>
      <c r="E27" s="22" t="s">
        <v>63</v>
      </c>
      <c r="F27" s="22" t="s">
        <v>64</v>
      </c>
      <c r="G27" t="s">
        <v>63</v>
      </c>
      <c r="H27" t="s">
        <v>63</v>
      </c>
      <c r="I27" t="s">
        <v>63</v>
      </c>
    </row>
    <row r="28" spans="2:9" x14ac:dyDescent="0.25">
      <c r="B28" s="22" t="s">
        <v>61</v>
      </c>
      <c r="C28" s="22" t="s">
        <v>90</v>
      </c>
      <c r="D28" s="22">
        <v>8105</v>
      </c>
      <c r="E28" s="22" t="s">
        <v>63</v>
      </c>
      <c r="F28" s="22" t="s">
        <v>64</v>
      </c>
      <c r="G28" t="s">
        <v>63</v>
      </c>
      <c r="H28" t="s">
        <v>63</v>
      </c>
      <c r="I28" t="s">
        <v>63</v>
      </c>
    </row>
    <row r="29" spans="2:9" x14ac:dyDescent="0.25">
      <c r="B29" s="22" t="s">
        <v>61</v>
      </c>
      <c r="C29" s="22" t="s">
        <v>91</v>
      </c>
      <c r="D29" s="22">
        <v>8105</v>
      </c>
      <c r="E29" s="22" t="s">
        <v>63</v>
      </c>
      <c r="F29" s="22" t="s">
        <v>64</v>
      </c>
      <c r="G29" t="s">
        <v>63</v>
      </c>
      <c r="H29" t="s">
        <v>63</v>
      </c>
      <c r="I29" t="s">
        <v>63</v>
      </c>
    </row>
    <row r="30" spans="2:9" x14ac:dyDescent="0.25">
      <c r="B30" s="22" t="s">
        <v>61</v>
      </c>
      <c r="C30" s="22" t="s">
        <v>92</v>
      </c>
      <c r="D30" s="22">
        <v>8105</v>
      </c>
      <c r="E30" s="22" t="s">
        <v>63</v>
      </c>
      <c r="F30" s="22" t="s">
        <v>64</v>
      </c>
      <c r="G30" t="s">
        <v>63</v>
      </c>
      <c r="H30" t="s">
        <v>63</v>
      </c>
      <c r="I30" t="s">
        <v>63</v>
      </c>
    </row>
    <row r="31" spans="2:9" x14ac:dyDescent="0.25">
      <c r="B31" s="22" t="s">
        <v>61</v>
      </c>
      <c r="C31" s="22" t="s">
        <v>93</v>
      </c>
      <c r="D31" s="22">
        <v>8105</v>
      </c>
      <c r="E31" s="22" t="s">
        <v>63</v>
      </c>
      <c r="F31" s="22" t="s">
        <v>64</v>
      </c>
      <c r="G31" t="s">
        <v>63</v>
      </c>
      <c r="H31" t="s">
        <v>63</v>
      </c>
      <c r="I31" t="s">
        <v>63</v>
      </c>
    </row>
    <row r="32" spans="2:9" x14ac:dyDescent="0.25">
      <c r="B32" s="22" t="s">
        <v>61</v>
      </c>
      <c r="C32" s="22" t="s">
        <v>94</v>
      </c>
      <c r="D32" s="22">
        <v>8105</v>
      </c>
      <c r="E32" s="22" t="s">
        <v>63</v>
      </c>
      <c r="F32" s="22" t="s">
        <v>64</v>
      </c>
      <c r="G32" t="s">
        <v>63</v>
      </c>
      <c r="H32" t="s">
        <v>63</v>
      </c>
      <c r="I32" t="s">
        <v>63</v>
      </c>
    </row>
    <row r="33" spans="2:9" x14ac:dyDescent="0.25">
      <c r="B33" s="22" t="s">
        <v>61</v>
      </c>
      <c r="C33" s="22" t="s">
        <v>95</v>
      </c>
      <c r="D33" s="22">
        <v>8105</v>
      </c>
      <c r="E33" s="22" t="s">
        <v>63</v>
      </c>
      <c r="F33" s="22" t="s">
        <v>64</v>
      </c>
      <c r="G33" t="s">
        <v>63</v>
      </c>
      <c r="H33" t="s">
        <v>63</v>
      </c>
      <c r="I33" t="s">
        <v>63</v>
      </c>
    </row>
    <row r="34" spans="2:9" hidden="1" x14ac:dyDescent="0.25">
      <c r="B34" s="23" t="s">
        <v>96</v>
      </c>
      <c r="C34" s="23" t="s">
        <v>20</v>
      </c>
      <c r="D34" s="23">
        <v>-3101</v>
      </c>
      <c r="E34" s="23" t="s">
        <v>97</v>
      </c>
      <c r="F34" t="s">
        <v>63</v>
      </c>
      <c r="G34" t="s">
        <v>63</v>
      </c>
      <c r="H34" t="s">
        <v>63</v>
      </c>
      <c r="I34" t="s">
        <v>63</v>
      </c>
    </row>
    <row r="35" spans="2:9" hidden="1" x14ac:dyDescent="0.25">
      <c r="B35" s="23" t="s">
        <v>96</v>
      </c>
      <c r="C35" s="23" t="s">
        <v>23</v>
      </c>
      <c r="D35" s="23">
        <v>-3152</v>
      </c>
      <c r="E35" s="23" t="s">
        <v>97</v>
      </c>
      <c r="F35" t="s">
        <v>63</v>
      </c>
      <c r="G35" t="s">
        <v>63</v>
      </c>
      <c r="H35" t="s">
        <v>63</v>
      </c>
      <c r="I35" t="s">
        <v>63</v>
      </c>
    </row>
    <row r="36" spans="2:9" hidden="1" x14ac:dyDescent="0.25">
      <c r="B36" s="23" t="s">
        <v>96</v>
      </c>
      <c r="C36" s="23" t="s">
        <v>37</v>
      </c>
      <c r="D36" s="23">
        <v>-2026</v>
      </c>
      <c r="E36" s="23" t="s">
        <v>97</v>
      </c>
      <c r="F36" t="s">
        <v>63</v>
      </c>
      <c r="G36" t="s">
        <v>63</v>
      </c>
      <c r="H36" t="s">
        <v>63</v>
      </c>
      <c r="I36" t="s">
        <v>63</v>
      </c>
    </row>
    <row r="37" spans="2:9" x14ac:dyDescent="0.25">
      <c r="B37" s="22" t="s">
        <v>61</v>
      </c>
      <c r="C37" s="22" t="s">
        <v>98</v>
      </c>
      <c r="D37" s="22">
        <v>8105</v>
      </c>
      <c r="E37" s="22" t="s">
        <v>63</v>
      </c>
      <c r="F37" s="22" t="s">
        <v>64</v>
      </c>
      <c r="G37" t="s">
        <v>63</v>
      </c>
      <c r="H37" t="s">
        <v>63</v>
      </c>
      <c r="I37" t="s">
        <v>63</v>
      </c>
    </row>
    <row r="38" spans="2:9" x14ac:dyDescent="0.25">
      <c r="B38" s="22" t="s">
        <v>61</v>
      </c>
      <c r="C38" s="22" t="s">
        <v>99</v>
      </c>
      <c r="D38" s="22">
        <v>8105</v>
      </c>
      <c r="E38" s="22" t="s">
        <v>63</v>
      </c>
      <c r="F38" s="22" t="s">
        <v>64</v>
      </c>
      <c r="G38" t="s">
        <v>63</v>
      </c>
      <c r="H38" t="s">
        <v>63</v>
      </c>
      <c r="I38" t="s">
        <v>63</v>
      </c>
    </row>
    <row r="39" spans="2:9" x14ac:dyDescent="0.25">
      <c r="B39" s="22" t="s">
        <v>61</v>
      </c>
      <c r="C39" s="22" t="s">
        <v>100</v>
      </c>
      <c r="D39" s="22">
        <v>7540</v>
      </c>
      <c r="E39" s="22" t="s">
        <v>63</v>
      </c>
      <c r="F39" s="22" t="s">
        <v>64</v>
      </c>
      <c r="G39" t="s">
        <v>63</v>
      </c>
      <c r="H39" t="s">
        <v>63</v>
      </c>
      <c r="I39" t="s">
        <v>63</v>
      </c>
    </row>
    <row r="40" spans="2:9" hidden="1" x14ac:dyDescent="0.25">
      <c r="B40" s="23" t="s">
        <v>96</v>
      </c>
      <c r="C40" s="23" t="s">
        <v>16</v>
      </c>
      <c r="D40" s="23">
        <v>-60920</v>
      </c>
      <c r="E40" s="23" t="s">
        <v>97</v>
      </c>
      <c r="F40" t="s">
        <v>63</v>
      </c>
      <c r="G40" t="s">
        <v>63</v>
      </c>
      <c r="H40" t="s">
        <v>63</v>
      </c>
      <c r="I40" t="s">
        <v>63</v>
      </c>
    </row>
    <row r="41" spans="2:9" hidden="1" x14ac:dyDescent="0.25">
      <c r="B41" s="23" t="s">
        <v>96</v>
      </c>
      <c r="C41" s="23" t="s">
        <v>18</v>
      </c>
      <c r="D41" s="23">
        <v>-22574</v>
      </c>
      <c r="E41" s="23" t="s">
        <v>97</v>
      </c>
      <c r="F41" t="s">
        <v>63</v>
      </c>
      <c r="G41" t="s">
        <v>63</v>
      </c>
      <c r="H41" t="s">
        <v>63</v>
      </c>
      <c r="I41" t="s">
        <v>63</v>
      </c>
    </row>
    <row r="42" spans="2:9" hidden="1" x14ac:dyDescent="0.25">
      <c r="B42" s="23" t="s">
        <v>96</v>
      </c>
      <c r="C42" s="23" t="s">
        <v>21</v>
      </c>
      <c r="D42" s="23">
        <v>-3734</v>
      </c>
      <c r="E42" s="23" t="s">
        <v>97</v>
      </c>
      <c r="F42" t="s">
        <v>63</v>
      </c>
      <c r="G42" t="s">
        <v>63</v>
      </c>
      <c r="H42" t="s">
        <v>63</v>
      </c>
      <c r="I42" t="s">
        <v>63</v>
      </c>
    </row>
    <row r="43" spans="2:9" hidden="1" x14ac:dyDescent="0.25">
      <c r="B43" s="23" t="s">
        <v>96</v>
      </c>
      <c r="C43" s="23" t="s">
        <v>22</v>
      </c>
      <c r="D43" s="23">
        <v>4128</v>
      </c>
      <c r="E43" s="23" t="s">
        <v>97</v>
      </c>
      <c r="F43" t="s">
        <v>63</v>
      </c>
      <c r="G43" t="s">
        <v>63</v>
      </c>
      <c r="H43" t="s">
        <v>63</v>
      </c>
      <c r="I43" t="s">
        <v>63</v>
      </c>
    </row>
    <row r="44" spans="2:9" x14ac:dyDescent="0.25">
      <c r="B44" s="22" t="s">
        <v>61</v>
      </c>
      <c r="C44" s="22" t="s">
        <v>101</v>
      </c>
      <c r="D44" s="22">
        <v>8105</v>
      </c>
      <c r="E44" s="22" t="s">
        <v>63</v>
      </c>
      <c r="F44" s="22" t="s">
        <v>64</v>
      </c>
      <c r="G44" t="s">
        <v>63</v>
      </c>
      <c r="H44" t="s">
        <v>63</v>
      </c>
      <c r="I44" t="s">
        <v>63</v>
      </c>
    </row>
    <row r="45" spans="2:9" x14ac:dyDescent="0.25">
      <c r="B45" s="22" t="s">
        <v>61</v>
      </c>
      <c r="C45" s="22" t="s">
        <v>102</v>
      </c>
      <c r="D45" s="22">
        <v>8105</v>
      </c>
      <c r="E45" s="22" t="s">
        <v>63</v>
      </c>
      <c r="F45" s="22" t="s">
        <v>64</v>
      </c>
      <c r="G45" t="s">
        <v>63</v>
      </c>
      <c r="H45" t="s">
        <v>63</v>
      </c>
      <c r="I45" t="s">
        <v>63</v>
      </c>
    </row>
    <row r="46" spans="2:9" x14ac:dyDescent="0.25">
      <c r="B46" s="22" t="s">
        <v>61</v>
      </c>
      <c r="C46" s="22" t="s">
        <v>103</v>
      </c>
      <c r="D46" s="22">
        <v>8105</v>
      </c>
      <c r="E46" s="22" t="s">
        <v>63</v>
      </c>
      <c r="F46" s="22" t="s">
        <v>64</v>
      </c>
      <c r="G46" t="s">
        <v>63</v>
      </c>
      <c r="H46" t="s">
        <v>63</v>
      </c>
      <c r="I46" t="s">
        <v>63</v>
      </c>
    </row>
    <row r="47" spans="2:9" x14ac:dyDescent="0.25">
      <c r="B47" s="22" t="s">
        <v>61</v>
      </c>
      <c r="C47" s="22" t="s">
        <v>104</v>
      </c>
      <c r="D47" s="22">
        <v>8105</v>
      </c>
      <c r="E47" s="22" t="s">
        <v>63</v>
      </c>
      <c r="F47" s="22" t="s">
        <v>64</v>
      </c>
      <c r="G47" t="s">
        <v>63</v>
      </c>
      <c r="H47" t="s">
        <v>63</v>
      </c>
      <c r="I47" t="s">
        <v>63</v>
      </c>
    </row>
    <row r="48" spans="2:9" x14ac:dyDescent="0.25">
      <c r="B48" s="22" t="s">
        <v>61</v>
      </c>
      <c r="C48" s="22" t="s">
        <v>105</v>
      </c>
      <c r="D48" s="22">
        <v>8105</v>
      </c>
      <c r="E48" s="22" t="s">
        <v>63</v>
      </c>
      <c r="F48" s="22" t="s">
        <v>64</v>
      </c>
      <c r="G48" t="s">
        <v>63</v>
      </c>
      <c r="H48" t="s">
        <v>63</v>
      </c>
      <c r="I48" t="s">
        <v>63</v>
      </c>
    </row>
    <row r="49" spans="2:9" x14ac:dyDescent="0.25">
      <c r="B49" s="22" t="s">
        <v>61</v>
      </c>
      <c r="C49" s="22" t="s">
        <v>106</v>
      </c>
      <c r="D49" s="22">
        <v>8105</v>
      </c>
      <c r="E49" s="22" t="s">
        <v>63</v>
      </c>
      <c r="F49" s="22" t="s">
        <v>64</v>
      </c>
      <c r="G49" t="s">
        <v>63</v>
      </c>
      <c r="H49" t="s">
        <v>63</v>
      </c>
      <c r="I49" t="s">
        <v>63</v>
      </c>
    </row>
    <row r="50" spans="2:9" x14ac:dyDescent="0.25">
      <c r="B50" s="22" t="s">
        <v>61</v>
      </c>
      <c r="C50" s="22" t="s">
        <v>107</v>
      </c>
      <c r="D50" s="22">
        <v>8105</v>
      </c>
      <c r="E50" s="22" t="s">
        <v>63</v>
      </c>
      <c r="F50" s="22" t="s">
        <v>64</v>
      </c>
      <c r="G50" t="s">
        <v>63</v>
      </c>
      <c r="H50" t="s">
        <v>63</v>
      </c>
      <c r="I50" t="s">
        <v>63</v>
      </c>
    </row>
    <row r="51" spans="2:9" x14ac:dyDescent="0.25">
      <c r="B51" s="22" t="s">
        <v>61</v>
      </c>
      <c r="C51" s="22" t="s">
        <v>108</v>
      </c>
      <c r="D51" s="22">
        <v>8105</v>
      </c>
      <c r="E51" s="22" t="s">
        <v>63</v>
      </c>
      <c r="F51" s="22" t="s">
        <v>64</v>
      </c>
      <c r="G51" t="s">
        <v>63</v>
      </c>
      <c r="H51" t="s">
        <v>63</v>
      </c>
      <c r="I51" t="s">
        <v>63</v>
      </c>
    </row>
    <row r="52" spans="2:9" x14ac:dyDescent="0.25">
      <c r="B52" s="22" t="s">
        <v>61</v>
      </c>
      <c r="C52" s="22" t="s">
        <v>109</v>
      </c>
      <c r="D52" s="22">
        <v>8105</v>
      </c>
      <c r="E52" s="22" t="s">
        <v>63</v>
      </c>
      <c r="F52" s="22" t="s">
        <v>64</v>
      </c>
      <c r="G52" t="s">
        <v>63</v>
      </c>
      <c r="H52" t="s">
        <v>63</v>
      </c>
      <c r="I52" t="s">
        <v>63</v>
      </c>
    </row>
    <row r="53" spans="2:9" x14ac:dyDescent="0.25">
      <c r="B53" s="22" t="s">
        <v>61</v>
      </c>
      <c r="C53" s="22" t="s">
        <v>110</v>
      </c>
      <c r="D53" s="22">
        <v>8105</v>
      </c>
      <c r="E53" s="22" t="s">
        <v>63</v>
      </c>
      <c r="F53" s="22" t="s">
        <v>64</v>
      </c>
      <c r="G53" t="s">
        <v>63</v>
      </c>
      <c r="H53" t="s">
        <v>63</v>
      </c>
      <c r="I53" t="s">
        <v>63</v>
      </c>
    </row>
    <row r="54" spans="2:9" x14ac:dyDescent="0.25">
      <c r="B54" s="22" t="s">
        <v>61</v>
      </c>
      <c r="C54" s="22" t="s">
        <v>111</v>
      </c>
      <c r="D54" s="22">
        <v>8105</v>
      </c>
      <c r="E54" s="22" t="s">
        <v>63</v>
      </c>
      <c r="F54" s="22" t="s">
        <v>64</v>
      </c>
      <c r="G54" t="s">
        <v>63</v>
      </c>
      <c r="H54" t="s">
        <v>63</v>
      </c>
      <c r="I54" t="s">
        <v>63</v>
      </c>
    </row>
    <row r="55" spans="2:9" x14ac:dyDescent="0.25">
      <c r="B55" s="22" t="s">
        <v>61</v>
      </c>
      <c r="C55" s="22" t="s">
        <v>112</v>
      </c>
      <c r="D55" s="22">
        <v>8105</v>
      </c>
      <c r="E55" s="22" t="s">
        <v>63</v>
      </c>
      <c r="F55" s="22" t="s">
        <v>64</v>
      </c>
      <c r="G55" t="s">
        <v>63</v>
      </c>
      <c r="H55" t="s">
        <v>63</v>
      </c>
      <c r="I55" t="s">
        <v>63</v>
      </c>
    </row>
    <row r="56" spans="2:9" x14ac:dyDescent="0.25">
      <c r="B56" s="22" t="s">
        <v>61</v>
      </c>
      <c r="C56" s="22" t="s">
        <v>113</v>
      </c>
      <c r="D56" s="22">
        <v>8105</v>
      </c>
      <c r="E56" s="22" t="s">
        <v>63</v>
      </c>
      <c r="F56" s="22" t="s">
        <v>64</v>
      </c>
      <c r="G56" t="s">
        <v>63</v>
      </c>
      <c r="H56" t="s">
        <v>63</v>
      </c>
      <c r="I56" t="s">
        <v>63</v>
      </c>
    </row>
    <row r="57" spans="2:9" x14ac:dyDescent="0.25">
      <c r="B57" s="22" t="s">
        <v>61</v>
      </c>
      <c r="C57" s="22" t="s">
        <v>114</v>
      </c>
      <c r="D57" s="22">
        <v>8105</v>
      </c>
      <c r="E57" s="22" t="s">
        <v>63</v>
      </c>
      <c r="F57" s="22" t="s">
        <v>64</v>
      </c>
      <c r="G57" t="s">
        <v>63</v>
      </c>
      <c r="H57" t="s">
        <v>63</v>
      </c>
      <c r="I57" t="s">
        <v>63</v>
      </c>
    </row>
    <row r="58" spans="2:9" x14ac:dyDescent="0.25">
      <c r="B58" s="22" t="s">
        <v>61</v>
      </c>
      <c r="C58" s="22" t="s">
        <v>115</v>
      </c>
      <c r="D58" s="22">
        <v>8105</v>
      </c>
      <c r="E58" s="22" t="s">
        <v>63</v>
      </c>
      <c r="F58" s="22" t="s">
        <v>64</v>
      </c>
      <c r="G58" t="s">
        <v>63</v>
      </c>
      <c r="H58" t="s">
        <v>63</v>
      </c>
      <c r="I58" t="s">
        <v>63</v>
      </c>
    </row>
    <row r="59" spans="2:9" x14ac:dyDescent="0.25">
      <c r="B59" s="22" t="s">
        <v>61</v>
      </c>
      <c r="C59" s="22" t="s">
        <v>116</v>
      </c>
      <c r="D59" s="22">
        <v>8105</v>
      </c>
      <c r="E59" s="22" t="s">
        <v>63</v>
      </c>
      <c r="F59" s="22" t="s">
        <v>64</v>
      </c>
      <c r="G59" t="s">
        <v>63</v>
      </c>
      <c r="H59" t="s">
        <v>63</v>
      </c>
      <c r="I59" t="s">
        <v>63</v>
      </c>
    </row>
    <row r="60" spans="2:9" x14ac:dyDescent="0.25">
      <c r="B60" s="22" t="s">
        <v>61</v>
      </c>
      <c r="C60" s="22" t="s">
        <v>117</v>
      </c>
      <c r="D60" s="22">
        <v>8105</v>
      </c>
      <c r="E60" s="22" t="s">
        <v>63</v>
      </c>
      <c r="F60" s="22" t="s">
        <v>64</v>
      </c>
      <c r="G60" t="s">
        <v>63</v>
      </c>
      <c r="H60" t="s">
        <v>63</v>
      </c>
      <c r="I60" t="s">
        <v>63</v>
      </c>
    </row>
    <row r="61" spans="2:9" x14ac:dyDescent="0.25">
      <c r="B61" s="22" t="s">
        <v>61</v>
      </c>
      <c r="C61" s="22" t="s">
        <v>118</v>
      </c>
      <c r="D61" s="22">
        <v>8105</v>
      </c>
      <c r="E61" s="22" t="s">
        <v>63</v>
      </c>
      <c r="F61" s="22" t="s">
        <v>64</v>
      </c>
      <c r="G61" t="s">
        <v>63</v>
      </c>
      <c r="H61" t="s">
        <v>63</v>
      </c>
      <c r="I61" t="s">
        <v>63</v>
      </c>
    </row>
    <row r="62" spans="2:9" x14ac:dyDescent="0.25">
      <c r="B62" s="22" t="s">
        <v>61</v>
      </c>
      <c r="C62" s="22" t="s">
        <v>119</v>
      </c>
      <c r="D62" s="22">
        <v>8105</v>
      </c>
      <c r="E62" s="22" t="s">
        <v>63</v>
      </c>
      <c r="F62" s="22" t="s">
        <v>64</v>
      </c>
      <c r="G62" t="s">
        <v>63</v>
      </c>
      <c r="H62" t="s">
        <v>63</v>
      </c>
      <c r="I62" t="s">
        <v>63</v>
      </c>
    </row>
    <row r="63" spans="2:9" x14ac:dyDescent="0.25">
      <c r="B63" s="22" t="s">
        <v>61</v>
      </c>
      <c r="C63" s="22" t="s">
        <v>120</v>
      </c>
      <c r="D63" s="22">
        <v>8105</v>
      </c>
      <c r="E63" s="22" t="s">
        <v>63</v>
      </c>
      <c r="F63" s="22" t="s">
        <v>64</v>
      </c>
      <c r="G63" t="s">
        <v>63</v>
      </c>
      <c r="H63" t="s">
        <v>63</v>
      </c>
      <c r="I63" t="s">
        <v>63</v>
      </c>
    </row>
    <row r="64" spans="2:9" x14ac:dyDescent="0.25">
      <c r="B64" s="22" t="s">
        <v>61</v>
      </c>
      <c r="C64" s="22" t="s">
        <v>121</v>
      </c>
      <c r="D64" s="22">
        <v>8105</v>
      </c>
      <c r="E64" s="22" t="s">
        <v>63</v>
      </c>
      <c r="F64" s="22" t="s">
        <v>64</v>
      </c>
      <c r="G64" t="s">
        <v>63</v>
      </c>
      <c r="H64" t="s">
        <v>63</v>
      </c>
      <c r="I64" t="s">
        <v>63</v>
      </c>
    </row>
    <row r="65" spans="2:9" x14ac:dyDescent="0.25">
      <c r="B65" s="22" t="s">
        <v>61</v>
      </c>
      <c r="C65" s="22" t="s">
        <v>122</v>
      </c>
      <c r="D65" s="22">
        <v>8105</v>
      </c>
      <c r="E65" s="22" t="s">
        <v>63</v>
      </c>
      <c r="F65" s="22" t="s">
        <v>64</v>
      </c>
      <c r="G65" t="s">
        <v>63</v>
      </c>
      <c r="H65" t="s">
        <v>63</v>
      </c>
      <c r="I65" t="s">
        <v>63</v>
      </c>
    </row>
    <row r="66" spans="2:9" x14ac:dyDescent="0.25">
      <c r="B66" s="22" t="s">
        <v>61</v>
      </c>
      <c r="C66" s="22" t="s">
        <v>123</v>
      </c>
      <c r="D66" s="22">
        <v>8105</v>
      </c>
      <c r="E66" s="22" t="s">
        <v>63</v>
      </c>
      <c r="F66" s="22" t="s">
        <v>64</v>
      </c>
      <c r="G66" t="s">
        <v>63</v>
      </c>
      <c r="H66" t="s">
        <v>63</v>
      </c>
      <c r="I66" t="s">
        <v>63</v>
      </c>
    </row>
    <row r="67" spans="2:9" x14ac:dyDescent="0.25">
      <c r="B67" s="22" t="s">
        <v>61</v>
      </c>
      <c r="C67" s="22" t="s">
        <v>124</v>
      </c>
      <c r="D67" s="22">
        <v>8105</v>
      </c>
      <c r="E67" s="22" t="s">
        <v>63</v>
      </c>
      <c r="F67" s="22" t="s">
        <v>64</v>
      </c>
      <c r="G67" t="s">
        <v>63</v>
      </c>
      <c r="H67" t="s">
        <v>63</v>
      </c>
      <c r="I67" t="s">
        <v>63</v>
      </c>
    </row>
    <row r="68" spans="2:9" x14ac:dyDescent="0.25">
      <c r="B68" s="22" t="s">
        <v>61</v>
      </c>
      <c r="C68" s="22" t="s">
        <v>125</v>
      </c>
      <c r="D68" s="22">
        <v>8105</v>
      </c>
      <c r="E68" s="22" t="s">
        <v>63</v>
      </c>
      <c r="F68" s="22" t="s">
        <v>64</v>
      </c>
      <c r="G68" t="s">
        <v>63</v>
      </c>
      <c r="H68" t="s">
        <v>63</v>
      </c>
      <c r="I68" t="s">
        <v>63</v>
      </c>
    </row>
    <row r="69" spans="2:9" x14ac:dyDescent="0.25">
      <c r="B69" s="22" t="s">
        <v>61</v>
      </c>
      <c r="C69" s="22" t="s">
        <v>126</v>
      </c>
      <c r="D69" s="22">
        <v>8105</v>
      </c>
      <c r="E69" s="22" t="s">
        <v>63</v>
      </c>
      <c r="F69" s="22" t="s">
        <v>64</v>
      </c>
      <c r="G69" t="s">
        <v>63</v>
      </c>
      <c r="H69" t="s">
        <v>63</v>
      </c>
      <c r="I69" t="s">
        <v>63</v>
      </c>
    </row>
    <row r="70" spans="2:9" x14ac:dyDescent="0.25">
      <c r="B70" s="22" t="s">
        <v>61</v>
      </c>
      <c r="C70" s="22" t="s">
        <v>127</v>
      </c>
      <c r="D70" s="22">
        <v>8105</v>
      </c>
      <c r="E70" s="22" t="s">
        <v>63</v>
      </c>
      <c r="F70" s="22" t="s">
        <v>64</v>
      </c>
      <c r="G70" t="s">
        <v>63</v>
      </c>
      <c r="H70" t="s">
        <v>63</v>
      </c>
      <c r="I70" t="s">
        <v>63</v>
      </c>
    </row>
    <row r="71" spans="2:9" x14ac:dyDescent="0.25">
      <c r="B71" s="22" t="s">
        <v>61</v>
      </c>
      <c r="C71" s="22" t="s">
        <v>128</v>
      </c>
      <c r="D71" s="22">
        <v>8105</v>
      </c>
      <c r="E71" s="22" t="s">
        <v>63</v>
      </c>
      <c r="F71" s="22" t="s">
        <v>64</v>
      </c>
      <c r="G71" t="s">
        <v>63</v>
      </c>
      <c r="H71" t="s">
        <v>63</v>
      </c>
      <c r="I71" t="s">
        <v>63</v>
      </c>
    </row>
    <row r="72" spans="2:9" x14ac:dyDescent="0.25">
      <c r="B72" s="22" t="s">
        <v>61</v>
      </c>
      <c r="C72" s="22" t="s">
        <v>129</v>
      </c>
      <c r="D72" s="22">
        <v>8105</v>
      </c>
      <c r="E72" s="22" t="s">
        <v>63</v>
      </c>
      <c r="F72" s="22" t="s">
        <v>64</v>
      </c>
      <c r="G72" t="s">
        <v>63</v>
      </c>
      <c r="H72" t="s">
        <v>63</v>
      </c>
      <c r="I72" t="s">
        <v>63</v>
      </c>
    </row>
    <row r="73" spans="2:9" x14ac:dyDescent="0.25">
      <c r="B73" s="22" t="s">
        <v>61</v>
      </c>
      <c r="C73" s="22" t="s">
        <v>130</v>
      </c>
      <c r="D73" s="22">
        <v>8105</v>
      </c>
      <c r="E73" s="22" t="s">
        <v>63</v>
      </c>
      <c r="F73" s="22" t="s">
        <v>64</v>
      </c>
      <c r="G73" t="s">
        <v>63</v>
      </c>
      <c r="H73" t="s">
        <v>63</v>
      </c>
      <c r="I73" t="s">
        <v>63</v>
      </c>
    </row>
    <row r="74" spans="2:9" x14ac:dyDescent="0.25">
      <c r="B74" s="22" t="s">
        <v>61</v>
      </c>
      <c r="C74" s="22" t="s">
        <v>131</v>
      </c>
      <c r="D74" s="22">
        <v>8105</v>
      </c>
      <c r="E74" s="22" t="s">
        <v>63</v>
      </c>
      <c r="F74" s="22" t="s">
        <v>64</v>
      </c>
      <c r="G74" t="s">
        <v>63</v>
      </c>
      <c r="H74" t="s">
        <v>63</v>
      </c>
      <c r="I74" t="s">
        <v>63</v>
      </c>
    </row>
    <row r="75" spans="2:9" x14ac:dyDescent="0.25">
      <c r="B75" s="22" t="s">
        <v>61</v>
      </c>
      <c r="C75" s="22" t="s">
        <v>132</v>
      </c>
      <c r="D75" s="22">
        <v>8105</v>
      </c>
      <c r="E75" s="22" t="s">
        <v>63</v>
      </c>
      <c r="F75" s="22" t="s">
        <v>64</v>
      </c>
      <c r="G75" t="s">
        <v>63</v>
      </c>
      <c r="H75" t="s">
        <v>63</v>
      </c>
      <c r="I75" t="s">
        <v>63</v>
      </c>
    </row>
    <row r="76" spans="2:9" x14ac:dyDescent="0.25">
      <c r="B76" s="22" t="s">
        <v>61</v>
      </c>
      <c r="C76" s="22" t="s">
        <v>133</v>
      </c>
      <c r="D76" s="22">
        <v>8105</v>
      </c>
      <c r="E76" s="22" t="s">
        <v>63</v>
      </c>
      <c r="F76" s="22" t="s">
        <v>64</v>
      </c>
      <c r="G76" t="s">
        <v>63</v>
      </c>
      <c r="H76" t="s">
        <v>63</v>
      </c>
      <c r="I76" t="s">
        <v>63</v>
      </c>
    </row>
    <row r="77" spans="2:9" x14ac:dyDescent="0.25">
      <c r="B77" s="22" t="s">
        <v>61</v>
      </c>
      <c r="C77" s="22" t="s">
        <v>134</v>
      </c>
      <c r="D77" s="22">
        <v>8105</v>
      </c>
      <c r="E77" s="22" t="s">
        <v>63</v>
      </c>
      <c r="F77" s="22" t="s">
        <v>64</v>
      </c>
      <c r="G77" t="s">
        <v>63</v>
      </c>
      <c r="H77" t="s">
        <v>63</v>
      </c>
      <c r="I77" t="s">
        <v>63</v>
      </c>
    </row>
    <row r="78" spans="2:9" x14ac:dyDescent="0.25">
      <c r="B78" s="22" t="s">
        <v>61</v>
      </c>
      <c r="C78" s="22" t="s">
        <v>135</v>
      </c>
      <c r="D78" s="22">
        <v>8105</v>
      </c>
      <c r="E78" s="22" t="s">
        <v>63</v>
      </c>
      <c r="F78" s="22" t="s">
        <v>64</v>
      </c>
      <c r="G78" t="s">
        <v>63</v>
      </c>
      <c r="H78" t="s">
        <v>63</v>
      </c>
      <c r="I78" t="s">
        <v>63</v>
      </c>
    </row>
    <row r="79" spans="2:9" x14ac:dyDescent="0.25">
      <c r="B79" s="22" t="s">
        <v>61</v>
      </c>
      <c r="C79" s="22" t="s">
        <v>136</v>
      </c>
      <c r="D79" s="22">
        <v>8105</v>
      </c>
      <c r="E79" s="22" t="s">
        <v>63</v>
      </c>
      <c r="F79" s="22" t="s">
        <v>64</v>
      </c>
      <c r="G79" t="s">
        <v>63</v>
      </c>
      <c r="H79" t="s">
        <v>63</v>
      </c>
      <c r="I79" t="s">
        <v>63</v>
      </c>
    </row>
    <row r="80" spans="2:9" x14ac:dyDescent="0.25">
      <c r="B80" s="22" t="s">
        <v>61</v>
      </c>
      <c r="C80" s="22" t="s">
        <v>137</v>
      </c>
      <c r="D80" s="22">
        <v>8105</v>
      </c>
      <c r="E80" s="22" t="s">
        <v>63</v>
      </c>
      <c r="F80" s="22" t="s">
        <v>64</v>
      </c>
      <c r="G80" t="s">
        <v>63</v>
      </c>
      <c r="H80" t="s">
        <v>63</v>
      </c>
      <c r="I80" t="s">
        <v>63</v>
      </c>
    </row>
    <row r="81" spans="2:9" x14ac:dyDescent="0.25">
      <c r="B81" s="22" t="s">
        <v>61</v>
      </c>
      <c r="C81" s="22" t="s">
        <v>138</v>
      </c>
      <c r="D81" s="22">
        <v>8105</v>
      </c>
      <c r="E81" s="22" t="s">
        <v>63</v>
      </c>
      <c r="F81" s="22" t="s">
        <v>64</v>
      </c>
      <c r="G81" t="s">
        <v>63</v>
      </c>
      <c r="H81" t="s">
        <v>63</v>
      </c>
      <c r="I81" t="s">
        <v>63</v>
      </c>
    </row>
    <row r="82" spans="2:9" x14ac:dyDescent="0.25">
      <c r="B82" s="22" t="s">
        <v>61</v>
      </c>
      <c r="C82" s="22" t="s">
        <v>139</v>
      </c>
      <c r="D82" s="22">
        <v>8105</v>
      </c>
      <c r="E82" s="22" t="s">
        <v>63</v>
      </c>
      <c r="F82" s="22" t="s">
        <v>64</v>
      </c>
      <c r="G82" t="s">
        <v>63</v>
      </c>
      <c r="H82" t="s">
        <v>63</v>
      </c>
      <c r="I82" t="s">
        <v>63</v>
      </c>
    </row>
    <row r="83" spans="2:9" x14ac:dyDescent="0.25">
      <c r="B83" s="22" t="s">
        <v>61</v>
      </c>
      <c r="C83" s="22" t="s">
        <v>140</v>
      </c>
      <c r="D83" s="22">
        <v>8105</v>
      </c>
      <c r="E83" s="22" t="s">
        <v>63</v>
      </c>
      <c r="F83" s="22" t="s">
        <v>64</v>
      </c>
      <c r="G83" t="s">
        <v>63</v>
      </c>
      <c r="H83" t="s">
        <v>63</v>
      </c>
      <c r="I83" t="s">
        <v>63</v>
      </c>
    </row>
    <row r="84" spans="2:9" x14ac:dyDescent="0.25">
      <c r="B84" s="22" t="s">
        <v>61</v>
      </c>
      <c r="C84" s="22" t="s">
        <v>141</v>
      </c>
      <c r="D84" s="22">
        <v>8105</v>
      </c>
      <c r="E84" s="22" t="s">
        <v>63</v>
      </c>
      <c r="F84" s="22" t="s">
        <v>64</v>
      </c>
      <c r="G84" t="s">
        <v>63</v>
      </c>
      <c r="H84" t="s">
        <v>63</v>
      </c>
      <c r="I84" t="s">
        <v>63</v>
      </c>
    </row>
    <row r="85" spans="2:9" x14ac:dyDescent="0.25">
      <c r="B85" s="22" t="s">
        <v>61</v>
      </c>
      <c r="C85" s="22" t="s">
        <v>142</v>
      </c>
      <c r="D85" s="22">
        <v>8105</v>
      </c>
      <c r="E85" s="22" t="s">
        <v>63</v>
      </c>
      <c r="F85" s="22" t="s">
        <v>64</v>
      </c>
      <c r="G85" t="s">
        <v>63</v>
      </c>
      <c r="H85" t="s">
        <v>63</v>
      </c>
      <c r="I85" t="s">
        <v>63</v>
      </c>
    </row>
    <row r="86" spans="2:9" x14ac:dyDescent="0.25">
      <c r="B86" s="22" t="s">
        <v>61</v>
      </c>
      <c r="C86" s="22" t="s">
        <v>143</v>
      </c>
      <c r="D86" s="22">
        <v>8105</v>
      </c>
      <c r="E86" s="22" t="s">
        <v>63</v>
      </c>
      <c r="F86" s="22" t="s">
        <v>64</v>
      </c>
      <c r="G86" t="s">
        <v>63</v>
      </c>
      <c r="H86" t="s">
        <v>63</v>
      </c>
      <c r="I86" t="s">
        <v>63</v>
      </c>
    </row>
    <row r="87" spans="2:9" x14ac:dyDescent="0.25">
      <c r="B87" s="22" t="s">
        <v>61</v>
      </c>
      <c r="C87" s="22" t="s">
        <v>144</v>
      </c>
      <c r="D87" s="22">
        <v>8105</v>
      </c>
      <c r="E87" s="22" t="s">
        <v>63</v>
      </c>
      <c r="F87" s="22" t="s">
        <v>64</v>
      </c>
      <c r="G87" t="s">
        <v>63</v>
      </c>
      <c r="H87" t="s">
        <v>63</v>
      </c>
      <c r="I87" t="s">
        <v>63</v>
      </c>
    </row>
    <row r="88" spans="2:9" x14ac:dyDescent="0.25">
      <c r="B88" s="22" t="s">
        <v>61</v>
      </c>
      <c r="C88" s="22" t="s">
        <v>145</v>
      </c>
      <c r="D88" s="22">
        <v>8105</v>
      </c>
      <c r="E88" s="22" t="s">
        <v>63</v>
      </c>
      <c r="F88" s="22" t="s">
        <v>64</v>
      </c>
      <c r="G88" t="s">
        <v>63</v>
      </c>
      <c r="H88" t="s">
        <v>63</v>
      </c>
      <c r="I88" t="s">
        <v>63</v>
      </c>
    </row>
    <row r="89" spans="2:9" x14ac:dyDescent="0.25">
      <c r="B89" s="22" t="s">
        <v>61</v>
      </c>
      <c r="C89" s="22" t="s">
        <v>146</v>
      </c>
      <c r="D89" s="22">
        <v>8105</v>
      </c>
      <c r="E89" s="22" t="s">
        <v>63</v>
      </c>
      <c r="F89" s="22" t="s">
        <v>64</v>
      </c>
      <c r="G89" t="s">
        <v>63</v>
      </c>
      <c r="H89" t="s">
        <v>63</v>
      </c>
      <c r="I89" t="s">
        <v>63</v>
      </c>
    </row>
    <row r="90" spans="2:9" x14ac:dyDescent="0.25">
      <c r="B90" s="22" t="s">
        <v>61</v>
      </c>
      <c r="C90" s="22" t="s">
        <v>147</v>
      </c>
      <c r="D90" s="22">
        <v>8105</v>
      </c>
      <c r="E90" s="22" t="s">
        <v>63</v>
      </c>
      <c r="F90" s="22" t="s">
        <v>64</v>
      </c>
      <c r="G90" t="s">
        <v>63</v>
      </c>
      <c r="H90" t="s">
        <v>63</v>
      </c>
      <c r="I90" t="s">
        <v>63</v>
      </c>
    </row>
    <row r="91" spans="2:9" x14ac:dyDescent="0.25">
      <c r="B91" s="22" t="s">
        <v>61</v>
      </c>
      <c r="C91" s="22" t="s">
        <v>148</v>
      </c>
      <c r="D91" s="22">
        <v>8105</v>
      </c>
      <c r="E91" s="22" t="s">
        <v>63</v>
      </c>
      <c r="F91" s="22" t="s">
        <v>64</v>
      </c>
      <c r="G91" t="s">
        <v>63</v>
      </c>
      <c r="H91" t="s">
        <v>63</v>
      </c>
      <c r="I91" t="s">
        <v>63</v>
      </c>
    </row>
    <row r="92" spans="2:9" x14ac:dyDescent="0.25">
      <c r="B92" s="22" t="s">
        <v>61</v>
      </c>
      <c r="C92" s="22" t="s">
        <v>149</v>
      </c>
      <c r="D92" s="22">
        <v>8105</v>
      </c>
      <c r="E92" s="22" t="s">
        <v>63</v>
      </c>
      <c r="F92" s="22" t="s">
        <v>64</v>
      </c>
      <c r="G92" t="s">
        <v>63</v>
      </c>
      <c r="H92" t="s">
        <v>63</v>
      </c>
      <c r="I92" t="s">
        <v>63</v>
      </c>
    </row>
    <row r="93" spans="2:9" x14ac:dyDescent="0.25">
      <c r="B93" s="22" t="s">
        <v>61</v>
      </c>
      <c r="C93" s="22" t="s">
        <v>150</v>
      </c>
      <c r="D93" s="22">
        <v>8105</v>
      </c>
      <c r="E93" s="22" t="s">
        <v>63</v>
      </c>
      <c r="F93" s="22" t="s">
        <v>64</v>
      </c>
      <c r="G93" t="s">
        <v>63</v>
      </c>
      <c r="H93" t="s">
        <v>63</v>
      </c>
      <c r="I93" t="s">
        <v>63</v>
      </c>
    </row>
    <row r="94" spans="2:9" x14ac:dyDescent="0.25">
      <c r="B94" s="22" t="s">
        <v>61</v>
      </c>
      <c r="C94" s="22" t="s">
        <v>151</v>
      </c>
      <c r="D94" s="22">
        <v>8105</v>
      </c>
      <c r="E94" s="22" t="s">
        <v>63</v>
      </c>
      <c r="F94" s="22" t="s">
        <v>64</v>
      </c>
      <c r="G94" t="s">
        <v>63</v>
      </c>
      <c r="H94" t="s">
        <v>63</v>
      </c>
      <c r="I94" t="s">
        <v>63</v>
      </c>
    </row>
    <row r="95" spans="2:9" x14ac:dyDescent="0.25">
      <c r="B95" s="22" t="s">
        <v>61</v>
      </c>
      <c r="C95" s="22" t="s">
        <v>152</v>
      </c>
      <c r="D95" s="22">
        <v>8105</v>
      </c>
      <c r="E95" s="22" t="s">
        <v>63</v>
      </c>
      <c r="F95" s="22" t="s">
        <v>64</v>
      </c>
      <c r="G95" t="s">
        <v>63</v>
      </c>
      <c r="H95" t="s">
        <v>63</v>
      </c>
      <c r="I95" t="s">
        <v>63</v>
      </c>
    </row>
    <row r="96" spans="2:9" x14ac:dyDescent="0.25">
      <c r="B96" s="22" t="s">
        <v>61</v>
      </c>
      <c r="C96" s="22" t="s">
        <v>153</v>
      </c>
      <c r="D96" s="22">
        <v>8105</v>
      </c>
      <c r="E96" s="22" t="s">
        <v>63</v>
      </c>
      <c r="F96" s="22" t="s">
        <v>64</v>
      </c>
      <c r="G96" t="s">
        <v>63</v>
      </c>
      <c r="H96" t="s">
        <v>63</v>
      </c>
      <c r="I96" t="s">
        <v>63</v>
      </c>
    </row>
    <row r="97" spans="2:9" x14ac:dyDescent="0.25">
      <c r="B97" s="22" t="s">
        <v>61</v>
      </c>
      <c r="C97" s="22" t="s">
        <v>154</v>
      </c>
      <c r="D97" s="22">
        <v>8105</v>
      </c>
      <c r="E97" s="22" t="s">
        <v>63</v>
      </c>
      <c r="F97" s="22" t="s">
        <v>64</v>
      </c>
      <c r="G97" t="s">
        <v>63</v>
      </c>
      <c r="H97" t="s">
        <v>63</v>
      </c>
      <c r="I97" t="s">
        <v>63</v>
      </c>
    </row>
    <row r="98" spans="2:9" x14ac:dyDescent="0.25">
      <c r="B98" s="22" t="s">
        <v>61</v>
      </c>
      <c r="C98" s="22" t="s">
        <v>155</v>
      </c>
      <c r="D98" s="22">
        <v>8105</v>
      </c>
      <c r="E98" s="22" t="s">
        <v>63</v>
      </c>
      <c r="F98" s="22" t="s">
        <v>64</v>
      </c>
      <c r="G98" t="s">
        <v>63</v>
      </c>
      <c r="H98" t="s">
        <v>63</v>
      </c>
      <c r="I98" t="s">
        <v>63</v>
      </c>
    </row>
    <row r="99" spans="2:9" x14ac:dyDescent="0.25">
      <c r="B99" s="22" t="s">
        <v>61</v>
      </c>
      <c r="C99" s="22" t="s">
        <v>156</v>
      </c>
      <c r="D99" s="22">
        <v>8105</v>
      </c>
      <c r="E99" s="22" t="s">
        <v>63</v>
      </c>
      <c r="F99" s="22" t="s">
        <v>64</v>
      </c>
      <c r="G99" t="s">
        <v>63</v>
      </c>
      <c r="H99" t="s">
        <v>63</v>
      </c>
      <c r="I99" t="s">
        <v>63</v>
      </c>
    </row>
    <row r="100" spans="2:9" x14ac:dyDescent="0.25">
      <c r="B100" s="22" t="s">
        <v>61</v>
      </c>
      <c r="C100" s="22" t="s">
        <v>157</v>
      </c>
      <c r="D100" s="22">
        <v>8105</v>
      </c>
      <c r="E100" s="22" t="s">
        <v>63</v>
      </c>
      <c r="F100" s="22" t="s">
        <v>64</v>
      </c>
      <c r="G100" t="s">
        <v>63</v>
      </c>
      <c r="H100" t="s">
        <v>63</v>
      </c>
      <c r="I100" t="s">
        <v>63</v>
      </c>
    </row>
    <row r="101" spans="2:9" x14ac:dyDescent="0.25">
      <c r="B101" s="22" t="s">
        <v>61</v>
      </c>
      <c r="C101" s="22" t="s">
        <v>158</v>
      </c>
      <c r="D101" s="22">
        <v>8105</v>
      </c>
      <c r="E101" s="22" t="s">
        <v>63</v>
      </c>
      <c r="F101" s="22" t="s">
        <v>64</v>
      </c>
      <c r="G101" t="s">
        <v>63</v>
      </c>
      <c r="H101" t="s">
        <v>63</v>
      </c>
      <c r="I101" t="s">
        <v>63</v>
      </c>
    </row>
    <row r="102" spans="2:9" x14ac:dyDescent="0.25">
      <c r="B102" s="22" t="s">
        <v>61</v>
      </c>
      <c r="C102" s="22" t="s">
        <v>159</v>
      </c>
      <c r="D102" s="22">
        <v>8105</v>
      </c>
      <c r="E102" s="22" t="s">
        <v>63</v>
      </c>
      <c r="F102" s="22" t="s">
        <v>64</v>
      </c>
      <c r="G102" t="s">
        <v>63</v>
      </c>
      <c r="H102" t="s">
        <v>63</v>
      </c>
      <c r="I102" t="s">
        <v>63</v>
      </c>
    </row>
    <row r="103" spans="2:9" x14ac:dyDescent="0.25">
      <c r="B103" s="22" t="s">
        <v>61</v>
      </c>
      <c r="C103" s="22" t="s">
        <v>160</v>
      </c>
      <c r="D103" s="22">
        <v>8105</v>
      </c>
      <c r="E103" s="22" t="s">
        <v>63</v>
      </c>
      <c r="F103" s="22" t="s">
        <v>64</v>
      </c>
      <c r="G103" t="s">
        <v>63</v>
      </c>
      <c r="H103" t="s">
        <v>63</v>
      </c>
      <c r="I103" t="s">
        <v>63</v>
      </c>
    </row>
    <row r="104" spans="2:9" x14ac:dyDescent="0.25">
      <c r="B104" s="22" t="s">
        <v>61</v>
      </c>
      <c r="C104" s="22" t="s">
        <v>161</v>
      </c>
      <c r="D104" s="22">
        <v>8105</v>
      </c>
      <c r="E104" s="22" t="s">
        <v>63</v>
      </c>
      <c r="F104" s="22" t="s">
        <v>64</v>
      </c>
      <c r="G104" t="s">
        <v>63</v>
      </c>
      <c r="H104" t="s">
        <v>63</v>
      </c>
      <c r="I104" t="s">
        <v>63</v>
      </c>
    </row>
    <row r="105" spans="2:9" x14ac:dyDescent="0.25">
      <c r="B105" s="22" t="s">
        <v>61</v>
      </c>
      <c r="C105" s="22" t="s">
        <v>162</v>
      </c>
      <c r="D105" s="22">
        <v>8105</v>
      </c>
      <c r="E105" s="22" t="s">
        <v>63</v>
      </c>
      <c r="F105" s="22" t="s">
        <v>64</v>
      </c>
      <c r="G105" t="s">
        <v>63</v>
      </c>
      <c r="H105" t="s">
        <v>63</v>
      </c>
      <c r="I105" t="s">
        <v>63</v>
      </c>
    </row>
    <row r="106" spans="2:9" x14ac:dyDescent="0.25">
      <c r="B106" s="22" t="s">
        <v>61</v>
      </c>
      <c r="C106" s="22" t="s">
        <v>163</v>
      </c>
      <c r="D106" s="22">
        <v>8105</v>
      </c>
      <c r="E106" s="22" t="s">
        <v>63</v>
      </c>
      <c r="F106" s="22" t="s">
        <v>64</v>
      </c>
      <c r="G106" t="s">
        <v>63</v>
      </c>
      <c r="H106" t="s">
        <v>63</v>
      </c>
      <c r="I106" t="s">
        <v>63</v>
      </c>
    </row>
    <row r="107" spans="2:9" x14ac:dyDescent="0.25">
      <c r="B107" s="22" t="s">
        <v>61</v>
      </c>
      <c r="C107" s="22" t="s">
        <v>164</v>
      </c>
      <c r="D107" s="22">
        <v>8105</v>
      </c>
      <c r="E107" s="22" t="s">
        <v>63</v>
      </c>
      <c r="F107" s="22" t="s">
        <v>64</v>
      </c>
      <c r="G107" t="s">
        <v>63</v>
      </c>
      <c r="H107" t="s">
        <v>63</v>
      </c>
      <c r="I107" t="s">
        <v>63</v>
      </c>
    </row>
    <row r="108" spans="2:9" x14ac:dyDescent="0.25">
      <c r="B108" s="22" t="s">
        <v>61</v>
      </c>
      <c r="C108" s="22" t="s">
        <v>165</v>
      </c>
      <c r="D108" s="22">
        <v>8105</v>
      </c>
      <c r="E108" s="22" t="s">
        <v>63</v>
      </c>
      <c r="F108" s="22" t="s">
        <v>64</v>
      </c>
      <c r="G108" t="s">
        <v>63</v>
      </c>
      <c r="H108" t="s">
        <v>63</v>
      </c>
      <c r="I108" t="s">
        <v>63</v>
      </c>
    </row>
    <row r="109" spans="2:9" x14ac:dyDescent="0.25">
      <c r="B109" s="22" t="s">
        <v>61</v>
      </c>
      <c r="C109" s="22" t="s">
        <v>166</v>
      </c>
      <c r="D109" s="22">
        <v>8105</v>
      </c>
      <c r="E109" s="22" t="s">
        <v>63</v>
      </c>
      <c r="F109" s="22" t="s">
        <v>64</v>
      </c>
      <c r="G109" t="s">
        <v>63</v>
      </c>
      <c r="H109" t="s">
        <v>63</v>
      </c>
      <c r="I109" t="s">
        <v>63</v>
      </c>
    </row>
    <row r="110" spans="2:9" x14ac:dyDescent="0.25">
      <c r="B110" s="22" t="s">
        <v>61</v>
      </c>
      <c r="C110" s="22" t="s">
        <v>167</v>
      </c>
      <c r="D110" s="22">
        <v>8105</v>
      </c>
      <c r="E110" s="22" t="s">
        <v>63</v>
      </c>
      <c r="F110" s="22" t="s">
        <v>64</v>
      </c>
      <c r="G110" t="s">
        <v>63</v>
      </c>
      <c r="H110" t="s">
        <v>63</v>
      </c>
      <c r="I110" t="s">
        <v>63</v>
      </c>
    </row>
    <row r="111" spans="2:9" x14ac:dyDescent="0.25">
      <c r="B111" s="22" t="s">
        <v>61</v>
      </c>
      <c r="C111" s="22" t="s">
        <v>168</v>
      </c>
      <c r="D111" s="22">
        <v>8105</v>
      </c>
      <c r="E111" s="22" t="s">
        <v>63</v>
      </c>
      <c r="F111" s="22" t="s">
        <v>64</v>
      </c>
      <c r="G111" t="s">
        <v>63</v>
      </c>
      <c r="H111" t="s">
        <v>63</v>
      </c>
      <c r="I111" t="s">
        <v>63</v>
      </c>
    </row>
    <row r="112" spans="2:9" x14ac:dyDescent="0.25">
      <c r="B112" s="22" t="s">
        <v>61</v>
      </c>
      <c r="C112" s="22" t="s">
        <v>169</v>
      </c>
      <c r="D112" s="22">
        <v>8105</v>
      </c>
      <c r="E112" s="22" t="s">
        <v>63</v>
      </c>
      <c r="F112" s="22" t="s">
        <v>64</v>
      </c>
      <c r="G112" t="s">
        <v>63</v>
      </c>
      <c r="H112" t="s">
        <v>63</v>
      </c>
      <c r="I112" t="s">
        <v>63</v>
      </c>
    </row>
    <row r="113" spans="2:9" x14ac:dyDescent="0.25">
      <c r="B113" s="22" t="s">
        <v>61</v>
      </c>
      <c r="C113" s="22" t="s">
        <v>170</v>
      </c>
      <c r="D113" s="22">
        <v>8105</v>
      </c>
      <c r="E113" s="22" t="s">
        <v>63</v>
      </c>
      <c r="F113" s="22" t="s">
        <v>64</v>
      </c>
      <c r="G113" t="s">
        <v>63</v>
      </c>
      <c r="H113" t="s">
        <v>63</v>
      </c>
      <c r="I113" t="s">
        <v>63</v>
      </c>
    </row>
    <row r="114" spans="2:9" x14ac:dyDescent="0.25">
      <c r="B114" s="22" t="s">
        <v>61</v>
      </c>
      <c r="C114" s="22" t="s">
        <v>171</v>
      </c>
      <c r="D114" s="22">
        <v>8105</v>
      </c>
      <c r="E114" s="22" t="s">
        <v>63</v>
      </c>
      <c r="F114" s="22" t="s">
        <v>64</v>
      </c>
      <c r="G114" t="s">
        <v>63</v>
      </c>
      <c r="H114" t="s">
        <v>63</v>
      </c>
      <c r="I114" t="s">
        <v>63</v>
      </c>
    </row>
    <row r="115" spans="2:9" x14ac:dyDescent="0.25">
      <c r="B115" s="22" t="s">
        <v>61</v>
      </c>
      <c r="C115" s="22" t="s">
        <v>172</v>
      </c>
      <c r="D115" s="22">
        <v>8105</v>
      </c>
      <c r="E115" s="22" t="s">
        <v>63</v>
      </c>
      <c r="F115" s="22" t="s">
        <v>64</v>
      </c>
      <c r="G115" t="s">
        <v>63</v>
      </c>
      <c r="H115" t="s">
        <v>63</v>
      </c>
      <c r="I115" t="s">
        <v>63</v>
      </c>
    </row>
    <row r="116" spans="2:9" x14ac:dyDescent="0.25">
      <c r="B116" s="22" t="s">
        <v>61</v>
      </c>
      <c r="C116" s="22" t="s">
        <v>173</v>
      </c>
      <c r="D116" s="22">
        <v>8105</v>
      </c>
      <c r="E116" s="22" t="s">
        <v>63</v>
      </c>
      <c r="F116" s="22" t="s">
        <v>64</v>
      </c>
      <c r="G116" t="s">
        <v>63</v>
      </c>
      <c r="H116" t="s">
        <v>63</v>
      </c>
      <c r="I116" t="s">
        <v>63</v>
      </c>
    </row>
    <row r="117" spans="2:9" x14ac:dyDescent="0.25">
      <c r="B117" s="22" t="s">
        <v>61</v>
      </c>
      <c r="C117" s="22" t="s">
        <v>174</v>
      </c>
      <c r="D117" s="22">
        <v>8105</v>
      </c>
      <c r="E117" s="22" t="s">
        <v>63</v>
      </c>
      <c r="F117" s="22" t="s">
        <v>64</v>
      </c>
      <c r="G117" t="s">
        <v>63</v>
      </c>
      <c r="H117" t="s">
        <v>63</v>
      </c>
      <c r="I117" t="s">
        <v>63</v>
      </c>
    </row>
    <row r="118" spans="2:9" x14ac:dyDescent="0.25">
      <c r="B118" s="22" t="s">
        <v>61</v>
      </c>
      <c r="C118" s="22" t="s">
        <v>175</v>
      </c>
      <c r="D118" s="22">
        <v>8105</v>
      </c>
      <c r="E118" s="22" t="s">
        <v>63</v>
      </c>
      <c r="F118" s="22" t="s">
        <v>64</v>
      </c>
      <c r="G118" t="s">
        <v>63</v>
      </c>
      <c r="H118" t="s">
        <v>63</v>
      </c>
      <c r="I118" t="s">
        <v>63</v>
      </c>
    </row>
    <row r="119" spans="2:9" x14ac:dyDescent="0.25">
      <c r="B119" s="22" t="s">
        <v>61</v>
      </c>
      <c r="C119" s="22" t="s">
        <v>176</v>
      </c>
      <c r="D119" s="22">
        <v>8105</v>
      </c>
      <c r="E119" s="22" t="s">
        <v>63</v>
      </c>
      <c r="F119" s="22" t="s">
        <v>64</v>
      </c>
      <c r="G119" t="s">
        <v>63</v>
      </c>
      <c r="H119" t="s">
        <v>63</v>
      </c>
      <c r="I119" t="s">
        <v>63</v>
      </c>
    </row>
    <row r="120" spans="2:9" x14ac:dyDescent="0.25">
      <c r="B120" s="22" t="s">
        <v>61</v>
      </c>
      <c r="C120" s="22" t="s">
        <v>177</v>
      </c>
      <c r="D120" s="22">
        <v>8105</v>
      </c>
      <c r="E120" s="22" t="s">
        <v>63</v>
      </c>
      <c r="F120" s="22" t="s">
        <v>64</v>
      </c>
      <c r="G120" t="s">
        <v>63</v>
      </c>
      <c r="H120" t="s">
        <v>63</v>
      </c>
      <c r="I120" t="s">
        <v>63</v>
      </c>
    </row>
    <row r="121" spans="2:9" x14ac:dyDescent="0.25">
      <c r="B121" s="22" t="s">
        <v>61</v>
      </c>
      <c r="C121" s="22" t="s">
        <v>178</v>
      </c>
      <c r="D121" s="22">
        <v>8105</v>
      </c>
      <c r="E121" s="22" t="s">
        <v>63</v>
      </c>
      <c r="F121" s="22" t="s">
        <v>64</v>
      </c>
      <c r="G121" t="s">
        <v>63</v>
      </c>
      <c r="H121" t="s">
        <v>63</v>
      </c>
      <c r="I121" t="s">
        <v>63</v>
      </c>
    </row>
    <row r="122" spans="2:9" x14ac:dyDescent="0.25">
      <c r="B122" s="22" t="s">
        <v>61</v>
      </c>
      <c r="C122" s="22" t="s">
        <v>179</v>
      </c>
      <c r="D122" s="22">
        <v>8105</v>
      </c>
      <c r="E122" s="22" t="s">
        <v>63</v>
      </c>
      <c r="F122" s="22" t="s">
        <v>64</v>
      </c>
      <c r="G122" t="s">
        <v>63</v>
      </c>
      <c r="H122" t="s">
        <v>63</v>
      </c>
      <c r="I122" t="s">
        <v>63</v>
      </c>
    </row>
    <row r="123" spans="2:9" x14ac:dyDescent="0.25">
      <c r="B123" s="22" t="s">
        <v>61</v>
      </c>
      <c r="C123" s="22" t="s">
        <v>180</v>
      </c>
      <c r="D123" s="22">
        <v>8105</v>
      </c>
      <c r="E123" s="22" t="s">
        <v>63</v>
      </c>
      <c r="F123" s="22" t="s">
        <v>64</v>
      </c>
      <c r="G123" t="s">
        <v>63</v>
      </c>
      <c r="H123" t="s">
        <v>63</v>
      </c>
      <c r="I123" t="s">
        <v>63</v>
      </c>
    </row>
    <row r="124" spans="2:9" x14ac:dyDescent="0.25">
      <c r="B124" s="22" t="s">
        <v>61</v>
      </c>
      <c r="C124" s="22" t="s">
        <v>181</v>
      </c>
      <c r="D124" s="22">
        <v>8105</v>
      </c>
      <c r="E124" s="22" t="s">
        <v>63</v>
      </c>
      <c r="F124" s="22" t="s">
        <v>64</v>
      </c>
      <c r="G124" t="s">
        <v>63</v>
      </c>
      <c r="H124" t="s">
        <v>63</v>
      </c>
      <c r="I124" t="s">
        <v>63</v>
      </c>
    </row>
    <row r="125" spans="2:9" x14ac:dyDescent="0.25">
      <c r="B125" s="22" t="s">
        <v>61</v>
      </c>
      <c r="C125" s="22" t="s">
        <v>182</v>
      </c>
      <c r="D125" s="22">
        <v>8105</v>
      </c>
      <c r="E125" s="22" t="s">
        <v>63</v>
      </c>
      <c r="F125" s="22" t="s">
        <v>64</v>
      </c>
      <c r="G125" t="s">
        <v>63</v>
      </c>
      <c r="H125" t="s">
        <v>63</v>
      </c>
      <c r="I125" t="s">
        <v>63</v>
      </c>
    </row>
    <row r="126" spans="2:9" x14ac:dyDescent="0.25">
      <c r="B126" s="22" t="s">
        <v>61</v>
      </c>
      <c r="C126" s="22" t="s">
        <v>183</v>
      </c>
      <c r="D126" s="22">
        <v>8105</v>
      </c>
      <c r="E126" s="22" t="s">
        <v>63</v>
      </c>
      <c r="F126" s="22" t="s">
        <v>64</v>
      </c>
      <c r="G126" t="s">
        <v>63</v>
      </c>
      <c r="H126" t="s">
        <v>63</v>
      </c>
      <c r="I126" t="s">
        <v>63</v>
      </c>
    </row>
    <row r="127" spans="2:9" x14ac:dyDescent="0.25">
      <c r="B127" s="22" t="s">
        <v>61</v>
      </c>
      <c r="C127" s="22" t="s">
        <v>184</v>
      </c>
      <c r="D127" s="22">
        <v>8105</v>
      </c>
      <c r="E127" s="22" t="s">
        <v>63</v>
      </c>
      <c r="F127" s="22" t="s">
        <v>64</v>
      </c>
      <c r="G127" t="s">
        <v>63</v>
      </c>
      <c r="H127" t="s">
        <v>63</v>
      </c>
      <c r="I127" t="s">
        <v>63</v>
      </c>
    </row>
    <row r="128" spans="2:9" x14ac:dyDescent="0.25">
      <c r="B128" s="22" t="s">
        <v>61</v>
      </c>
      <c r="C128" s="22" t="s">
        <v>185</v>
      </c>
      <c r="D128" s="22">
        <v>8105</v>
      </c>
      <c r="E128" s="22" t="s">
        <v>63</v>
      </c>
      <c r="F128" s="22" t="s">
        <v>64</v>
      </c>
      <c r="G128" t="s">
        <v>63</v>
      </c>
      <c r="H128" t="s">
        <v>63</v>
      </c>
      <c r="I128" t="s">
        <v>63</v>
      </c>
    </row>
    <row r="129" spans="2:9" x14ac:dyDescent="0.25">
      <c r="B129" s="22" t="s">
        <v>61</v>
      </c>
      <c r="C129" s="22" t="s">
        <v>186</v>
      </c>
      <c r="D129" s="22">
        <v>8105</v>
      </c>
      <c r="E129" s="22" t="s">
        <v>63</v>
      </c>
      <c r="F129" s="22" t="s">
        <v>64</v>
      </c>
      <c r="G129" t="s">
        <v>63</v>
      </c>
      <c r="H129" t="s">
        <v>63</v>
      </c>
      <c r="I129" t="s">
        <v>63</v>
      </c>
    </row>
    <row r="130" spans="2:9" x14ac:dyDescent="0.25">
      <c r="B130" s="22" t="s">
        <v>61</v>
      </c>
      <c r="C130" s="22" t="s">
        <v>187</v>
      </c>
      <c r="D130" s="22">
        <v>8105</v>
      </c>
      <c r="E130" s="22" t="s">
        <v>63</v>
      </c>
      <c r="F130" s="22" t="s">
        <v>64</v>
      </c>
      <c r="G130" t="s">
        <v>63</v>
      </c>
      <c r="H130" t="s">
        <v>63</v>
      </c>
      <c r="I130" t="s">
        <v>63</v>
      </c>
    </row>
    <row r="131" spans="2:9" x14ac:dyDescent="0.25">
      <c r="B131" s="22" t="s">
        <v>61</v>
      </c>
      <c r="C131" s="22" t="s">
        <v>188</v>
      </c>
      <c r="D131" s="22">
        <v>8105</v>
      </c>
      <c r="E131" s="22" t="s">
        <v>63</v>
      </c>
      <c r="F131" s="22" t="s">
        <v>64</v>
      </c>
      <c r="G131" t="s">
        <v>63</v>
      </c>
      <c r="H131" t="s">
        <v>63</v>
      </c>
      <c r="I131" t="s">
        <v>63</v>
      </c>
    </row>
    <row r="132" spans="2:9" x14ac:dyDescent="0.25">
      <c r="B132" s="22" t="s">
        <v>61</v>
      </c>
      <c r="C132" s="22" t="s">
        <v>189</v>
      </c>
      <c r="D132" s="22">
        <v>8105</v>
      </c>
      <c r="E132" s="22" t="s">
        <v>63</v>
      </c>
      <c r="F132" s="22" t="s">
        <v>64</v>
      </c>
      <c r="G132" t="s">
        <v>63</v>
      </c>
      <c r="H132" t="s">
        <v>63</v>
      </c>
      <c r="I132" t="s">
        <v>63</v>
      </c>
    </row>
    <row r="133" spans="2:9" x14ac:dyDescent="0.25">
      <c r="B133" s="22" t="s">
        <v>61</v>
      </c>
      <c r="C133" s="22" t="s">
        <v>190</v>
      </c>
      <c r="D133" s="22">
        <v>8105</v>
      </c>
      <c r="E133" s="22" t="s">
        <v>63</v>
      </c>
      <c r="F133" s="22" t="s">
        <v>64</v>
      </c>
      <c r="G133" t="s">
        <v>63</v>
      </c>
      <c r="H133" t="s">
        <v>63</v>
      </c>
      <c r="I133" t="s">
        <v>63</v>
      </c>
    </row>
    <row r="134" spans="2:9" x14ac:dyDescent="0.25">
      <c r="B134" s="22" t="s">
        <v>61</v>
      </c>
      <c r="C134" s="22" t="s">
        <v>191</v>
      </c>
      <c r="D134" s="22">
        <v>8105</v>
      </c>
      <c r="E134" s="22" t="s">
        <v>63</v>
      </c>
      <c r="F134" s="22" t="s">
        <v>64</v>
      </c>
      <c r="G134" t="s">
        <v>63</v>
      </c>
      <c r="H134" t="s">
        <v>63</v>
      </c>
      <c r="I134" t="s">
        <v>63</v>
      </c>
    </row>
    <row r="135" spans="2:9" x14ac:dyDescent="0.25">
      <c r="B135" s="22" t="s">
        <v>61</v>
      </c>
      <c r="C135" s="22" t="s">
        <v>192</v>
      </c>
      <c r="D135" s="22">
        <v>8105</v>
      </c>
      <c r="E135" s="22" t="s">
        <v>63</v>
      </c>
      <c r="F135" s="22" t="s">
        <v>64</v>
      </c>
      <c r="G135" t="s">
        <v>63</v>
      </c>
      <c r="H135" t="s">
        <v>63</v>
      </c>
      <c r="I135" t="s">
        <v>63</v>
      </c>
    </row>
    <row r="136" spans="2:9" x14ac:dyDescent="0.25">
      <c r="B136" s="22" t="s">
        <v>61</v>
      </c>
      <c r="C136" s="22" t="s">
        <v>193</v>
      </c>
      <c r="D136" s="22">
        <v>8105</v>
      </c>
      <c r="E136" s="22" t="s">
        <v>63</v>
      </c>
      <c r="F136" s="22" t="s">
        <v>64</v>
      </c>
      <c r="G136" t="s">
        <v>63</v>
      </c>
      <c r="H136" t="s">
        <v>63</v>
      </c>
      <c r="I136" t="s">
        <v>63</v>
      </c>
    </row>
    <row r="137" spans="2:9" x14ac:dyDescent="0.25">
      <c r="B137" s="22" t="s">
        <v>61</v>
      </c>
      <c r="C137" s="22" t="s">
        <v>194</v>
      </c>
      <c r="D137" s="22">
        <v>8105</v>
      </c>
      <c r="E137" s="22" t="s">
        <v>63</v>
      </c>
      <c r="F137" s="22" t="s">
        <v>64</v>
      </c>
      <c r="G137" t="s">
        <v>63</v>
      </c>
      <c r="H137" t="s">
        <v>63</v>
      </c>
      <c r="I137" t="s">
        <v>63</v>
      </c>
    </row>
    <row r="138" spans="2:9" x14ac:dyDescent="0.25">
      <c r="B138" s="22" t="s">
        <v>61</v>
      </c>
      <c r="C138" s="22" t="s">
        <v>195</v>
      </c>
      <c r="D138" s="22">
        <v>8105</v>
      </c>
      <c r="E138" s="22" t="s">
        <v>63</v>
      </c>
      <c r="F138" s="22" t="s">
        <v>64</v>
      </c>
      <c r="G138" t="s">
        <v>63</v>
      </c>
      <c r="H138" t="s">
        <v>63</v>
      </c>
      <c r="I138" t="s">
        <v>63</v>
      </c>
    </row>
    <row r="139" spans="2:9" x14ac:dyDescent="0.25">
      <c r="B139" s="22" t="s">
        <v>61</v>
      </c>
      <c r="C139" s="22" t="s">
        <v>196</v>
      </c>
      <c r="D139" s="22">
        <v>8105</v>
      </c>
      <c r="E139" s="22" t="s">
        <v>63</v>
      </c>
      <c r="F139" s="22" t="s">
        <v>64</v>
      </c>
      <c r="G139" t="s">
        <v>63</v>
      </c>
      <c r="H139" t="s">
        <v>63</v>
      </c>
      <c r="I139" t="s">
        <v>63</v>
      </c>
    </row>
    <row r="140" spans="2:9" x14ac:dyDescent="0.25">
      <c r="B140" s="22" t="s">
        <v>61</v>
      </c>
      <c r="C140" s="22" t="s">
        <v>197</v>
      </c>
      <c r="D140" s="22">
        <v>8105</v>
      </c>
      <c r="E140" s="22" t="s">
        <v>63</v>
      </c>
      <c r="F140" s="22" t="s">
        <v>64</v>
      </c>
      <c r="G140" t="s">
        <v>63</v>
      </c>
      <c r="H140" t="s">
        <v>63</v>
      </c>
      <c r="I140" t="s">
        <v>63</v>
      </c>
    </row>
    <row r="141" spans="2:9" x14ac:dyDescent="0.25">
      <c r="B141" s="22" t="s">
        <v>61</v>
      </c>
      <c r="C141" s="22" t="s">
        <v>198</v>
      </c>
      <c r="D141" s="22">
        <v>8105</v>
      </c>
      <c r="E141" s="22" t="s">
        <v>63</v>
      </c>
      <c r="F141" s="22" t="s">
        <v>64</v>
      </c>
      <c r="G141" t="s">
        <v>63</v>
      </c>
      <c r="H141" t="s">
        <v>63</v>
      </c>
      <c r="I141" t="s">
        <v>63</v>
      </c>
    </row>
    <row r="142" spans="2:9" x14ac:dyDescent="0.25">
      <c r="B142" s="22" t="s">
        <v>61</v>
      </c>
      <c r="C142" s="22" t="s">
        <v>199</v>
      </c>
      <c r="D142" s="22">
        <v>8105</v>
      </c>
      <c r="E142" s="22" t="s">
        <v>63</v>
      </c>
      <c r="F142" s="22" t="s">
        <v>64</v>
      </c>
      <c r="G142" t="s">
        <v>63</v>
      </c>
      <c r="H142" t="s">
        <v>63</v>
      </c>
      <c r="I142" t="s">
        <v>63</v>
      </c>
    </row>
    <row r="143" spans="2:9" x14ac:dyDescent="0.25">
      <c r="B143" s="22" t="s">
        <v>61</v>
      </c>
      <c r="C143" s="22" t="s">
        <v>200</v>
      </c>
      <c r="D143" s="22">
        <v>8105</v>
      </c>
      <c r="E143" s="22" t="s">
        <v>63</v>
      </c>
      <c r="F143" s="22" t="s">
        <v>64</v>
      </c>
      <c r="G143" t="s">
        <v>63</v>
      </c>
      <c r="H143" t="s">
        <v>63</v>
      </c>
      <c r="I143" t="s">
        <v>63</v>
      </c>
    </row>
    <row r="144" spans="2:9" x14ac:dyDescent="0.25">
      <c r="B144" s="22" t="s">
        <v>61</v>
      </c>
      <c r="C144" s="22" t="s">
        <v>201</v>
      </c>
      <c r="D144" s="22">
        <v>8105</v>
      </c>
      <c r="E144" s="22" t="s">
        <v>63</v>
      </c>
      <c r="F144" s="22" t="s">
        <v>64</v>
      </c>
      <c r="G144" t="s">
        <v>63</v>
      </c>
      <c r="H144" t="s">
        <v>63</v>
      </c>
      <c r="I144" t="s">
        <v>63</v>
      </c>
    </row>
    <row r="145" spans="2:9" x14ac:dyDescent="0.25">
      <c r="B145" s="22" t="s">
        <v>61</v>
      </c>
      <c r="C145" s="22" t="s">
        <v>202</v>
      </c>
      <c r="D145" s="22">
        <v>7540</v>
      </c>
      <c r="E145" s="22" t="s">
        <v>63</v>
      </c>
      <c r="F145" s="22" t="s">
        <v>64</v>
      </c>
      <c r="G145" t="s">
        <v>63</v>
      </c>
      <c r="H145" t="s">
        <v>63</v>
      </c>
      <c r="I145" t="s">
        <v>63</v>
      </c>
    </row>
    <row r="146" spans="2:9" hidden="1" x14ac:dyDescent="0.25">
      <c r="B146" s="23" t="s">
        <v>96</v>
      </c>
      <c r="C146" s="23" t="s">
        <v>17</v>
      </c>
      <c r="D146" s="23">
        <v>6144</v>
      </c>
      <c r="E146" s="23" t="s">
        <v>97</v>
      </c>
      <c r="F146" t="s">
        <v>63</v>
      </c>
      <c r="G146" t="s">
        <v>63</v>
      </c>
      <c r="H146" t="s">
        <v>63</v>
      </c>
      <c r="I146" t="s">
        <v>63</v>
      </c>
    </row>
    <row r="147" spans="2:9" hidden="1" x14ac:dyDescent="0.25">
      <c r="B147" s="23" t="s">
        <v>96</v>
      </c>
      <c r="C147" s="23" t="s">
        <v>19</v>
      </c>
      <c r="D147" s="23">
        <v>-44107</v>
      </c>
      <c r="E147" s="23" t="s">
        <v>97</v>
      </c>
      <c r="F147" t="s">
        <v>63</v>
      </c>
      <c r="G147" t="s">
        <v>63</v>
      </c>
      <c r="H147" t="s">
        <v>63</v>
      </c>
      <c r="I147" t="s">
        <v>63</v>
      </c>
    </row>
    <row r="148" spans="2:9" hidden="1" x14ac:dyDescent="0.25">
      <c r="B148" s="23" t="s">
        <v>96</v>
      </c>
      <c r="C148" s="23" t="s">
        <v>25</v>
      </c>
      <c r="D148" s="23">
        <v>-58152</v>
      </c>
      <c r="E148" s="23" t="s">
        <v>97</v>
      </c>
      <c r="F148" t="s">
        <v>63</v>
      </c>
      <c r="G148" t="s">
        <v>63</v>
      </c>
      <c r="H148" t="s">
        <v>63</v>
      </c>
      <c r="I148" t="s">
        <v>63</v>
      </c>
    </row>
    <row r="149" spans="2:9" hidden="1" x14ac:dyDescent="0.25">
      <c r="B149" s="23" t="s">
        <v>96</v>
      </c>
      <c r="C149" s="23" t="s">
        <v>27</v>
      </c>
      <c r="D149" s="23">
        <v>-3506</v>
      </c>
      <c r="E149" s="23" t="s">
        <v>97</v>
      </c>
      <c r="F149" t="s">
        <v>63</v>
      </c>
      <c r="G149" t="s">
        <v>63</v>
      </c>
      <c r="H149" t="s">
        <v>63</v>
      </c>
      <c r="I149" t="s">
        <v>63</v>
      </c>
    </row>
    <row r="150" spans="2:9" hidden="1" x14ac:dyDescent="0.25">
      <c r="B150" s="23" t="s">
        <v>96</v>
      </c>
      <c r="C150" s="23" t="s">
        <v>13</v>
      </c>
      <c r="D150" s="23">
        <v>-2550</v>
      </c>
      <c r="E150" s="23" t="s">
        <v>97</v>
      </c>
      <c r="F150" t="s">
        <v>63</v>
      </c>
      <c r="G150" t="s">
        <v>63</v>
      </c>
      <c r="H150" t="s">
        <v>63</v>
      </c>
      <c r="I150" t="s">
        <v>63</v>
      </c>
    </row>
    <row r="151" spans="2:9" hidden="1" x14ac:dyDescent="0.25">
      <c r="B151" s="23" t="s">
        <v>96</v>
      </c>
      <c r="C151" s="23" t="s">
        <v>14</v>
      </c>
      <c r="D151" s="23">
        <v>817</v>
      </c>
      <c r="E151" s="23" t="s">
        <v>97</v>
      </c>
      <c r="F151" t="s">
        <v>63</v>
      </c>
      <c r="G151" t="s">
        <v>63</v>
      </c>
      <c r="H151" t="s">
        <v>63</v>
      </c>
      <c r="I151" t="s">
        <v>63</v>
      </c>
    </row>
    <row r="152" spans="2:9" hidden="1" x14ac:dyDescent="0.25">
      <c r="B152" s="23" t="s">
        <v>96</v>
      </c>
      <c r="C152" s="23" t="s">
        <v>1</v>
      </c>
      <c r="D152" s="23">
        <v>1492388</v>
      </c>
      <c r="E152" s="23" t="s">
        <v>97</v>
      </c>
      <c r="F152" t="s">
        <v>63</v>
      </c>
      <c r="G152" t="s">
        <v>63</v>
      </c>
      <c r="H152" t="s">
        <v>63</v>
      </c>
      <c r="I152" t="s">
        <v>63</v>
      </c>
    </row>
    <row r="153" spans="2:9" hidden="1" x14ac:dyDescent="0.25">
      <c r="B153" s="23" t="s">
        <v>96</v>
      </c>
      <c r="C153" s="23" t="s">
        <v>15</v>
      </c>
      <c r="D153" s="23">
        <v>-3421</v>
      </c>
      <c r="E153" s="23" t="s">
        <v>97</v>
      </c>
      <c r="F153" t="s">
        <v>63</v>
      </c>
      <c r="G153" t="s">
        <v>63</v>
      </c>
      <c r="H153" t="s">
        <v>63</v>
      </c>
      <c r="I153" t="s">
        <v>63</v>
      </c>
    </row>
    <row r="154" spans="2:9" hidden="1" x14ac:dyDescent="0.25">
      <c r="B154" s="23" t="s">
        <v>96</v>
      </c>
      <c r="C154" s="23" t="s">
        <v>42</v>
      </c>
      <c r="D154" s="23">
        <v>-13383</v>
      </c>
      <c r="E154" s="23" t="s">
        <v>97</v>
      </c>
      <c r="F154" t="s">
        <v>63</v>
      </c>
      <c r="G154" t="s">
        <v>63</v>
      </c>
      <c r="H154" t="s">
        <v>63</v>
      </c>
      <c r="I154" t="s">
        <v>63</v>
      </c>
    </row>
    <row r="155" spans="2:9" hidden="1" x14ac:dyDescent="0.25">
      <c r="B155" s="23" t="s">
        <v>96</v>
      </c>
      <c r="C155" s="23" t="s">
        <v>43</v>
      </c>
      <c r="D155" s="23">
        <v>-2934</v>
      </c>
      <c r="E155" s="23" t="s">
        <v>97</v>
      </c>
      <c r="F155" t="s">
        <v>63</v>
      </c>
      <c r="G155" t="s">
        <v>63</v>
      </c>
      <c r="H155" t="s">
        <v>63</v>
      </c>
      <c r="I155" t="s">
        <v>63</v>
      </c>
    </row>
    <row r="156" spans="2:9" hidden="1" x14ac:dyDescent="0.25">
      <c r="B156" s="23" t="s">
        <v>96</v>
      </c>
      <c r="C156" s="23" t="s">
        <v>45</v>
      </c>
      <c r="D156" s="23">
        <v>13736</v>
      </c>
      <c r="E156" s="23" t="s">
        <v>97</v>
      </c>
      <c r="F156" t="s">
        <v>63</v>
      </c>
      <c r="G156" t="s">
        <v>63</v>
      </c>
      <c r="H156" t="s">
        <v>63</v>
      </c>
      <c r="I156" t="s">
        <v>63</v>
      </c>
    </row>
    <row r="157" spans="2:9" hidden="1" x14ac:dyDescent="0.25">
      <c r="B157" s="23" t="s">
        <v>96</v>
      </c>
      <c r="C157" s="23" t="s">
        <v>52</v>
      </c>
      <c r="D157" s="23">
        <v>-321</v>
      </c>
      <c r="E157" s="23" t="s">
        <v>97</v>
      </c>
      <c r="F157" t="s">
        <v>63</v>
      </c>
      <c r="G157" t="s">
        <v>63</v>
      </c>
      <c r="H157" t="s">
        <v>63</v>
      </c>
      <c r="I157" t="s">
        <v>63</v>
      </c>
    </row>
    <row r="158" spans="2:9" hidden="1" x14ac:dyDescent="0.25">
      <c r="B158" s="23" t="s">
        <v>96</v>
      </c>
      <c r="C158" s="23" t="s">
        <v>2</v>
      </c>
      <c r="D158" s="23">
        <v>2150687</v>
      </c>
      <c r="E158" s="23" t="s">
        <v>97</v>
      </c>
      <c r="F158" t="s">
        <v>63</v>
      </c>
      <c r="G158" t="s">
        <v>63</v>
      </c>
      <c r="H158" t="s">
        <v>63</v>
      </c>
      <c r="I158" t="s">
        <v>63</v>
      </c>
    </row>
    <row r="159" spans="2:9" x14ac:dyDescent="0.25">
      <c r="B159" s="22" t="s">
        <v>61</v>
      </c>
      <c r="C159" s="22" t="s">
        <v>203</v>
      </c>
      <c r="D159" s="22">
        <v>7540</v>
      </c>
      <c r="E159" s="22" t="s">
        <v>63</v>
      </c>
      <c r="F159" s="22" t="s">
        <v>64</v>
      </c>
      <c r="G159" t="s">
        <v>63</v>
      </c>
      <c r="H159" t="s">
        <v>63</v>
      </c>
      <c r="I159" t="s">
        <v>63</v>
      </c>
    </row>
    <row r="160" spans="2:9" x14ac:dyDescent="0.25">
      <c r="B160" s="22" t="s">
        <v>61</v>
      </c>
      <c r="C160" s="22" t="s">
        <v>204</v>
      </c>
      <c r="D160" s="22">
        <v>7540</v>
      </c>
      <c r="E160" s="22" t="s">
        <v>63</v>
      </c>
      <c r="F160" s="22" t="s">
        <v>64</v>
      </c>
      <c r="G160" t="s">
        <v>63</v>
      </c>
      <c r="H160" t="s">
        <v>63</v>
      </c>
      <c r="I160" t="s">
        <v>63</v>
      </c>
    </row>
    <row r="161" spans="2:9" x14ac:dyDescent="0.25">
      <c r="B161" s="22" t="s">
        <v>61</v>
      </c>
      <c r="C161" s="22" t="s">
        <v>205</v>
      </c>
      <c r="D161" s="22">
        <v>7540</v>
      </c>
      <c r="E161" s="22" t="s">
        <v>63</v>
      </c>
      <c r="F161" s="22" t="s">
        <v>64</v>
      </c>
      <c r="G161" t="s">
        <v>63</v>
      </c>
      <c r="H161" t="s">
        <v>63</v>
      </c>
      <c r="I161" t="s">
        <v>63</v>
      </c>
    </row>
    <row r="162" spans="2:9" hidden="1" x14ac:dyDescent="0.25">
      <c r="B162" s="23" t="s">
        <v>96</v>
      </c>
      <c r="C162" s="23" t="s">
        <v>28</v>
      </c>
      <c r="D162" s="23">
        <v>9384</v>
      </c>
      <c r="E162" s="23" t="s">
        <v>97</v>
      </c>
      <c r="F162" t="s">
        <v>63</v>
      </c>
      <c r="G162" t="s">
        <v>63</v>
      </c>
      <c r="H162" t="s">
        <v>63</v>
      </c>
      <c r="I162" t="s">
        <v>63</v>
      </c>
    </row>
    <row r="163" spans="2:9" hidden="1" x14ac:dyDescent="0.25">
      <c r="B163" s="23" t="s">
        <v>96</v>
      </c>
      <c r="C163" s="23" t="s">
        <v>29</v>
      </c>
      <c r="D163" s="23">
        <v>5062</v>
      </c>
      <c r="E163" s="23" t="s">
        <v>97</v>
      </c>
      <c r="F163" t="s">
        <v>63</v>
      </c>
      <c r="G163" t="s">
        <v>63</v>
      </c>
      <c r="H163" t="s">
        <v>63</v>
      </c>
      <c r="I163" t="s">
        <v>63</v>
      </c>
    </row>
    <row r="164" spans="2:9" hidden="1" x14ac:dyDescent="0.25">
      <c r="B164" s="23" t="s">
        <v>96</v>
      </c>
      <c r="C164" s="23" t="s">
        <v>30</v>
      </c>
      <c r="D164" s="23">
        <v>7149</v>
      </c>
      <c r="E164" s="23" t="s">
        <v>97</v>
      </c>
      <c r="F164" t="s">
        <v>63</v>
      </c>
      <c r="G164" t="s">
        <v>63</v>
      </c>
      <c r="H164" t="s">
        <v>63</v>
      </c>
      <c r="I164" t="s">
        <v>63</v>
      </c>
    </row>
    <row r="165" spans="2:9" hidden="1" x14ac:dyDescent="0.25">
      <c r="B165" s="23" t="s">
        <v>96</v>
      </c>
      <c r="C165" s="23" t="s">
        <v>50</v>
      </c>
      <c r="D165" s="23">
        <v>41</v>
      </c>
      <c r="E165" s="23" t="s">
        <v>97</v>
      </c>
      <c r="F165" t="s">
        <v>63</v>
      </c>
      <c r="G165" t="s">
        <v>63</v>
      </c>
      <c r="H165" t="s">
        <v>63</v>
      </c>
      <c r="I165" t="s">
        <v>63</v>
      </c>
    </row>
    <row r="166" spans="2:9" hidden="1" x14ac:dyDescent="0.25">
      <c r="B166" s="23" t="s">
        <v>96</v>
      </c>
      <c r="C166" s="23" t="s">
        <v>51</v>
      </c>
      <c r="D166" s="23">
        <v>12898</v>
      </c>
      <c r="E166" s="23" t="s">
        <v>97</v>
      </c>
      <c r="F166" t="s">
        <v>63</v>
      </c>
      <c r="G166" t="s">
        <v>63</v>
      </c>
      <c r="H166" t="s">
        <v>63</v>
      </c>
      <c r="I166" t="s">
        <v>63</v>
      </c>
    </row>
    <row r="167" spans="2:9" x14ac:dyDescent="0.25">
      <c r="B167" s="22" t="s">
        <v>61</v>
      </c>
      <c r="C167" s="22" t="s">
        <v>206</v>
      </c>
      <c r="D167" s="22">
        <v>7540</v>
      </c>
      <c r="E167" s="22" t="s">
        <v>63</v>
      </c>
      <c r="F167" s="22" t="s">
        <v>64</v>
      </c>
      <c r="G167" t="s">
        <v>63</v>
      </c>
      <c r="H167" t="s">
        <v>63</v>
      </c>
      <c r="I167" t="s">
        <v>63</v>
      </c>
    </row>
    <row r="168" spans="2:9" x14ac:dyDescent="0.25">
      <c r="B168" s="22" t="s">
        <v>61</v>
      </c>
      <c r="C168" s="22" t="s">
        <v>207</v>
      </c>
      <c r="D168" s="22">
        <v>7540</v>
      </c>
      <c r="E168" s="22" t="s">
        <v>63</v>
      </c>
      <c r="F168" s="22" t="s">
        <v>64</v>
      </c>
      <c r="G168" t="s">
        <v>63</v>
      </c>
      <c r="H168" t="s">
        <v>63</v>
      </c>
      <c r="I168" t="s">
        <v>63</v>
      </c>
    </row>
    <row r="169" spans="2:9" x14ac:dyDescent="0.25">
      <c r="B169" s="22" t="s">
        <v>61</v>
      </c>
      <c r="C169" s="22" t="s">
        <v>208</v>
      </c>
      <c r="D169" s="22">
        <v>7540</v>
      </c>
      <c r="E169" s="22" t="s">
        <v>63</v>
      </c>
      <c r="F169" s="22" t="s">
        <v>64</v>
      </c>
      <c r="G169" t="s">
        <v>63</v>
      </c>
      <c r="H169" t="s">
        <v>63</v>
      </c>
      <c r="I169" t="s">
        <v>63</v>
      </c>
    </row>
    <row r="170" spans="2:9" x14ac:dyDescent="0.25">
      <c r="B170" s="22" t="s">
        <v>61</v>
      </c>
      <c r="C170" s="22" t="s">
        <v>209</v>
      </c>
      <c r="D170" s="22">
        <v>7540</v>
      </c>
      <c r="E170" s="22" t="s">
        <v>63</v>
      </c>
      <c r="F170" s="22" t="s">
        <v>64</v>
      </c>
      <c r="G170" t="s">
        <v>63</v>
      </c>
      <c r="H170" t="s">
        <v>63</v>
      </c>
      <c r="I170" t="s">
        <v>63</v>
      </c>
    </row>
    <row r="171" spans="2:9" x14ac:dyDescent="0.25">
      <c r="B171" s="22" t="s">
        <v>61</v>
      </c>
      <c r="C171" s="22" t="s">
        <v>210</v>
      </c>
      <c r="D171" s="22">
        <v>7540</v>
      </c>
      <c r="E171" s="22" t="s">
        <v>63</v>
      </c>
      <c r="F171" s="22" t="s">
        <v>64</v>
      </c>
      <c r="G171" t="s">
        <v>63</v>
      </c>
      <c r="H171" t="s">
        <v>63</v>
      </c>
      <c r="I171" t="s">
        <v>63</v>
      </c>
    </row>
    <row r="172" spans="2:9" x14ac:dyDescent="0.25">
      <c r="B172" s="22" t="s">
        <v>61</v>
      </c>
      <c r="C172" s="22" t="s">
        <v>211</v>
      </c>
      <c r="D172" s="22">
        <v>7540</v>
      </c>
      <c r="E172" s="22" t="s">
        <v>63</v>
      </c>
      <c r="F172" s="22" t="s">
        <v>64</v>
      </c>
      <c r="G172" t="s">
        <v>63</v>
      </c>
      <c r="H172" t="s">
        <v>63</v>
      </c>
      <c r="I172" t="s">
        <v>63</v>
      </c>
    </row>
    <row r="173" spans="2:9" x14ac:dyDescent="0.25">
      <c r="B173" s="22" t="s">
        <v>61</v>
      </c>
      <c r="C173" s="22" t="s">
        <v>212</v>
      </c>
      <c r="D173" s="22">
        <v>7540</v>
      </c>
      <c r="E173" s="22" t="s">
        <v>63</v>
      </c>
      <c r="F173" s="22" t="s">
        <v>64</v>
      </c>
      <c r="G173" t="s">
        <v>63</v>
      </c>
      <c r="H173" t="s">
        <v>63</v>
      </c>
      <c r="I173" t="s">
        <v>63</v>
      </c>
    </row>
    <row r="174" spans="2:9" x14ac:dyDescent="0.25">
      <c r="B174" s="22" t="s">
        <v>61</v>
      </c>
      <c r="C174" s="22" t="s">
        <v>213</v>
      </c>
      <c r="D174" s="22">
        <v>7540</v>
      </c>
      <c r="E174" s="22" t="s">
        <v>63</v>
      </c>
      <c r="F174" s="22" t="s">
        <v>64</v>
      </c>
      <c r="G174" t="s">
        <v>63</v>
      </c>
      <c r="H174" t="s">
        <v>63</v>
      </c>
      <c r="I174" t="s">
        <v>63</v>
      </c>
    </row>
    <row r="175" spans="2:9" x14ac:dyDescent="0.25">
      <c r="B175" s="22" t="s">
        <v>61</v>
      </c>
      <c r="C175" s="22" t="s">
        <v>214</v>
      </c>
      <c r="D175" s="22">
        <v>7540</v>
      </c>
      <c r="E175" s="22" t="s">
        <v>63</v>
      </c>
      <c r="F175" s="22" t="s">
        <v>64</v>
      </c>
      <c r="G175" t="s">
        <v>63</v>
      </c>
      <c r="H175" t="s">
        <v>63</v>
      </c>
      <c r="I175" t="s">
        <v>63</v>
      </c>
    </row>
    <row r="176" spans="2:9" x14ac:dyDescent="0.25">
      <c r="B176" s="22" t="s">
        <v>61</v>
      </c>
      <c r="C176" s="22" t="s">
        <v>215</v>
      </c>
      <c r="D176" s="22">
        <v>7540</v>
      </c>
      <c r="E176" s="22" t="s">
        <v>63</v>
      </c>
      <c r="F176" s="22" t="s">
        <v>64</v>
      </c>
      <c r="G176" t="s">
        <v>63</v>
      </c>
      <c r="H176" t="s">
        <v>63</v>
      </c>
      <c r="I176" t="s">
        <v>63</v>
      </c>
    </row>
    <row r="177" spans="2:9" x14ac:dyDescent="0.25">
      <c r="B177" s="22" t="s">
        <v>61</v>
      </c>
      <c r="C177" s="22" t="s">
        <v>216</v>
      </c>
      <c r="D177" s="22">
        <v>7540</v>
      </c>
      <c r="E177" s="22" t="s">
        <v>63</v>
      </c>
      <c r="F177" s="22" t="s">
        <v>64</v>
      </c>
      <c r="G177" t="s">
        <v>63</v>
      </c>
      <c r="H177" t="s">
        <v>63</v>
      </c>
      <c r="I177" t="s">
        <v>63</v>
      </c>
    </row>
    <row r="178" spans="2:9" x14ac:dyDescent="0.25">
      <c r="B178" s="22" t="s">
        <v>61</v>
      </c>
      <c r="C178" s="22" t="s">
        <v>217</v>
      </c>
      <c r="D178" s="22">
        <v>7540</v>
      </c>
      <c r="E178" s="22" t="s">
        <v>63</v>
      </c>
      <c r="F178" s="22" t="s">
        <v>64</v>
      </c>
      <c r="G178" t="s">
        <v>63</v>
      </c>
      <c r="H178" t="s">
        <v>63</v>
      </c>
      <c r="I178" t="s">
        <v>63</v>
      </c>
    </row>
    <row r="179" spans="2:9" x14ac:dyDescent="0.25">
      <c r="B179" s="22" t="s">
        <v>61</v>
      </c>
      <c r="C179" s="22" t="s">
        <v>218</v>
      </c>
      <c r="D179" s="22">
        <v>7540</v>
      </c>
      <c r="E179" s="22" t="s">
        <v>63</v>
      </c>
      <c r="F179" s="22" t="s">
        <v>64</v>
      </c>
      <c r="G179" t="s">
        <v>63</v>
      </c>
      <c r="H179" t="s">
        <v>63</v>
      </c>
      <c r="I179" t="s">
        <v>63</v>
      </c>
    </row>
    <row r="180" spans="2:9" x14ac:dyDescent="0.25">
      <c r="B180" s="22" t="s">
        <v>61</v>
      </c>
      <c r="C180" s="22" t="s">
        <v>219</v>
      </c>
      <c r="D180" s="22">
        <v>7540</v>
      </c>
      <c r="E180" s="22" t="s">
        <v>63</v>
      </c>
      <c r="F180" s="22" t="s">
        <v>64</v>
      </c>
      <c r="G180" t="s">
        <v>63</v>
      </c>
      <c r="H180" t="s">
        <v>63</v>
      </c>
      <c r="I180" t="s">
        <v>63</v>
      </c>
    </row>
    <row r="181" spans="2:9" x14ac:dyDescent="0.25">
      <c r="B181" s="22" t="s">
        <v>61</v>
      </c>
      <c r="C181" s="22" t="s">
        <v>220</v>
      </c>
      <c r="D181" s="22">
        <v>7540</v>
      </c>
      <c r="E181" s="22" t="s">
        <v>63</v>
      </c>
      <c r="F181" s="22" t="s">
        <v>64</v>
      </c>
      <c r="G181" t="s">
        <v>63</v>
      </c>
      <c r="H181" t="s">
        <v>63</v>
      </c>
      <c r="I181" t="s">
        <v>63</v>
      </c>
    </row>
    <row r="182" spans="2:9" x14ac:dyDescent="0.25">
      <c r="B182" s="22" t="s">
        <v>61</v>
      </c>
      <c r="C182" s="22" t="s">
        <v>221</v>
      </c>
      <c r="D182" s="22">
        <v>7540</v>
      </c>
      <c r="E182" s="22" t="s">
        <v>63</v>
      </c>
      <c r="F182" s="22" t="s">
        <v>64</v>
      </c>
      <c r="G182" t="s">
        <v>63</v>
      </c>
      <c r="H182" t="s">
        <v>63</v>
      </c>
      <c r="I182" t="s">
        <v>63</v>
      </c>
    </row>
    <row r="183" spans="2:9" x14ac:dyDescent="0.25">
      <c r="B183" s="22" t="s">
        <v>61</v>
      </c>
      <c r="C183" s="22" t="s">
        <v>222</v>
      </c>
      <c r="D183" s="22">
        <v>7540</v>
      </c>
      <c r="E183" s="22" t="s">
        <v>63</v>
      </c>
      <c r="F183" s="22" t="s">
        <v>64</v>
      </c>
      <c r="G183" t="s">
        <v>63</v>
      </c>
      <c r="H183" t="s">
        <v>63</v>
      </c>
      <c r="I183" t="s">
        <v>63</v>
      </c>
    </row>
    <row r="184" spans="2:9" x14ac:dyDescent="0.25">
      <c r="B184" s="22" t="s">
        <v>61</v>
      </c>
      <c r="C184" s="22" t="s">
        <v>223</v>
      </c>
      <c r="D184" s="22">
        <v>7540</v>
      </c>
      <c r="E184" s="22" t="s">
        <v>63</v>
      </c>
      <c r="F184" s="22" t="s">
        <v>64</v>
      </c>
      <c r="G184" t="s">
        <v>63</v>
      </c>
      <c r="H184" t="s">
        <v>63</v>
      </c>
      <c r="I184" t="s">
        <v>63</v>
      </c>
    </row>
    <row r="185" spans="2:9" x14ac:dyDescent="0.25">
      <c r="B185" s="22" t="s">
        <v>61</v>
      </c>
      <c r="C185" s="22" t="s">
        <v>224</v>
      </c>
      <c r="D185" s="22">
        <v>7540</v>
      </c>
      <c r="E185" s="22" t="s">
        <v>63</v>
      </c>
      <c r="F185" s="22" t="s">
        <v>64</v>
      </c>
      <c r="G185" t="s">
        <v>63</v>
      </c>
      <c r="H185" t="s">
        <v>63</v>
      </c>
      <c r="I185" t="s">
        <v>63</v>
      </c>
    </row>
    <row r="186" spans="2:9" x14ac:dyDescent="0.25">
      <c r="B186" s="22" t="s">
        <v>61</v>
      </c>
      <c r="C186" s="22" t="s">
        <v>225</v>
      </c>
      <c r="D186" s="22">
        <v>7540</v>
      </c>
      <c r="E186" s="22" t="s">
        <v>63</v>
      </c>
      <c r="F186" s="22" t="s">
        <v>64</v>
      </c>
      <c r="G186" t="s">
        <v>63</v>
      </c>
      <c r="H186" t="s">
        <v>63</v>
      </c>
      <c r="I186" t="s">
        <v>63</v>
      </c>
    </row>
    <row r="187" spans="2:9" x14ac:dyDescent="0.25">
      <c r="B187" s="22" t="s">
        <v>61</v>
      </c>
      <c r="C187" s="22" t="s">
        <v>226</v>
      </c>
      <c r="D187" s="22">
        <v>7540</v>
      </c>
      <c r="E187" s="22" t="s">
        <v>63</v>
      </c>
      <c r="F187" s="22" t="s">
        <v>64</v>
      </c>
      <c r="G187" t="s">
        <v>63</v>
      </c>
      <c r="H187" t="s">
        <v>63</v>
      </c>
      <c r="I187" t="s">
        <v>63</v>
      </c>
    </row>
    <row r="188" spans="2:9" x14ac:dyDescent="0.25">
      <c r="B188" s="22" t="s">
        <v>61</v>
      </c>
      <c r="C188" s="22" t="s">
        <v>227</v>
      </c>
      <c r="D188" s="22">
        <v>7540</v>
      </c>
      <c r="E188" s="22" t="s">
        <v>63</v>
      </c>
      <c r="F188" s="22" t="s">
        <v>64</v>
      </c>
      <c r="G188" t="s">
        <v>63</v>
      </c>
      <c r="H188" t="s">
        <v>63</v>
      </c>
      <c r="I188" t="s">
        <v>63</v>
      </c>
    </row>
    <row r="189" spans="2:9" x14ac:dyDescent="0.25">
      <c r="B189" s="22" t="s">
        <v>61</v>
      </c>
      <c r="C189" s="22" t="s">
        <v>228</v>
      </c>
      <c r="D189" s="22">
        <v>7540</v>
      </c>
      <c r="E189" s="22" t="s">
        <v>63</v>
      </c>
      <c r="F189" s="22" t="s">
        <v>64</v>
      </c>
      <c r="G189" t="s">
        <v>63</v>
      </c>
      <c r="H189" t="s">
        <v>63</v>
      </c>
      <c r="I189" t="s">
        <v>63</v>
      </c>
    </row>
    <row r="190" spans="2:9" x14ac:dyDescent="0.25">
      <c r="B190" s="22" t="s">
        <v>61</v>
      </c>
      <c r="C190" s="22" t="s">
        <v>229</v>
      </c>
      <c r="D190" s="22">
        <v>7540</v>
      </c>
      <c r="E190" s="22" t="s">
        <v>63</v>
      </c>
      <c r="F190" s="22" t="s">
        <v>64</v>
      </c>
      <c r="G190" t="s">
        <v>63</v>
      </c>
      <c r="H190" t="s">
        <v>63</v>
      </c>
      <c r="I190" t="s">
        <v>63</v>
      </c>
    </row>
    <row r="191" spans="2:9" x14ac:dyDescent="0.25">
      <c r="B191" s="22" t="s">
        <v>61</v>
      </c>
      <c r="C191" s="22" t="s">
        <v>230</v>
      </c>
      <c r="D191" s="22">
        <v>7540</v>
      </c>
      <c r="E191" s="22" t="s">
        <v>63</v>
      </c>
      <c r="F191" s="22" t="s">
        <v>64</v>
      </c>
      <c r="G191" t="s">
        <v>63</v>
      </c>
      <c r="H191" t="s">
        <v>63</v>
      </c>
      <c r="I191" t="s">
        <v>63</v>
      </c>
    </row>
    <row r="192" spans="2:9" x14ac:dyDescent="0.25">
      <c r="B192" s="22" t="s">
        <v>61</v>
      </c>
      <c r="C192" s="22" t="s">
        <v>231</v>
      </c>
      <c r="D192" s="22">
        <v>7540</v>
      </c>
      <c r="E192" s="22" t="s">
        <v>63</v>
      </c>
      <c r="F192" s="22" t="s">
        <v>64</v>
      </c>
      <c r="G192" t="s">
        <v>63</v>
      </c>
      <c r="H192" t="s">
        <v>63</v>
      </c>
      <c r="I192" t="s">
        <v>63</v>
      </c>
    </row>
    <row r="193" spans="2:9" x14ac:dyDescent="0.25">
      <c r="B193" s="22" t="s">
        <v>61</v>
      </c>
      <c r="C193" s="22" t="s">
        <v>232</v>
      </c>
      <c r="D193" s="22">
        <v>7540</v>
      </c>
      <c r="E193" s="22" t="s">
        <v>63</v>
      </c>
      <c r="F193" s="22" t="s">
        <v>64</v>
      </c>
      <c r="G193" t="s">
        <v>63</v>
      </c>
      <c r="H193" t="s">
        <v>63</v>
      </c>
      <c r="I193" t="s">
        <v>63</v>
      </c>
    </row>
    <row r="194" spans="2:9" x14ac:dyDescent="0.25">
      <c r="B194" s="22" t="s">
        <v>61</v>
      </c>
      <c r="C194" s="22" t="s">
        <v>233</v>
      </c>
      <c r="D194" s="22">
        <v>7540</v>
      </c>
      <c r="E194" s="22" t="s">
        <v>63</v>
      </c>
      <c r="F194" s="22" t="s">
        <v>64</v>
      </c>
      <c r="G194" t="s">
        <v>63</v>
      </c>
      <c r="H194" t="s">
        <v>63</v>
      </c>
      <c r="I194" t="s">
        <v>63</v>
      </c>
    </row>
    <row r="195" spans="2:9" x14ac:dyDescent="0.25">
      <c r="B195" s="22" t="s">
        <v>61</v>
      </c>
      <c r="C195" s="22" t="s">
        <v>234</v>
      </c>
      <c r="D195" s="22">
        <v>7540</v>
      </c>
      <c r="E195" s="22" t="s">
        <v>63</v>
      </c>
      <c r="F195" s="22" t="s">
        <v>64</v>
      </c>
      <c r="G195" t="s">
        <v>63</v>
      </c>
      <c r="H195" t="s">
        <v>63</v>
      </c>
      <c r="I195" t="s">
        <v>63</v>
      </c>
    </row>
    <row r="196" spans="2:9" x14ac:dyDescent="0.25">
      <c r="B196" s="22" t="s">
        <v>61</v>
      </c>
      <c r="C196" s="22" t="s">
        <v>235</v>
      </c>
      <c r="D196" s="22">
        <v>7540</v>
      </c>
      <c r="E196" s="22" t="s">
        <v>63</v>
      </c>
      <c r="F196" s="22" t="s">
        <v>64</v>
      </c>
      <c r="G196" t="s">
        <v>63</v>
      </c>
      <c r="H196" t="s">
        <v>63</v>
      </c>
      <c r="I196" t="s">
        <v>63</v>
      </c>
    </row>
    <row r="197" spans="2:9" x14ac:dyDescent="0.25">
      <c r="B197" s="22" t="s">
        <v>61</v>
      </c>
      <c r="C197" s="22" t="s">
        <v>236</v>
      </c>
      <c r="D197" s="22">
        <v>7540</v>
      </c>
      <c r="E197" s="22" t="s">
        <v>63</v>
      </c>
      <c r="F197" s="22" t="s">
        <v>64</v>
      </c>
      <c r="G197" t="s">
        <v>63</v>
      </c>
      <c r="H197" t="s">
        <v>63</v>
      </c>
      <c r="I197" t="s">
        <v>63</v>
      </c>
    </row>
    <row r="198" spans="2:9" x14ac:dyDescent="0.25">
      <c r="B198" s="22" t="s">
        <v>61</v>
      </c>
      <c r="C198" s="22" t="s">
        <v>237</v>
      </c>
      <c r="D198" s="22">
        <v>7540</v>
      </c>
      <c r="E198" s="22" t="s">
        <v>63</v>
      </c>
      <c r="F198" s="22" t="s">
        <v>64</v>
      </c>
      <c r="G198" t="s">
        <v>63</v>
      </c>
      <c r="H198" t="s">
        <v>63</v>
      </c>
      <c r="I198" t="s">
        <v>63</v>
      </c>
    </row>
    <row r="199" spans="2:9" x14ac:dyDescent="0.25">
      <c r="B199" s="22" t="s">
        <v>61</v>
      </c>
      <c r="C199" s="22" t="s">
        <v>238</v>
      </c>
      <c r="D199" s="22">
        <v>7540</v>
      </c>
      <c r="E199" s="22" t="s">
        <v>63</v>
      </c>
      <c r="F199" s="22" t="s">
        <v>64</v>
      </c>
      <c r="G199" t="s">
        <v>63</v>
      </c>
      <c r="H199" t="s">
        <v>63</v>
      </c>
      <c r="I199" t="s">
        <v>63</v>
      </c>
    </row>
    <row r="200" spans="2:9" x14ac:dyDescent="0.25">
      <c r="B200" s="22" t="s">
        <v>61</v>
      </c>
      <c r="C200" s="22" t="s">
        <v>239</v>
      </c>
      <c r="D200" s="22">
        <v>7540</v>
      </c>
      <c r="E200" s="22" t="s">
        <v>63</v>
      </c>
      <c r="F200" s="22" t="s">
        <v>64</v>
      </c>
      <c r="G200" t="s">
        <v>63</v>
      </c>
      <c r="H200" t="s">
        <v>63</v>
      </c>
      <c r="I200" t="s">
        <v>63</v>
      </c>
    </row>
    <row r="201" spans="2:9" x14ac:dyDescent="0.25">
      <c r="B201" s="22" t="s">
        <v>61</v>
      </c>
      <c r="C201" s="22" t="s">
        <v>240</v>
      </c>
      <c r="D201" s="22">
        <v>7540</v>
      </c>
      <c r="E201" s="22" t="s">
        <v>63</v>
      </c>
      <c r="F201" s="22" t="s">
        <v>64</v>
      </c>
      <c r="G201" t="s">
        <v>63</v>
      </c>
      <c r="H201" t="s">
        <v>63</v>
      </c>
      <c r="I201" t="s">
        <v>63</v>
      </c>
    </row>
    <row r="202" spans="2:9" x14ac:dyDescent="0.25">
      <c r="B202" s="22" t="s">
        <v>61</v>
      </c>
      <c r="C202" s="22" t="s">
        <v>241</v>
      </c>
      <c r="D202" s="22">
        <v>7540</v>
      </c>
      <c r="E202" s="22" t="s">
        <v>63</v>
      </c>
      <c r="F202" s="22" t="s">
        <v>64</v>
      </c>
      <c r="G202" t="s">
        <v>63</v>
      </c>
      <c r="H202" t="s">
        <v>63</v>
      </c>
      <c r="I202" t="s">
        <v>63</v>
      </c>
    </row>
    <row r="203" spans="2:9" x14ac:dyDescent="0.25">
      <c r="B203" s="22" t="s">
        <v>61</v>
      </c>
      <c r="C203" s="22" t="s">
        <v>242</v>
      </c>
      <c r="D203" s="22">
        <v>8105</v>
      </c>
      <c r="E203" s="22" t="s">
        <v>63</v>
      </c>
      <c r="F203" s="22" t="s">
        <v>64</v>
      </c>
      <c r="G203" t="s">
        <v>63</v>
      </c>
      <c r="H203" t="s">
        <v>63</v>
      </c>
      <c r="I203" t="s">
        <v>63</v>
      </c>
    </row>
    <row r="204" spans="2:9" x14ac:dyDescent="0.25">
      <c r="B204" s="22" t="s">
        <v>61</v>
      </c>
      <c r="C204" s="22" t="s">
        <v>243</v>
      </c>
      <c r="D204" s="22">
        <v>8105</v>
      </c>
      <c r="E204" s="22" t="s">
        <v>63</v>
      </c>
      <c r="F204" s="22" t="s">
        <v>64</v>
      </c>
      <c r="G204" t="s">
        <v>63</v>
      </c>
      <c r="H204" t="s">
        <v>63</v>
      </c>
      <c r="I204" t="s">
        <v>63</v>
      </c>
    </row>
    <row r="205" spans="2:9" x14ac:dyDescent="0.25">
      <c r="B205" s="22" t="s">
        <v>61</v>
      </c>
      <c r="C205" s="22" t="s">
        <v>244</v>
      </c>
      <c r="D205" s="22">
        <v>8105</v>
      </c>
      <c r="E205" s="22" t="s">
        <v>63</v>
      </c>
      <c r="F205" s="22" t="s">
        <v>64</v>
      </c>
      <c r="G205" t="s">
        <v>63</v>
      </c>
      <c r="H205" t="s">
        <v>63</v>
      </c>
      <c r="I205" t="s">
        <v>63</v>
      </c>
    </row>
    <row r="206" spans="2:9" x14ac:dyDescent="0.25">
      <c r="B206" s="22" t="s">
        <v>61</v>
      </c>
      <c r="C206" s="22" t="s">
        <v>245</v>
      </c>
      <c r="D206" s="22">
        <v>8105</v>
      </c>
      <c r="E206" s="22" t="s">
        <v>63</v>
      </c>
      <c r="F206" s="22" t="s">
        <v>64</v>
      </c>
      <c r="G206" t="s">
        <v>63</v>
      </c>
      <c r="H206" t="s">
        <v>63</v>
      </c>
      <c r="I206" t="s">
        <v>63</v>
      </c>
    </row>
    <row r="207" spans="2:9" x14ac:dyDescent="0.25">
      <c r="B207" s="22" t="s">
        <v>61</v>
      </c>
      <c r="C207" s="22" t="s">
        <v>246</v>
      </c>
      <c r="D207" s="22">
        <v>8105</v>
      </c>
      <c r="E207" s="22" t="s">
        <v>63</v>
      </c>
      <c r="F207" s="22" t="s">
        <v>64</v>
      </c>
      <c r="G207" t="s">
        <v>63</v>
      </c>
      <c r="H207" t="s">
        <v>63</v>
      </c>
      <c r="I207" t="s">
        <v>63</v>
      </c>
    </row>
    <row r="208" spans="2:9" x14ac:dyDescent="0.25">
      <c r="B208" s="22" t="s">
        <v>61</v>
      </c>
      <c r="C208" s="22" t="s">
        <v>247</v>
      </c>
      <c r="D208" s="22">
        <v>8105</v>
      </c>
      <c r="E208" s="22" t="s">
        <v>63</v>
      </c>
      <c r="F208" s="22" t="s">
        <v>64</v>
      </c>
      <c r="G208" t="s">
        <v>63</v>
      </c>
      <c r="H208" t="s">
        <v>63</v>
      </c>
      <c r="I208" t="s">
        <v>63</v>
      </c>
    </row>
    <row r="209" spans="2:9" x14ac:dyDescent="0.25">
      <c r="B209" s="22" t="s">
        <v>61</v>
      </c>
      <c r="C209" s="22" t="s">
        <v>248</v>
      </c>
      <c r="D209" s="22">
        <v>8105</v>
      </c>
      <c r="E209" s="22" t="s">
        <v>63</v>
      </c>
      <c r="F209" s="22" t="s">
        <v>64</v>
      </c>
      <c r="G209" t="s">
        <v>63</v>
      </c>
      <c r="H209" t="s">
        <v>63</v>
      </c>
      <c r="I209" t="s">
        <v>63</v>
      </c>
    </row>
    <row r="210" spans="2:9" x14ac:dyDescent="0.25">
      <c r="B210" s="22" t="s">
        <v>61</v>
      </c>
      <c r="C210" s="22" t="s">
        <v>249</v>
      </c>
      <c r="D210" s="22">
        <v>8105</v>
      </c>
      <c r="E210" s="22" t="s">
        <v>63</v>
      </c>
      <c r="F210" s="22" t="s">
        <v>64</v>
      </c>
      <c r="G210" t="s">
        <v>63</v>
      </c>
      <c r="H210" t="s">
        <v>63</v>
      </c>
      <c r="I210" t="s">
        <v>63</v>
      </c>
    </row>
    <row r="211" spans="2:9" x14ac:dyDescent="0.25">
      <c r="B211" s="22" t="s">
        <v>61</v>
      </c>
      <c r="C211" s="22" t="s">
        <v>250</v>
      </c>
      <c r="D211" s="22">
        <v>8105</v>
      </c>
      <c r="E211" s="22" t="s">
        <v>63</v>
      </c>
      <c r="F211" s="22" t="s">
        <v>64</v>
      </c>
      <c r="G211" t="s">
        <v>63</v>
      </c>
      <c r="H211" t="s">
        <v>63</v>
      </c>
      <c r="I211" t="s">
        <v>63</v>
      </c>
    </row>
    <row r="212" spans="2:9" x14ac:dyDescent="0.25">
      <c r="B212" s="22" t="s">
        <v>61</v>
      </c>
      <c r="C212" s="22" t="s">
        <v>251</v>
      </c>
      <c r="D212" s="22">
        <v>8105</v>
      </c>
      <c r="E212" s="22" t="s">
        <v>63</v>
      </c>
      <c r="F212" s="22" t="s">
        <v>64</v>
      </c>
      <c r="G212" t="s">
        <v>63</v>
      </c>
      <c r="H212" t="s">
        <v>63</v>
      </c>
      <c r="I212" t="s">
        <v>63</v>
      </c>
    </row>
    <row r="213" spans="2:9" x14ac:dyDescent="0.25">
      <c r="B213" s="22" t="s">
        <v>61</v>
      </c>
      <c r="C213" s="22" t="s">
        <v>252</v>
      </c>
      <c r="D213" s="22">
        <v>8105</v>
      </c>
      <c r="E213" s="22" t="s">
        <v>63</v>
      </c>
      <c r="F213" s="22" t="s">
        <v>64</v>
      </c>
      <c r="G213" t="s">
        <v>63</v>
      </c>
      <c r="H213" t="s">
        <v>63</v>
      </c>
      <c r="I213" t="s">
        <v>63</v>
      </c>
    </row>
    <row r="214" spans="2:9" x14ac:dyDescent="0.25">
      <c r="B214" s="22" t="s">
        <v>61</v>
      </c>
      <c r="C214" s="22" t="s">
        <v>253</v>
      </c>
      <c r="D214" s="22">
        <v>8105</v>
      </c>
      <c r="E214" s="22" t="s">
        <v>63</v>
      </c>
      <c r="F214" s="22" t="s">
        <v>64</v>
      </c>
      <c r="G214" t="s">
        <v>63</v>
      </c>
      <c r="H214" t="s">
        <v>63</v>
      </c>
      <c r="I214" t="s">
        <v>63</v>
      </c>
    </row>
    <row r="215" spans="2:9" x14ac:dyDescent="0.25">
      <c r="B215" s="22" t="s">
        <v>61</v>
      </c>
      <c r="C215" s="22" t="s">
        <v>254</v>
      </c>
      <c r="D215" s="22">
        <v>8105</v>
      </c>
      <c r="E215" s="22" t="s">
        <v>63</v>
      </c>
      <c r="F215" s="22" t="s">
        <v>64</v>
      </c>
      <c r="G215" t="s">
        <v>63</v>
      </c>
      <c r="H215" t="s">
        <v>63</v>
      </c>
      <c r="I215" t="s">
        <v>63</v>
      </c>
    </row>
    <row r="216" spans="2:9" x14ac:dyDescent="0.25">
      <c r="B216" s="22" t="s">
        <v>61</v>
      </c>
      <c r="C216" s="22" t="s">
        <v>255</v>
      </c>
      <c r="D216" s="22">
        <v>8105</v>
      </c>
      <c r="E216" s="22" t="s">
        <v>63</v>
      </c>
      <c r="F216" s="22" t="s">
        <v>64</v>
      </c>
      <c r="G216" t="s">
        <v>63</v>
      </c>
      <c r="H216" t="s">
        <v>63</v>
      </c>
      <c r="I216" t="s">
        <v>63</v>
      </c>
    </row>
    <row r="217" spans="2:9" x14ac:dyDescent="0.25">
      <c r="B217" s="22" t="s">
        <v>61</v>
      </c>
      <c r="C217" s="22" t="s">
        <v>256</v>
      </c>
      <c r="D217" s="22">
        <v>8105</v>
      </c>
      <c r="E217" s="22" t="s">
        <v>63</v>
      </c>
      <c r="F217" s="22" t="s">
        <v>64</v>
      </c>
      <c r="G217" t="s">
        <v>63</v>
      </c>
      <c r="H217" t="s">
        <v>63</v>
      </c>
      <c r="I217" t="s">
        <v>63</v>
      </c>
    </row>
    <row r="218" spans="2:9" x14ac:dyDescent="0.25">
      <c r="B218" s="22" t="s">
        <v>61</v>
      </c>
      <c r="C218" s="22" t="s">
        <v>257</v>
      </c>
      <c r="D218" s="22">
        <v>8105</v>
      </c>
      <c r="E218" s="22" t="s">
        <v>63</v>
      </c>
      <c r="F218" s="22" t="s">
        <v>64</v>
      </c>
      <c r="G218" t="s">
        <v>63</v>
      </c>
      <c r="H218" t="s">
        <v>63</v>
      </c>
      <c r="I218" t="s">
        <v>63</v>
      </c>
    </row>
    <row r="219" spans="2:9" x14ac:dyDescent="0.25">
      <c r="B219" s="22" t="s">
        <v>61</v>
      </c>
      <c r="C219" s="22" t="s">
        <v>258</v>
      </c>
      <c r="D219" s="22">
        <v>8105</v>
      </c>
      <c r="E219" s="22" t="s">
        <v>63</v>
      </c>
      <c r="F219" s="22" t="s">
        <v>64</v>
      </c>
      <c r="G219" t="s">
        <v>63</v>
      </c>
      <c r="H219" t="s">
        <v>63</v>
      </c>
      <c r="I219" t="s">
        <v>63</v>
      </c>
    </row>
    <row r="220" spans="2:9" x14ac:dyDescent="0.25">
      <c r="B220" s="22" t="s">
        <v>61</v>
      </c>
      <c r="C220" s="22" t="s">
        <v>259</v>
      </c>
      <c r="D220" s="22">
        <v>8105</v>
      </c>
      <c r="E220" s="22" t="s">
        <v>63</v>
      </c>
      <c r="F220" s="22" t="s">
        <v>64</v>
      </c>
      <c r="G220" t="s">
        <v>63</v>
      </c>
      <c r="H220" t="s">
        <v>63</v>
      </c>
      <c r="I220" t="s">
        <v>63</v>
      </c>
    </row>
    <row r="221" spans="2:9" x14ac:dyDescent="0.25">
      <c r="B221" s="22" t="s">
        <v>61</v>
      </c>
      <c r="C221" s="22" t="s">
        <v>260</v>
      </c>
      <c r="D221" s="22">
        <v>8105</v>
      </c>
      <c r="E221" s="22" t="s">
        <v>63</v>
      </c>
      <c r="F221" s="22" t="s">
        <v>64</v>
      </c>
      <c r="G221" t="s">
        <v>63</v>
      </c>
      <c r="H221" t="s">
        <v>63</v>
      </c>
      <c r="I221" t="s">
        <v>63</v>
      </c>
    </row>
    <row r="222" spans="2:9" x14ac:dyDescent="0.25">
      <c r="B222" s="22" t="s">
        <v>61</v>
      </c>
      <c r="C222" s="22" t="s">
        <v>261</v>
      </c>
      <c r="D222" s="22">
        <v>8105</v>
      </c>
      <c r="E222" s="22" t="s">
        <v>63</v>
      </c>
      <c r="F222" s="22" t="s">
        <v>64</v>
      </c>
      <c r="G222" t="s">
        <v>63</v>
      </c>
      <c r="H222" t="s">
        <v>63</v>
      </c>
      <c r="I222" t="s">
        <v>63</v>
      </c>
    </row>
    <row r="223" spans="2:9" hidden="1" x14ac:dyDescent="0.25">
      <c r="B223" s="23" t="s">
        <v>96</v>
      </c>
      <c r="C223" s="23" t="s">
        <v>26</v>
      </c>
      <c r="D223" s="23">
        <v>-24926</v>
      </c>
      <c r="E223" s="23" t="s">
        <v>97</v>
      </c>
      <c r="F223" t="s">
        <v>63</v>
      </c>
      <c r="G223" t="s">
        <v>63</v>
      </c>
      <c r="H223" t="s">
        <v>63</v>
      </c>
      <c r="I223" t="s">
        <v>63</v>
      </c>
    </row>
    <row r="224" spans="2:9" x14ac:dyDescent="0.25">
      <c r="B224" s="22" t="s">
        <v>61</v>
      </c>
      <c r="C224" s="22" t="s">
        <v>262</v>
      </c>
      <c r="D224" s="22">
        <v>8105</v>
      </c>
      <c r="E224" s="22" t="s">
        <v>63</v>
      </c>
      <c r="F224" s="22" t="s">
        <v>64</v>
      </c>
      <c r="G224" t="s">
        <v>63</v>
      </c>
      <c r="H224" t="s">
        <v>63</v>
      </c>
      <c r="I224" t="s">
        <v>63</v>
      </c>
    </row>
    <row r="225" spans="2:9" x14ac:dyDescent="0.25">
      <c r="B225" s="22" t="s">
        <v>61</v>
      </c>
      <c r="C225" s="22" t="s">
        <v>263</v>
      </c>
      <c r="D225" s="22">
        <v>8105</v>
      </c>
      <c r="E225" s="22" t="s">
        <v>63</v>
      </c>
      <c r="F225" s="22" t="s">
        <v>64</v>
      </c>
      <c r="G225" t="s">
        <v>63</v>
      </c>
      <c r="H225" t="s">
        <v>63</v>
      </c>
      <c r="I225" t="s">
        <v>63</v>
      </c>
    </row>
    <row r="226" spans="2:9" x14ac:dyDescent="0.25">
      <c r="B226" s="22" t="s">
        <v>61</v>
      </c>
      <c r="C226" s="22" t="s">
        <v>264</v>
      </c>
      <c r="D226" s="22">
        <v>8105</v>
      </c>
      <c r="E226" s="22" t="s">
        <v>63</v>
      </c>
      <c r="F226" s="22" t="s">
        <v>64</v>
      </c>
      <c r="G226" t="s">
        <v>63</v>
      </c>
      <c r="H226" t="s">
        <v>63</v>
      </c>
      <c r="I226" t="s">
        <v>63</v>
      </c>
    </row>
    <row r="227" spans="2:9" x14ac:dyDescent="0.25">
      <c r="B227" s="22" t="s">
        <v>61</v>
      </c>
      <c r="C227" s="22" t="s">
        <v>265</v>
      </c>
      <c r="D227" s="22">
        <v>8105</v>
      </c>
      <c r="E227" s="22" t="s">
        <v>63</v>
      </c>
      <c r="F227" s="22" t="s">
        <v>64</v>
      </c>
      <c r="G227" t="s">
        <v>63</v>
      </c>
      <c r="H227" t="s">
        <v>63</v>
      </c>
      <c r="I227" t="s">
        <v>63</v>
      </c>
    </row>
    <row r="228" spans="2:9" x14ac:dyDescent="0.25">
      <c r="B228" s="22" t="s">
        <v>61</v>
      </c>
      <c r="C228" s="22" t="s">
        <v>266</v>
      </c>
      <c r="D228" s="22">
        <v>8105</v>
      </c>
      <c r="E228" s="22" t="s">
        <v>63</v>
      </c>
      <c r="F228" s="22" t="s">
        <v>64</v>
      </c>
      <c r="G228" t="s">
        <v>63</v>
      </c>
      <c r="H228" t="s">
        <v>63</v>
      </c>
      <c r="I228" t="s">
        <v>63</v>
      </c>
    </row>
    <row r="229" spans="2:9" x14ac:dyDescent="0.25">
      <c r="B229" s="22" t="s">
        <v>61</v>
      </c>
      <c r="C229" s="22" t="s">
        <v>267</v>
      </c>
      <c r="D229" s="22">
        <v>8105</v>
      </c>
      <c r="E229" s="22" t="s">
        <v>63</v>
      </c>
      <c r="F229" s="22" t="s">
        <v>64</v>
      </c>
      <c r="G229" t="s">
        <v>63</v>
      </c>
      <c r="H229" t="s">
        <v>63</v>
      </c>
      <c r="I229" t="s">
        <v>63</v>
      </c>
    </row>
    <row r="230" spans="2:9" x14ac:dyDescent="0.25">
      <c r="B230" s="22" t="s">
        <v>61</v>
      </c>
      <c r="C230" s="22" t="s">
        <v>268</v>
      </c>
      <c r="D230" s="22">
        <v>8105</v>
      </c>
      <c r="E230" s="22" t="s">
        <v>63</v>
      </c>
      <c r="F230" s="22" t="s">
        <v>64</v>
      </c>
      <c r="G230" t="s">
        <v>63</v>
      </c>
      <c r="H230" t="s">
        <v>63</v>
      </c>
      <c r="I230" t="s">
        <v>63</v>
      </c>
    </row>
    <row r="231" spans="2:9" x14ac:dyDescent="0.25">
      <c r="B231" s="22" t="s">
        <v>61</v>
      </c>
      <c r="C231" s="22" t="s">
        <v>269</v>
      </c>
      <c r="D231" s="22">
        <v>8105</v>
      </c>
      <c r="E231" s="22" t="s">
        <v>63</v>
      </c>
      <c r="F231" s="22" t="s">
        <v>64</v>
      </c>
      <c r="G231" t="s">
        <v>63</v>
      </c>
      <c r="H231" t="s">
        <v>63</v>
      </c>
      <c r="I231" t="s">
        <v>63</v>
      </c>
    </row>
    <row r="232" spans="2:9" x14ac:dyDescent="0.25">
      <c r="B232" s="22" t="s">
        <v>61</v>
      </c>
      <c r="C232" s="22" t="s">
        <v>270</v>
      </c>
      <c r="D232" s="22">
        <v>8105</v>
      </c>
      <c r="E232" s="22" t="s">
        <v>63</v>
      </c>
      <c r="F232" s="22" t="s">
        <v>64</v>
      </c>
      <c r="G232" t="s">
        <v>63</v>
      </c>
      <c r="H232" t="s">
        <v>63</v>
      </c>
      <c r="I232" t="s">
        <v>63</v>
      </c>
    </row>
    <row r="233" spans="2:9" x14ac:dyDescent="0.25">
      <c r="B233" s="22" t="s">
        <v>61</v>
      </c>
      <c r="C233" s="22" t="s">
        <v>271</v>
      </c>
      <c r="D233" s="22">
        <v>8105</v>
      </c>
      <c r="E233" s="22" t="s">
        <v>63</v>
      </c>
      <c r="F233" s="22" t="s">
        <v>64</v>
      </c>
      <c r="G233" t="s">
        <v>63</v>
      </c>
      <c r="H233" t="s">
        <v>63</v>
      </c>
      <c r="I233" t="s">
        <v>63</v>
      </c>
    </row>
    <row r="234" spans="2:9" x14ac:dyDescent="0.25">
      <c r="B234" s="22" t="s">
        <v>61</v>
      </c>
      <c r="C234" s="22" t="s">
        <v>272</v>
      </c>
      <c r="D234" s="22">
        <v>8105</v>
      </c>
      <c r="E234" s="22" t="s">
        <v>63</v>
      </c>
      <c r="F234" s="22" t="s">
        <v>64</v>
      </c>
      <c r="G234" t="s">
        <v>63</v>
      </c>
      <c r="H234" t="s">
        <v>63</v>
      </c>
      <c r="I234" t="s">
        <v>63</v>
      </c>
    </row>
    <row r="235" spans="2:9" x14ac:dyDescent="0.25">
      <c r="B235" s="22" t="s">
        <v>61</v>
      </c>
      <c r="C235" s="22" t="s">
        <v>273</v>
      </c>
      <c r="D235" s="22">
        <v>8105</v>
      </c>
      <c r="E235" s="22" t="s">
        <v>63</v>
      </c>
      <c r="F235" s="22" t="s">
        <v>64</v>
      </c>
      <c r="G235" t="s">
        <v>63</v>
      </c>
      <c r="H235" t="s">
        <v>63</v>
      </c>
      <c r="I235" t="s">
        <v>63</v>
      </c>
    </row>
    <row r="236" spans="2:9" x14ac:dyDescent="0.25">
      <c r="B236" s="22" t="s">
        <v>61</v>
      </c>
      <c r="C236" s="22" t="s">
        <v>274</v>
      </c>
      <c r="D236" s="22">
        <v>8105</v>
      </c>
      <c r="E236" s="22" t="s">
        <v>63</v>
      </c>
      <c r="F236" s="22" t="s">
        <v>64</v>
      </c>
      <c r="G236" t="s">
        <v>63</v>
      </c>
      <c r="H236" t="s">
        <v>63</v>
      </c>
      <c r="I236" t="s">
        <v>63</v>
      </c>
    </row>
    <row r="237" spans="2:9" x14ac:dyDescent="0.25">
      <c r="B237" s="22" t="s">
        <v>61</v>
      </c>
      <c r="C237" s="22" t="s">
        <v>275</v>
      </c>
      <c r="D237" s="22">
        <v>8105</v>
      </c>
      <c r="E237" s="22" t="s">
        <v>63</v>
      </c>
      <c r="F237" s="22" t="s">
        <v>64</v>
      </c>
      <c r="G237" t="s">
        <v>63</v>
      </c>
      <c r="H237" t="s">
        <v>63</v>
      </c>
      <c r="I237" t="s">
        <v>63</v>
      </c>
    </row>
    <row r="238" spans="2:9" x14ac:dyDescent="0.25">
      <c r="B238" s="22" t="s">
        <v>61</v>
      </c>
      <c r="C238" s="22" t="s">
        <v>276</v>
      </c>
      <c r="D238" s="22">
        <v>8105</v>
      </c>
      <c r="E238" s="22" t="s">
        <v>63</v>
      </c>
      <c r="F238" s="22" t="s">
        <v>64</v>
      </c>
      <c r="G238" t="s">
        <v>63</v>
      </c>
      <c r="H238" t="s">
        <v>63</v>
      </c>
      <c r="I238" t="s">
        <v>63</v>
      </c>
    </row>
    <row r="239" spans="2:9" x14ac:dyDescent="0.25">
      <c r="B239" s="22" t="s">
        <v>61</v>
      </c>
      <c r="C239" s="22" t="s">
        <v>277</v>
      </c>
      <c r="D239" s="22">
        <v>8105</v>
      </c>
      <c r="E239" s="22" t="s">
        <v>63</v>
      </c>
      <c r="F239" s="22" t="s">
        <v>64</v>
      </c>
      <c r="G239" t="s">
        <v>63</v>
      </c>
      <c r="H239" t="s">
        <v>63</v>
      </c>
      <c r="I239" t="s">
        <v>63</v>
      </c>
    </row>
    <row r="240" spans="2:9" x14ac:dyDescent="0.25">
      <c r="B240" s="22" t="s">
        <v>61</v>
      </c>
      <c r="C240" s="22" t="s">
        <v>278</v>
      </c>
      <c r="D240" s="22">
        <v>8105</v>
      </c>
      <c r="E240" s="22" t="s">
        <v>63</v>
      </c>
      <c r="F240" s="22" t="s">
        <v>64</v>
      </c>
      <c r="G240" t="s">
        <v>63</v>
      </c>
      <c r="H240" t="s">
        <v>63</v>
      </c>
      <c r="I240" t="s">
        <v>63</v>
      </c>
    </row>
    <row r="241" spans="2:9" x14ac:dyDescent="0.25">
      <c r="B241" s="22" t="s">
        <v>61</v>
      </c>
      <c r="C241" s="22" t="s">
        <v>279</v>
      </c>
      <c r="D241" s="22">
        <v>8105</v>
      </c>
      <c r="E241" s="22" t="s">
        <v>63</v>
      </c>
      <c r="F241" s="22" t="s">
        <v>64</v>
      </c>
      <c r="G241" t="s">
        <v>63</v>
      </c>
      <c r="H241" t="s">
        <v>63</v>
      </c>
      <c r="I241" t="s">
        <v>63</v>
      </c>
    </row>
    <row r="242" spans="2:9" x14ac:dyDescent="0.25">
      <c r="B242" s="22" t="s">
        <v>61</v>
      </c>
      <c r="C242" s="22" t="s">
        <v>280</v>
      </c>
      <c r="D242" s="22">
        <v>8105</v>
      </c>
      <c r="E242" s="22" t="s">
        <v>63</v>
      </c>
      <c r="F242" s="22" t="s">
        <v>64</v>
      </c>
      <c r="G242" t="s">
        <v>63</v>
      </c>
      <c r="H242" t="s">
        <v>63</v>
      </c>
      <c r="I242" t="s">
        <v>63</v>
      </c>
    </row>
    <row r="243" spans="2:9" x14ac:dyDescent="0.25">
      <c r="B243" s="22" t="s">
        <v>61</v>
      </c>
      <c r="C243" s="22" t="s">
        <v>281</v>
      </c>
      <c r="D243" s="22">
        <v>8105</v>
      </c>
      <c r="E243" s="22" t="s">
        <v>63</v>
      </c>
      <c r="F243" s="22" t="s">
        <v>64</v>
      </c>
      <c r="G243" t="s">
        <v>63</v>
      </c>
      <c r="H243" t="s">
        <v>63</v>
      </c>
      <c r="I243" t="s">
        <v>63</v>
      </c>
    </row>
    <row r="244" spans="2:9" x14ac:dyDescent="0.25">
      <c r="B244" s="22" t="s">
        <v>61</v>
      </c>
      <c r="C244" s="22" t="s">
        <v>282</v>
      </c>
      <c r="D244" s="22">
        <v>8105</v>
      </c>
      <c r="E244" s="22" t="s">
        <v>63</v>
      </c>
      <c r="F244" s="22" t="s">
        <v>64</v>
      </c>
      <c r="G244" t="s">
        <v>63</v>
      </c>
      <c r="H244" t="s">
        <v>63</v>
      </c>
      <c r="I244" t="s">
        <v>63</v>
      </c>
    </row>
    <row r="245" spans="2:9" x14ac:dyDescent="0.25">
      <c r="B245" s="22" t="s">
        <v>61</v>
      </c>
      <c r="C245" s="22" t="s">
        <v>283</v>
      </c>
      <c r="D245" s="22">
        <v>8105</v>
      </c>
      <c r="E245" s="22" t="s">
        <v>63</v>
      </c>
      <c r="F245" s="22" t="s">
        <v>64</v>
      </c>
      <c r="G245" t="s">
        <v>63</v>
      </c>
      <c r="H245" t="s">
        <v>63</v>
      </c>
      <c r="I245" t="s">
        <v>63</v>
      </c>
    </row>
    <row r="246" spans="2:9" x14ac:dyDescent="0.25">
      <c r="B246" s="22" t="s">
        <v>61</v>
      </c>
      <c r="C246" s="22" t="s">
        <v>284</v>
      </c>
      <c r="D246" s="22">
        <v>8105</v>
      </c>
      <c r="E246" s="22" t="s">
        <v>63</v>
      </c>
      <c r="F246" s="22" t="s">
        <v>64</v>
      </c>
      <c r="G246" t="s">
        <v>63</v>
      </c>
      <c r="H246" t="s">
        <v>63</v>
      </c>
      <c r="I246" t="s">
        <v>63</v>
      </c>
    </row>
    <row r="247" spans="2:9" x14ac:dyDescent="0.25">
      <c r="B247" s="22" t="s">
        <v>61</v>
      </c>
      <c r="C247" s="22" t="s">
        <v>285</v>
      </c>
      <c r="D247" s="22">
        <v>8105</v>
      </c>
      <c r="E247" s="22" t="s">
        <v>63</v>
      </c>
      <c r="F247" s="22" t="s">
        <v>64</v>
      </c>
      <c r="G247" t="s">
        <v>63</v>
      </c>
      <c r="H247" t="s">
        <v>63</v>
      </c>
      <c r="I247" t="s">
        <v>63</v>
      </c>
    </row>
    <row r="248" spans="2:9" x14ac:dyDescent="0.25">
      <c r="B248" s="22" t="s">
        <v>61</v>
      </c>
      <c r="C248" s="22" t="s">
        <v>286</v>
      </c>
      <c r="D248" s="22">
        <v>8105</v>
      </c>
      <c r="E248" s="22" t="s">
        <v>63</v>
      </c>
      <c r="F248" s="22" t="s">
        <v>64</v>
      </c>
      <c r="G248" t="s">
        <v>63</v>
      </c>
      <c r="H248" t="s">
        <v>63</v>
      </c>
      <c r="I248" t="s">
        <v>63</v>
      </c>
    </row>
    <row r="249" spans="2:9" x14ac:dyDescent="0.25">
      <c r="B249" s="22" t="s">
        <v>61</v>
      </c>
      <c r="C249" s="22" t="s">
        <v>287</v>
      </c>
      <c r="D249" s="22">
        <v>8105</v>
      </c>
      <c r="E249" s="22" t="s">
        <v>63</v>
      </c>
      <c r="F249" s="22" t="s">
        <v>64</v>
      </c>
      <c r="G249" t="s">
        <v>63</v>
      </c>
      <c r="H249" t="s">
        <v>63</v>
      </c>
      <c r="I249" t="s">
        <v>63</v>
      </c>
    </row>
    <row r="250" spans="2:9" x14ac:dyDescent="0.25">
      <c r="B250" s="22" t="s">
        <v>61</v>
      </c>
      <c r="C250" s="22" t="s">
        <v>288</v>
      </c>
      <c r="D250" s="22">
        <v>8105</v>
      </c>
      <c r="E250" s="22" t="s">
        <v>63</v>
      </c>
      <c r="F250" s="22" t="s">
        <v>64</v>
      </c>
      <c r="G250" t="s">
        <v>63</v>
      </c>
      <c r="H250" t="s">
        <v>63</v>
      </c>
      <c r="I250" t="s">
        <v>63</v>
      </c>
    </row>
    <row r="251" spans="2:9" x14ac:dyDescent="0.25">
      <c r="B251" s="22" t="s">
        <v>61</v>
      </c>
      <c r="C251" s="22" t="s">
        <v>289</v>
      </c>
      <c r="D251" s="22">
        <v>8105</v>
      </c>
      <c r="E251" s="22" t="s">
        <v>63</v>
      </c>
      <c r="F251" s="22" t="s">
        <v>64</v>
      </c>
      <c r="G251" t="s">
        <v>63</v>
      </c>
      <c r="H251" t="s">
        <v>63</v>
      </c>
      <c r="I251" t="s">
        <v>63</v>
      </c>
    </row>
    <row r="252" spans="2:9" x14ac:dyDescent="0.25">
      <c r="B252" s="22" t="s">
        <v>61</v>
      </c>
      <c r="C252" s="22" t="s">
        <v>290</v>
      </c>
      <c r="D252" s="22">
        <v>8105</v>
      </c>
      <c r="E252" s="22" t="s">
        <v>63</v>
      </c>
      <c r="F252" s="22" t="s">
        <v>64</v>
      </c>
      <c r="G252" t="s">
        <v>63</v>
      </c>
      <c r="H252" t="s">
        <v>63</v>
      </c>
      <c r="I252" t="s">
        <v>63</v>
      </c>
    </row>
    <row r="253" spans="2:9" x14ac:dyDescent="0.25">
      <c r="B253" s="22" t="s">
        <v>61</v>
      </c>
      <c r="C253" s="22" t="s">
        <v>291</v>
      </c>
      <c r="D253" s="22">
        <v>8105</v>
      </c>
      <c r="E253" s="22" t="s">
        <v>63</v>
      </c>
      <c r="F253" s="22" t="s">
        <v>64</v>
      </c>
      <c r="G253" t="s">
        <v>63</v>
      </c>
      <c r="H253" t="s">
        <v>63</v>
      </c>
      <c r="I253" t="s">
        <v>63</v>
      </c>
    </row>
    <row r="254" spans="2:9" x14ac:dyDescent="0.25">
      <c r="B254" s="22" t="s">
        <v>61</v>
      </c>
      <c r="C254" s="22" t="s">
        <v>292</v>
      </c>
      <c r="D254" s="22">
        <v>8105</v>
      </c>
      <c r="E254" s="22" t="s">
        <v>63</v>
      </c>
      <c r="F254" s="22" t="s">
        <v>64</v>
      </c>
      <c r="G254" t="s">
        <v>63</v>
      </c>
      <c r="H254" t="s">
        <v>63</v>
      </c>
      <c r="I254" t="s">
        <v>63</v>
      </c>
    </row>
    <row r="255" spans="2:9" x14ac:dyDescent="0.25">
      <c r="B255" s="22" t="s">
        <v>61</v>
      </c>
      <c r="C255" s="22" t="s">
        <v>293</v>
      </c>
      <c r="D255" s="22">
        <v>8105</v>
      </c>
      <c r="E255" s="22" t="s">
        <v>63</v>
      </c>
      <c r="F255" s="22" t="s">
        <v>64</v>
      </c>
      <c r="G255" t="s">
        <v>63</v>
      </c>
      <c r="H255" t="s">
        <v>63</v>
      </c>
      <c r="I255" t="s">
        <v>63</v>
      </c>
    </row>
    <row r="256" spans="2:9" x14ac:dyDescent="0.25">
      <c r="B256" s="22" t="s">
        <v>61</v>
      </c>
      <c r="C256" s="22" t="s">
        <v>294</v>
      </c>
      <c r="D256" s="22">
        <v>8105</v>
      </c>
      <c r="E256" s="22" t="s">
        <v>63</v>
      </c>
      <c r="F256" s="22" t="s">
        <v>64</v>
      </c>
      <c r="G256" t="s">
        <v>63</v>
      </c>
      <c r="H256" t="s">
        <v>63</v>
      </c>
      <c r="I256" t="s">
        <v>63</v>
      </c>
    </row>
    <row r="257" spans="2:9" x14ac:dyDescent="0.25">
      <c r="B257" s="22" t="s">
        <v>61</v>
      </c>
      <c r="C257" s="22" t="s">
        <v>295</v>
      </c>
      <c r="D257" s="22">
        <v>8105</v>
      </c>
      <c r="E257" s="22" t="s">
        <v>63</v>
      </c>
      <c r="F257" s="22" t="s">
        <v>64</v>
      </c>
      <c r="G257" t="s">
        <v>63</v>
      </c>
      <c r="H257" t="s">
        <v>63</v>
      </c>
      <c r="I257" t="s">
        <v>63</v>
      </c>
    </row>
    <row r="258" spans="2:9" x14ac:dyDescent="0.25">
      <c r="B258" s="22" t="s">
        <v>61</v>
      </c>
      <c r="C258" s="22" t="s">
        <v>296</v>
      </c>
      <c r="D258" s="22">
        <v>8105</v>
      </c>
      <c r="E258" s="22" t="s">
        <v>63</v>
      </c>
      <c r="F258" s="22" t="s">
        <v>64</v>
      </c>
      <c r="G258" t="s">
        <v>63</v>
      </c>
      <c r="H258" t="s">
        <v>63</v>
      </c>
      <c r="I258" t="s">
        <v>63</v>
      </c>
    </row>
    <row r="259" spans="2:9" x14ac:dyDescent="0.25">
      <c r="B259" s="22" t="s">
        <v>61</v>
      </c>
      <c r="C259" s="22" t="s">
        <v>297</v>
      </c>
      <c r="D259" s="22">
        <v>8105</v>
      </c>
      <c r="E259" s="22" t="s">
        <v>63</v>
      </c>
      <c r="F259" s="22" t="s">
        <v>64</v>
      </c>
      <c r="G259" t="s">
        <v>63</v>
      </c>
      <c r="H259" t="s">
        <v>63</v>
      </c>
      <c r="I259" t="s">
        <v>63</v>
      </c>
    </row>
    <row r="260" spans="2:9" x14ac:dyDescent="0.25">
      <c r="B260" s="22" t="s">
        <v>61</v>
      </c>
      <c r="C260" s="22" t="s">
        <v>298</v>
      </c>
      <c r="D260" s="22">
        <v>30160</v>
      </c>
      <c r="E260" s="22" t="s">
        <v>63</v>
      </c>
      <c r="F260" s="22" t="s">
        <v>64</v>
      </c>
      <c r="G260" t="s">
        <v>63</v>
      </c>
      <c r="H260" t="s">
        <v>63</v>
      </c>
      <c r="I260" t="s">
        <v>63</v>
      </c>
    </row>
    <row r="261" spans="2:9" x14ac:dyDescent="0.25">
      <c r="B261" s="22" t="s">
        <v>61</v>
      </c>
      <c r="C261" s="22" t="s">
        <v>299</v>
      </c>
      <c r="D261" s="22">
        <v>7540</v>
      </c>
      <c r="E261" s="22" t="s">
        <v>63</v>
      </c>
      <c r="F261" s="22" t="s">
        <v>64</v>
      </c>
      <c r="G261" t="s">
        <v>63</v>
      </c>
      <c r="H261" t="s">
        <v>63</v>
      </c>
      <c r="I261" t="s">
        <v>63</v>
      </c>
    </row>
    <row r="262" spans="2:9" x14ac:dyDescent="0.25">
      <c r="B262" s="22" t="s">
        <v>61</v>
      </c>
      <c r="C262" s="22" t="s">
        <v>300</v>
      </c>
      <c r="D262" s="22">
        <v>7540</v>
      </c>
      <c r="E262" s="22" t="s">
        <v>63</v>
      </c>
      <c r="F262" s="22" t="s">
        <v>64</v>
      </c>
      <c r="G262" t="s">
        <v>63</v>
      </c>
      <c r="H262" t="s">
        <v>63</v>
      </c>
      <c r="I262" t="s">
        <v>63</v>
      </c>
    </row>
    <row r="263" spans="2:9" x14ac:dyDescent="0.25">
      <c r="B263" s="22" t="s">
        <v>61</v>
      </c>
      <c r="C263" s="22" t="s">
        <v>301</v>
      </c>
      <c r="D263" s="22">
        <v>7540</v>
      </c>
      <c r="E263" s="22" t="s">
        <v>63</v>
      </c>
      <c r="F263" s="22" t="s">
        <v>64</v>
      </c>
      <c r="G263" t="s">
        <v>63</v>
      </c>
      <c r="H263" t="s">
        <v>63</v>
      </c>
      <c r="I263" t="s">
        <v>63</v>
      </c>
    </row>
    <row r="264" spans="2:9" x14ac:dyDescent="0.25">
      <c r="B264" s="22" t="s">
        <v>61</v>
      </c>
      <c r="C264" s="22" t="s">
        <v>302</v>
      </c>
      <c r="D264" s="22">
        <v>7540</v>
      </c>
      <c r="E264" s="22" t="s">
        <v>63</v>
      </c>
      <c r="F264" s="22" t="s">
        <v>64</v>
      </c>
      <c r="G264" t="s">
        <v>63</v>
      </c>
      <c r="H264" t="s">
        <v>63</v>
      </c>
      <c r="I264" t="s">
        <v>63</v>
      </c>
    </row>
    <row r="265" spans="2:9" x14ac:dyDescent="0.25">
      <c r="B265" s="22" t="s">
        <v>61</v>
      </c>
      <c r="C265" s="22" t="s">
        <v>303</v>
      </c>
      <c r="D265" s="22">
        <v>7540</v>
      </c>
      <c r="E265" s="22" t="s">
        <v>63</v>
      </c>
      <c r="F265" s="22" t="s">
        <v>64</v>
      </c>
      <c r="G265" t="s">
        <v>63</v>
      </c>
      <c r="H265" t="s">
        <v>63</v>
      </c>
      <c r="I265" t="s">
        <v>63</v>
      </c>
    </row>
    <row r="266" spans="2:9" x14ac:dyDescent="0.25">
      <c r="B266" s="22" t="s">
        <v>61</v>
      </c>
      <c r="C266" s="22" t="s">
        <v>304</v>
      </c>
      <c r="D266" s="22">
        <v>7540</v>
      </c>
      <c r="E266" s="22" t="s">
        <v>63</v>
      </c>
      <c r="F266" s="22" t="s">
        <v>64</v>
      </c>
      <c r="G266" t="s">
        <v>63</v>
      </c>
      <c r="H266" t="s">
        <v>63</v>
      </c>
      <c r="I266" t="s">
        <v>63</v>
      </c>
    </row>
    <row r="267" spans="2:9" x14ac:dyDescent="0.25">
      <c r="B267" s="22" t="s">
        <v>61</v>
      </c>
      <c r="C267" s="22" t="s">
        <v>305</v>
      </c>
      <c r="D267" s="22">
        <v>7540</v>
      </c>
      <c r="E267" s="22" t="s">
        <v>63</v>
      </c>
      <c r="F267" s="22" t="s">
        <v>64</v>
      </c>
      <c r="G267" t="s">
        <v>63</v>
      </c>
      <c r="H267" t="s">
        <v>63</v>
      </c>
      <c r="I267" t="s">
        <v>63</v>
      </c>
    </row>
    <row r="268" spans="2:9" x14ac:dyDescent="0.25">
      <c r="B268" s="22" t="s">
        <v>61</v>
      </c>
      <c r="C268" s="22" t="s">
        <v>306</v>
      </c>
      <c r="D268" s="22">
        <v>7540</v>
      </c>
      <c r="E268" s="22" t="s">
        <v>63</v>
      </c>
      <c r="F268" s="22" t="s">
        <v>64</v>
      </c>
      <c r="G268" t="s">
        <v>63</v>
      </c>
      <c r="H268" t="s">
        <v>63</v>
      </c>
      <c r="I268" t="s">
        <v>63</v>
      </c>
    </row>
    <row r="269" spans="2:9" x14ac:dyDescent="0.25">
      <c r="B269" s="22" t="s">
        <v>61</v>
      </c>
      <c r="C269" s="22" t="s">
        <v>307</v>
      </c>
      <c r="D269" s="22">
        <v>7540</v>
      </c>
      <c r="E269" s="22" t="s">
        <v>63</v>
      </c>
      <c r="F269" s="22" t="s">
        <v>64</v>
      </c>
      <c r="G269" t="s">
        <v>63</v>
      </c>
      <c r="H269" t="s">
        <v>63</v>
      </c>
      <c r="I269" t="s">
        <v>63</v>
      </c>
    </row>
    <row r="270" spans="2:9" x14ac:dyDescent="0.25">
      <c r="B270" s="22" t="s">
        <v>61</v>
      </c>
      <c r="C270" s="22" t="s">
        <v>308</v>
      </c>
      <c r="D270" s="22">
        <v>7540</v>
      </c>
      <c r="E270" s="22" t="s">
        <v>63</v>
      </c>
      <c r="F270" s="22" t="s">
        <v>64</v>
      </c>
      <c r="G270" t="s">
        <v>63</v>
      </c>
      <c r="H270" t="s">
        <v>63</v>
      </c>
      <c r="I270" t="s">
        <v>63</v>
      </c>
    </row>
    <row r="271" spans="2:9" x14ac:dyDescent="0.25">
      <c r="B271" s="22" t="s">
        <v>61</v>
      </c>
      <c r="C271" s="22" t="s">
        <v>309</v>
      </c>
      <c r="D271" s="22">
        <v>7540</v>
      </c>
      <c r="E271" s="22" t="s">
        <v>63</v>
      </c>
      <c r="F271" s="22" t="s">
        <v>64</v>
      </c>
      <c r="G271" t="s">
        <v>63</v>
      </c>
      <c r="H271" t="s">
        <v>63</v>
      </c>
      <c r="I271" t="s">
        <v>63</v>
      </c>
    </row>
    <row r="272" spans="2:9" x14ac:dyDescent="0.25">
      <c r="B272" s="22" t="s">
        <v>61</v>
      </c>
      <c r="C272" s="22" t="s">
        <v>310</v>
      </c>
      <c r="D272" s="22">
        <v>7540</v>
      </c>
      <c r="E272" s="22" t="s">
        <v>63</v>
      </c>
      <c r="F272" s="22" t="s">
        <v>64</v>
      </c>
      <c r="G272" t="s">
        <v>63</v>
      </c>
      <c r="H272" t="s">
        <v>63</v>
      </c>
      <c r="I272" t="s">
        <v>63</v>
      </c>
    </row>
    <row r="273" spans="2:9" x14ac:dyDescent="0.25">
      <c r="B273" s="22" t="s">
        <v>61</v>
      </c>
      <c r="C273" s="22" t="s">
        <v>311</v>
      </c>
      <c r="D273" s="22">
        <v>7540</v>
      </c>
      <c r="E273" s="22" t="s">
        <v>63</v>
      </c>
      <c r="F273" s="22" t="s">
        <v>64</v>
      </c>
      <c r="G273" t="s">
        <v>63</v>
      </c>
      <c r="H273" t="s">
        <v>63</v>
      </c>
      <c r="I273" t="s">
        <v>63</v>
      </c>
    </row>
    <row r="274" spans="2:9" x14ac:dyDescent="0.25">
      <c r="B274" s="22" t="s">
        <v>61</v>
      </c>
      <c r="C274" s="22" t="s">
        <v>312</v>
      </c>
      <c r="D274" s="22">
        <v>7540</v>
      </c>
      <c r="E274" s="22" t="s">
        <v>63</v>
      </c>
      <c r="F274" s="22" t="s">
        <v>64</v>
      </c>
      <c r="G274" t="s">
        <v>63</v>
      </c>
      <c r="H274" t="s">
        <v>63</v>
      </c>
      <c r="I274" t="s">
        <v>63</v>
      </c>
    </row>
    <row r="275" spans="2:9" x14ac:dyDescent="0.25">
      <c r="B275" s="22" t="s">
        <v>61</v>
      </c>
      <c r="C275" s="22" t="s">
        <v>313</v>
      </c>
      <c r="D275" s="22">
        <v>7540</v>
      </c>
      <c r="E275" s="22" t="s">
        <v>63</v>
      </c>
      <c r="F275" s="22" t="s">
        <v>64</v>
      </c>
      <c r="G275" t="s">
        <v>63</v>
      </c>
      <c r="H275" t="s">
        <v>63</v>
      </c>
      <c r="I275" t="s">
        <v>63</v>
      </c>
    </row>
    <row r="276" spans="2:9" x14ac:dyDescent="0.25">
      <c r="B276" s="22" t="s">
        <v>61</v>
      </c>
      <c r="C276" s="22" t="s">
        <v>314</v>
      </c>
      <c r="D276" s="22">
        <v>7540</v>
      </c>
      <c r="E276" s="22" t="s">
        <v>63</v>
      </c>
      <c r="F276" s="22" t="s">
        <v>64</v>
      </c>
      <c r="G276" t="s">
        <v>63</v>
      </c>
      <c r="H276" t="s">
        <v>63</v>
      </c>
      <c r="I276" t="s">
        <v>63</v>
      </c>
    </row>
    <row r="277" spans="2:9" x14ac:dyDescent="0.25">
      <c r="B277" s="22" t="s">
        <v>61</v>
      </c>
      <c r="C277" s="22" t="s">
        <v>315</v>
      </c>
      <c r="D277" s="22">
        <v>7540</v>
      </c>
      <c r="E277" s="22" t="s">
        <v>63</v>
      </c>
      <c r="F277" s="22" t="s">
        <v>64</v>
      </c>
      <c r="G277" t="s">
        <v>63</v>
      </c>
      <c r="H277" t="s">
        <v>63</v>
      </c>
      <c r="I277" t="s">
        <v>63</v>
      </c>
    </row>
    <row r="278" spans="2:9" x14ac:dyDescent="0.25">
      <c r="B278" s="22" t="s">
        <v>61</v>
      </c>
      <c r="C278" s="22" t="s">
        <v>316</v>
      </c>
      <c r="D278" s="22">
        <v>7540</v>
      </c>
      <c r="E278" s="22" t="s">
        <v>63</v>
      </c>
      <c r="F278" s="22" t="s">
        <v>64</v>
      </c>
      <c r="G278" t="s">
        <v>63</v>
      </c>
      <c r="H278" t="s">
        <v>63</v>
      </c>
      <c r="I278" t="s">
        <v>63</v>
      </c>
    </row>
    <row r="279" spans="2:9" x14ac:dyDescent="0.25">
      <c r="B279" s="22" t="s">
        <v>61</v>
      </c>
      <c r="C279" s="22" t="s">
        <v>317</v>
      </c>
      <c r="D279" s="22">
        <v>7540</v>
      </c>
      <c r="E279" s="22" t="s">
        <v>63</v>
      </c>
      <c r="F279" s="22" t="s">
        <v>64</v>
      </c>
      <c r="G279" t="s">
        <v>63</v>
      </c>
      <c r="H279" t="s">
        <v>63</v>
      </c>
      <c r="I279" t="s">
        <v>63</v>
      </c>
    </row>
    <row r="280" spans="2:9" x14ac:dyDescent="0.25">
      <c r="B280" s="22" t="s">
        <v>61</v>
      </c>
      <c r="C280" s="22" t="s">
        <v>318</v>
      </c>
      <c r="D280" s="22">
        <v>7540</v>
      </c>
      <c r="E280" s="22" t="s">
        <v>63</v>
      </c>
      <c r="F280" s="22" t="s">
        <v>64</v>
      </c>
      <c r="G280" t="s">
        <v>63</v>
      </c>
      <c r="H280" t="s">
        <v>63</v>
      </c>
      <c r="I280" t="s">
        <v>63</v>
      </c>
    </row>
    <row r="281" spans="2:9" x14ac:dyDescent="0.25">
      <c r="B281" s="22" t="s">
        <v>61</v>
      </c>
      <c r="C281" s="22" t="s">
        <v>319</v>
      </c>
      <c r="D281" s="22">
        <v>7540</v>
      </c>
      <c r="E281" s="22" t="s">
        <v>63</v>
      </c>
      <c r="F281" s="22" t="s">
        <v>64</v>
      </c>
      <c r="G281" t="s">
        <v>63</v>
      </c>
      <c r="H281" t="s">
        <v>63</v>
      </c>
      <c r="I281" t="s">
        <v>63</v>
      </c>
    </row>
    <row r="282" spans="2:9" x14ac:dyDescent="0.25">
      <c r="B282" s="22" t="s">
        <v>61</v>
      </c>
      <c r="C282" s="22" t="s">
        <v>320</v>
      </c>
      <c r="D282" s="22">
        <v>7540</v>
      </c>
      <c r="E282" s="22" t="s">
        <v>63</v>
      </c>
      <c r="F282" s="22" t="s">
        <v>64</v>
      </c>
      <c r="G282" t="s">
        <v>63</v>
      </c>
      <c r="H282" t="s">
        <v>63</v>
      </c>
      <c r="I282" t="s">
        <v>63</v>
      </c>
    </row>
    <row r="283" spans="2:9" x14ac:dyDescent="0.25">
      <c r="B283" s="22" t="s">
        <v>61</v>
      </c>
      <c r="C283" s="22" t="s">
        <v>321</v>
      </c>
      <c r="D283" s="22">
        <v>7540</v>
      </c>
      <c r="E283" s="22" t="s">
        <v>63</v>
      </c>
      <c r="F283" s="22" t="s">
        <v>64</v>
      </c>
      <c r="G283" t="s">
        <v>63</v>
      </c>
      <c r="H283" t="s">
        <v>63</v>
      </c>
      <c r="I283" t="s">
        <v>63</v>
      </c>
    </row>
    <row r="284" spans="2:9" x14ac:dyDescent="0.25">
      <c r="B284" s="22" t="s">
        <v>61</v>
      </c>
      <c r="C284" s="22" t="s">
        <v>322</v>
      </c>
      <c r="D284" s="22">
        <v>7540</v>
      </c>
      <c r="E284" s="22" t="s">
        <v>63</v>
      </c>
      <c r="F284" s="22" t="s">
        <v>64</v>
      </c>
      <c r="G284" t="s">
        <v>63</v>
      </c>
      <c r="H284" t="s">
        <v>63</v>
      </c>
      <c r="I284" t="s">
        <v>63</v>
      </c>
    </row>
    <row r="285" spans="2:9" x14ac:dyDescent="0.25">
      <c r="B285" s="22" t="s">
        <v>61</v>
      </c>
      <c r="C285" s="22" t="s">
        <v>323</v>
      </c>
      <c r="D285" s="22">
        <v>7540</v>
      </c>
      <c r="E285" s="22" t="s">
        <v>63</v>
      </c>
      <c r="F285" s="22" t="s">
        <v>64</v>
      </c>
      <c r="G285" t="s">
        <v>63</v>
      </c>
      <c r="H285" t="s">
        <v>63</v>
      </c>
      <c r="I285" t="s">
        <v>63</v>
      </c>
    </row>
    <row r="286" spans="2:9" x14ac:dyDescent="0.25">
      <c r="B286" s="22" t="s">
        <v>61</v>
      </c>
      <c r="C286" s="22" t="s">
        <v>324</v>
      </c>
      <c r="D286" s="22">
        <v>7540</v>
      </c>
      <c r="E286" s="22" t="s">
        <v>63</v>
      </c>
      <c r="F286" s="22" t="s">
        <v>64</v>
      </c>
      <c r="G286" t="s">
        <v>63</v>
      </c>
      <c r="H286" t="s">
        <v>63</v>
      </c>
      <c r="I286" t="s">
        <v>63</v>
      </c>
    </row>
    <row r="287" spans="2:9" x14ac:dyDescent="0.25">
      <c r="B287" s="22" t="s">
        <v>61</v>
      </c>
      <c r="C287" s="22" t="s">
        <v>325</v>
      </c>
      <c r="D287" s="22">
        <v>7540</v>
      </c>
      <c r="E287" s="22" t="s">
        <v>63</v>
      </c>
      <c r="F287" s="22" t="s">
        <v>64</v>
      </c>
      <c r="G287" t="s">
        <v>63</v>
      </c>
      <c r="H287" t="s">
        <v>63</v>
      </c>
      <c r="I287" t="s">
        <v>63</v>
      </c>
    </row>
    <row r="288" spans="2:9" x14ac:dyDescent="0.25">
      <c r="B288" s="22" t="s">
        <v>61</v>
      </c>
      <c r="C288" s="22" t="s">
        <v>326</v>
      </c>
      <c r="D288" s="22">
        <v>7540</v>
      </c>
      <c r="E288" s="22" t="s">
        <v>63</v>
      </c>
      <c r="F288" s="22" t="s">
        <v>64</v>
      </c>
      <c r="G288" t="s">
        <v>63</v>
      </c>
      <c r="H288" t="s">
        <v>63</v>
      </c>
      <c r="I288" t="s">
        <v>63</v>
      </c>
    </row>
    <row r="289" spans="2:9" x14ac:dyDescent="0.25">
      <c r="B289" s="22" t="s">
        <v>61</v>
      </c>
      <c r="C289" s="22" t="s">
        <v>327</v>
      </c>
      <c r="D289" s="22">
        <v>7540</v>
      </c>
      <c r="E289" s="22" t="s">
        <v>63</v>
      </c>
      <c r="F289" s="22" t="s">
        <v>64</v>
      </c>
      <c r="G289" t="s">
        <v>63</v>
      </c>
      <c r="H289" t="s">
        <v>63</v>
      </c>
      <c r="I289" t="s">
        <v>63</v>
      </c>
    </row>
    <row r="290" spans="2:9" x14ac:dyDescent="0.25">
      <c r="B290" s="22" t="s">
        <v>61</v>
      </c>
      <c r="C290" s="22" t="s">
        <v>328</v>
      </c>
      <c r="D290" s="22">
        <v>7540</v>
      </c>
      <c r="E290" s="22" t="s">
        <v>63</v>
      </c>
      <c r="F290" s="22" t="s">
        <v>64</v>
      </c>
      <c r="G290" t="s">
        <v>63</v>
      </c>
      <c r="H290" t="s">
        <v>63</v>
      </c>
      <c r="I290" t="s">
        <v>63</v>
      </c>
    </row>
    <row r="291" spans="2:9" x14ac:dyDescent="0.25">
      <c r="B291" s="22" t="s">
        <v>61</v>
      </c>
      <c r="C291" s="22" t="s">
        <v>329</v>
      </c>
      <c r="D291" s="22">
        <v>7540</v>
      </c>
      <c r="E291" s="22" t="s">
        <v>63</v>
      </c>
      <c r="F291" s="22" t="s">
        <v>64</v>
      </c>
      <c r="G291" t="s">
        <v>63</v>
      </c>
      <c r="H291" t="s">
        <v>63</v>
      </c>
      <c r="I291" t="s">
        <v>63</v>
      </c>
    </row>
    <row r="292" spans="2:9" x14ac:dyDescent="0.25">
      <c r="B292" s="22" t="s">
        <v>61</v>
      </c>
      <c r="C292" s="22" t="s">
        <v>330</v>
      </c>
      <c r="D292" s="22">
        <v>7540</v>
      </c>
      <c r="E292" s="22" t="s">
        <v>63</v>
      </c>
      <c r="F292" s="22" t="s">
        <v>64</v>
      </c>
      <c r="G292" t="s">
        <v>63</v>
      </c>
      <c r="H292" t="s">
        <v>63</v>
      </c>
      <c r="I292" t="s">
        <v>63</v>
      </c>
    </row>
    <row r="293" spans="2:9" x14ac:dyDescent="0.25">
      <c r="B293" s="22" t="s">
        <v>61</v>
      </c>
      <c r="C293" s="22" t="s">
        <v>331</v>
      </c>
      <c r="D293" s="22">
        <v>7540</v>
      </c>
      <c r="E293" s="22" t="s">
        <v>63</v>
      </c>
      <c r="F293" s="22" t="s">
        <v>64</v>
      </c>
      <c r="G293" t="s">
        <v>63</v>
      </c>
      <c r="H293" t="s">
        <v>63</v>
      </c>
      <c r="I293" t="s">
        <v>63</v>
      </c>
    </row>
    <row r="294" spans="2:9" x14ac:dyDescent="0.25">
      <c r="B294" s="22" t="s">
        <v>61</v>
      </c>
      <c r="C294" s="22" t="s">
        <v>332</v>
      </c>
      <c r="D294" s="22">
        <v>7540</v>
      </c>
      <c r="E294" s="22" t="s">
        <v>63</v>
      </c>
      <c r="F294" s="22" t="s">
        <v>64</v>
      </c>
      <c r="G294" t="s">
        <v>63</v>
      </c>
      <c r="H294" t="s">
        <v>63</v>
      </c>
      <c r="I294" t="s">
        <v>63</v>
      </c>
    </row>
    <row r="295" spans="2:9" x14ac:dyDescent="0.25">
      <c r="B295" s="22" t="s">
        <v>61</v>
      </c>
      <c r="C295" s="22" t="s">
        <v>333</v>
      </c>
      <c r="D295" s="22">
        <v>7540</v>
      </c>
      <c r="E295" s="22" t="s">
        <v>63</v>
      </c>
      <c r="F295" s="22" t="s">
        <v>64</v>
      </c>
      <c r="G295" t="s">
        <v>63</v>
      </c>
      <c r="H295" t="s">
        <v>63</v>
      </c>
      <c r="I295" t="s">
        <v>63</v>
      </c>
    </row>
    <row r="296" spans="2:9" x14ac:dyDescent="0.25">
      <c r="B296" s="22" t="s">
        <v>61</v>
      </c>
      <c r="C296" s="22" t="s">
        <v>334</v>
      </c>
      <c r="D296" s="22">
        <v>7540</v>
      </c>
      <c r="E296" s="22" t="s">
        <v>63</v>
      </c>
      <c r="F296" s="22" t="s">
        <v>64</v>
      </c>
      <c r="G296" t="s">
        <v>63</v>
      </c>
      <c r="H296" t="s">
        <v>63</v>
      </c>
      <c r="I296" t="s">
        <v>63</v>
      </c>
    </row>
    <row r="297" spans="2:9" x14ac:dyDescent="0.25">
      <c r="B297" s="22" t="s">
        <v>61</v>
      </c>
      <c r="C297" s="22" t="s">
        <v>335</v>
      </c>
      <c r="D297" s="22">
        <v>7540</v>
      </c>
      <c r="E297" s="22" t="s">
        <v>63</v>
      </c>
      <c r="F297" s="22" t="s">
        <v>64</v>
      </c>
      <c r="G297" t="s">
        <v>63</v>
      </c>
      <c r="H297" t="s">
        <v>63</v>
      </c>
      <c r="I297" t="s">
        <v>63</v>
      </c>
    </row>
    <row r="298" spans="2:9" x14ac:dyDescent="0.25">
      <c r="B298" s="22" t="s">
        <v>61</v>
      </c>
      <c r="C298" s="22" t="s">
        <v>336</v>
      </c>
      <c r="D298" s="22">
        <v>7540</v>
      </c>
      <c r="E298" s="22" t="s">
        <v>63</v>
      </c>
      <c r="F298" s="22" t="s">
        <v>64</v>
      </c>
      <c r="G298" t="s">
        <v>63</v>
      </c>
      <c r="H298" t="s">
        <v>63</v>
      </c>
      <c r="I298" t="s">
        <v>63</v>
      </c>
    </row>
    <row r="299" spans="2:9" x14ac:dyDescent="0.25">
      <c r="B299" s="22" t="s">
        <v>61</v>
      </c>
      <c r="C299" s="22" t="s">
        <v>337</v>
      </c>
      <c r="D299" s="22">
        <v>7540</v>
      </c>
      <c r="E299" s="22" t="s">
        <v>63</v>
      </c>
      <c r="F299" s="22" t="s">
        <v>64</v>
      </c>
      <c r="G299" t="s">
        <v>63</v>
      </c>
      <c r="H299" t="s">
        <v>63</v>
      </c>
      <c r="I299" t="s">
        <v>63</v>
      </c>
    </row>
    <row r="300" spans="2:9" x14ac:dyDescent="0.25">
      <c r="B300" s="22" t="s">
        <v>61</v>
      </c>
      <c r="C300" s="22" t="s">
        <v>338</v>
      </c>
      <c r="D300" s="22">
        <v>7540</v>
      </c>
      <c r="E300" s="22" t="s">
        <v>63</v>
      </c>
      <c r="F300" s="22" t="s">
        <v>64</v>
      </c>
      <c r="G300" t="s">
        <v>63</v>
      </c>
      <c r="H300" t="s">
        <v>63</v>
      </c>
      <c r="I300" t="s">
        <v>63</v>
      </c>
    </row>
    <row r="301" spans="2:9" x14ac:dyDescent="0.25">
      <c r="B301" s="22" t="s">
        <v>61</v>
      </c>
      <c r="C301" s="22" t="s">
        <v>339</v>
      </c>
      <c r="D301" s="22">
        <v>7540</v>
      </c>
      <c r="E301" s="22" t="s">
        <v>63</v>
      </c>
      <c r="F301" s="22" t="s">
        <v>64</v>
      </c>
      <c r="G301" t="s">
        <v>63</v>
      </c>
      <c r="H301" t="s">
        <v>63</v>
      </c>
      <c r="I301" t="s">
        <v>63</v>
      </c>
    </row>
    <row r="302" spans="2:9" x14ac:dyDescent="0.25">
      <c r="B302" s="22" t="s">
        <v>61</v>
      </c>
      <c r="C302" s="22" t="s">
        <v>340</v>
      </c>
      <c r="D302" s="22">
        <v>7540</v>
      </c>
      <c r="E302" s="22" t="s">
        <v>63</v>
      </c>
      <c r="F302" s="22" t="s">
        <v>64</v>
      </c>
      <c r="G302" t="s">
        <v>63</v>
      </c>
      <c r="H302" t="s">
        <v>63</v>
      </c>
      <c r="I302" t="s">
        <v>63</v>
      </c>
    </row>
    <row r="303" spans="2:9" x14ac:dyDescent="0.25">
      <c r="B303" s="22" t="s">
        <v>61</v>
      </c>
      <c r="C303" s="22" t="s">
        <v>341</v>
      </c>
      <c r="D303" s="22">
        <v>7540</v>
      </c>
      <c r="E303" s="22" t="s">
        <v>63</v>
      </c>
      <c r="F303" s="22" t="s">
        <v>64</v>
      </c>
      <c r="G303" t="s">
        <v>63</v>
      </c>
      <c r="H303" t="s">
        <v>63</v>
      </c>
      <c r="I303" t="s">
        <v>63</v>
      </c>
    </row>
    <row r="304" spans="2:9" x14ac:dyDescent="0.25">
      <c r="B304" s="22" t="s">
        <v>61</v>
      </c>
      <c r="C304" s="22" t="s">
        <v>342</v>
      </c>
      <c r="D304" s="22">
        <v>7540</v>
      </c>
      <c r="E304" s="22" t="s">
        <v>63</v>
      </c>
      <c r="F304" s="22" t="s">
        <v>64</v>
      </c>
      <c r="G304" t="s">
        <v>63</v>
      </c>
      <c r="H304" t="s">
        <v>63</v>
      </c>
      <c r="I304" t="s">
        <v>63</v>
      </c>
    </row>
    <row r="305" spans="2:9" x14ac:dyDescent="0.25">
      <c r="B305" s="22" t="s">
        <v>61</v>
      </c>
      <c r="C305" s="22" t="s">
        <v>343</v>
      </c>
      <c r="D305" s="22">
        <v>7540</v>
      </c>
      <c r="E305" s="22" t="s">
        <v>63</v>
      </c>
      <c r="F305" s="22" t="s">
        <v>64</v>
      </c>
      <c r="G305" t="s">
        <v>63</v>
      </c>
      <c r="H305" t="s">
        <v>63</v>
      </c>
      <c r="I305" t="s">
        <v>63</v>
      </c>
    </row>
    <row r="306" spans="2:9" x14ac:dyDescent="0.25">
      <c r="B306" s="22" t="s">
        <v>61</v>
      </c>
      <c r="C306" s="22" t="s">
        <v>344</v>
      </c>
      <c r="D306" s="22">
        <v>7540</v>
      </c>
      <c r="E306" s="22" t="s">
        <v>63</v>
      </c>
      <c r="F306" s="22" t="s">
        <v>64</v>
      </c>
      <c r="G306" t="s">
        <v>63</v>
      </c>
      <c r="H306" t="s">
        <v>63</v>
      </c>
      <c r="I306" t="s">
        <v>63</v>
      </c>
    </row>
    <row r="307" spans="2:9" x14ac:dyDescent="0.25">
      <c r="B307" s="22" t="s">
        <v>61</v>
      </c>
      <c r="C307" s="22" t="s">
        <v>345</v>
      </c>
      <c r="D307" s="22">
        <v>7540</v>
      </c>
      <c r="E307" s="22" t="s">
        <v>63</v>
      </c>
      <c r="F307" s="22" t="s">
        <v>64</v>
      </c>
      <c r="G307" t="s">
        <v>63</v>
      </c>
      <c r="H307" t="s">
        <v>63</v>
      </c>
      <c r="I307" t="s">
        <v>63</v>
      </c>
    </row>
    <row r="308" spans="2:9" x14ac:dyDescent="0.25">
      <c r="B308" s="22" t="s">
        <v>61</v>
      </c>
      <c r="C308" s="22" t="s">
        <v>346</v>
      </c>
      <c r="D308" s="22">
        <v>7540</v>
      </c>
      <c r="E308" s="22" t="s">
        <v>63</v>
      </c>
      <c r="F308" s="22" t="s">
        <v>64</v>
      </c>
      <c r="G308" t="s">
        <v>63</v>
      </c>
      <c r="H308" t="s">
        <v>63</v>
      </c>
      <c r="I308" t="s">
        <v>63</v>
      </c>
    </row>
    <row r="309" spans="2:9" x14ac:dyDescent="0.25">
      <c r="B309" s="22" t="s">
        <v>61</v>
      </c>
      <c r="C309" s="22" t="s">
        <v>347</v>
      </c>
      <c r="D309" s="22">
        <v>7540</v>
      </c>
      <c r="E309" s="22" t="s">
        <v>63</v>
      </c>
      <c r="F309" s="22" t="s">
        <v>64</v>
      </c>
      <c r="G309" t="s">
        <v>63</v>
      </c>
      <c r="H309" t="s">
        <v>63</v>
      </c>
      <c r="I309" t="s">
        <v>63</v>
      </c>
    </row>
    <row r="310" spans="2:9" x14ac:dyDescent="0.25">
      <c r="B310" s="22" t="s">
        <v>61</v>
      </c>
      <c r="C310" s="22" t="s">
        <v>348</v>
      </c>
      <c r="D310" s="22">
        <v>7540</v>
      </c>
      <c r="E310" s="22" t="s">
        <v>63</v>
      </c>
      <c r="F310" s="22" t="s">
        <v>64</v>
      </c>
      <c r="G310" t="s">
        <v>63</v>
      </c>
      <c r="H310" t="s">
        <v>63</v>
      </c>
      <c r="I310" t="s">
        <v>63</v>
      </c>
    </row>
    <row r="311" spans="2:9" x14ac:dyDescent="0.25">
      <c r="B311" s="22" t="s">
        <v>61</v>
      </c>
      <c r="C311" s="22" t="s">
        <v>349</v>
      </c>
      <c r="D311" s="22">
        <v>7540</v>
      </c>
      <c r="E311" s="22" t="s">
        <v>63</v>
      </c>
      <c r="F311" s="22" t="s">
        <v>64</v>
      </c>
      <c r="G311" t="s">
        <v>63</v>
      </c>
      <c r="H311" t="s">
        <v>63</v>
      </c>
      <c r="I311" t="s">
        <v>63</v>
      </c>
    </row>
    <row r="312" spans="2:9" x14ac:dyDescent="0.25">
      <c r="B312" s="22" t="s">
        <v>61</v>
      </c>
      <c r="C312" s="22" t="s">
        <v>350</v>
      </c>
      <c r="D312" s="22">
        <v>7540</v>
      </c>
      <c r="E312" s="22" t="s">
        <v>63</v>
      </c>
      <c r="F312" s="22" t="s">
        <v>64</v>
      </c>
      <c r="G312" t="s">
        <v>63</v>
      </c>
      <c r="H312" t="s">
        <v>63</v>
      </c>
      <c r="I312" t="s">
        <v>63</v>
      </c>
    </row>
    <row r="313" spans="2:9" x14ac:dyDescent="0.25">
      <c r="B313" s="22" t="s">
        <v>61</v>
      </c>
      <c r="C313" s="22" t="s">
        <v>351</v>
      </c>
      <c r="D313" s="22">
        <v>7540</v>
      </c>
      <c r="E313" s="22" t="s">
        <v>63</v>
      </c>
      <c r="F313" s="22" t="s">
        <v>64</v>
      </c>
      <c r="G313" t="s">
        <v>63</v>
      </c>
      <c r="H313" t="s">
        <v>63</v>
      </c>
      <c r="I313" t="s">
        <v>63</v>
      </c>
    </row>
    <row r="314" spans="2:9" x14ac:dyDescent="0.25">
      <c r="B314" s="22" t="s">
        <v>61</v>
      </c>
      <c r="C314" s="22" t="s">
        <v>352</v>
      </c>
      <c r="D314" s="22">
        <v>7540</v>
      </c>
      <c r="E314" s="22" t="s">
        <v>63</v>
      </c>
      <c r="F314" s="22" t="s">
        <v>64</v>
      </c>
      <c r="G314" t="s">
        <v>63</v>
      </c>
      <c r="H314" t="s">
        <v>63</v>
      </c>
      <c r="I314" t="s">
        <v>63</v>
      </c>
    </row>
    <row r="315" spans="2:9" x14ac:dyDescent="0.25">
      <c r="B315" s="22" t="s">
        <v>61</v>
      </c>
      <c r="C315" s="22" t="s">
        <v>353</v>
      </c>
      <c r="D315" s="22">
        <v>7540</v>
      </c>
      <c r="E315" s="22" t="s">
        <v>63</v>
      </c>
      <c r="F315" s="22" t="s">
        <v>64</v>
      </c>
      <c r="G315" t="s">
        <v>63</v>
      </c>
      <c r="H315" t="s">
        <v>63</v>
      </c>
      <c r="I315" t="s">
        <v>63</v>
      </c>
    </row>
    <row r="316" spans="2:9" x14ac:dyDescent="0.25">
      <c r="B316" s="22" t="s">
        <v>61</v>
      </c>
      <c r="C316" s="22" t="s">
        <v>354</v>
      </c>
      <c r="D316" s="22">
        <v>7540</v>
      </c>
      <c r="E316" s="22" t="s">
        <v>63</v>
      </c>
      <c r="F316" s="22" t="s">
        <v>64</v>
      </c>
      <c r="G316" t="s">
        <v>63</v>
      </c>
      <c r="H316" t="s">
        <v>63</v>
      </c>
      <c r="I316" t="s">
        <v>63</v>
      </c>
    </row>
    <row r="317" spans="2:9" x14ac:dyDescent="0.25">
      <c r="B317" s="22" t="s">
        <v>61</v>
      </c>
      <c r="C317" s="22" t="s">
        <v>355</v>
      </c>
      <c r="D317" s="22">
        <v>7540</v>
      </c>
      <c r="E317" s="22" t="s">
        <v>63</v>
      </c>
      <c r="F317" s="22" t="s">
        <v>64</v>
      </c>
      <c r="G317" t="s">
        <v>63</v>
      </c>
      <c r="H317" t="s">
        <v>63</v>
      </c>
      <c r="I317" t="s">
        <v>63</v>
      </c>
    </row>
    <row r="318" spans="2:9" x14ac:dyDescent="0.25">
      <c r="B318" s="22" t="s">
        <v>61</v>
      </c>
      <c r="C318" s="22" t="s">
        <v>356</v>
      </c>
      <c r="D318" s="22">
        <v>7540</v>
      </c>
      <c r="E318" s="22" t="s">
        <v>63</v>
      </c>
      <c r="F318" s="22" t="s">
        <v>64</v>
      </c>
      <c r="G318" t="s">
        <v>63</v>
      </c>
      <c r="H318" t="s">
        <v>63</v>
      </c>
      <c r="I318" t="s">
        <v>63</v>
      </c>
    </row>
    <row r="319" spans="2:9" hidden="1" x14ac:dyDescent="0.25">
      <c r="B319" s="23" t="s">
        <v>96</v>
      </c>
      <c r="C319" s="23" t="s">
        <v>31</v>
      </c>
      <c r="D319" s="23">
        <v>-2098</v>
      </c>
      <c r="E319" s="23" t="s">
        <v>97</v>
      </c>
      <c r="F319" t="s">
        <v>63</v>
      </c>
      <c r="G319" t="s">
        <v>63</v>
      </c>
      <c r="H319" t="s">
        <v>63</v>
      </c>
      <c r="I319" t="s">
        <v>63</v>
      </c>
    </row>
    <row r="320" spans="2:9" hidden="1" x14ac:dyDescent="0.25">
      <c r="B320" s="23" t="s">
        <v>96</v>
      </c>
      <c r="C320" s="23" t="s">
        <v>32</v>
      </c>
      <c r="D320" s="23">
        <v>18579</v>
      </c>
      <c r="E320" s="23" t="s">
        <v>97</v>
      </c>
      <c r="F320" t="s">
        <v>63</v>
      </c>
      <c r="G320" t="s">
        <v>63</v>
      </c>
      <c r="H320" t="s">
        <v>63</v>
      </c>
      <c r="I320" t="s">
        <v>63</v>
      </c>
    </row>
    <row r="321" spans="2:9" hidden="1" x14ac:dyDescent="0.25">
      <c r="B321" s="23" t="s">
        <v>96</v>
      </c>
      <c r="C321" s="23" t="s">
        <v>33</v>
      </c>
      <c r="D321" s="23">
        <v>7880</v>
      </c>
      <c r="E321" s="23" t="s">
        <v>97</v>
      </c>
      <c r="F321" t="s">
        <v>63</v>
      </c>
      <c r="G321" t="s">
        <v>63</v>
      </c>
      <c r="H321" t="s">
        <v>63</v>
      </c>
      <c r="I321" t="s">
        <v>63</v>
      </c>
    </row>
    <row r="322" spans="2:9" hidden="1" x14ac:dyDescent="0.25">
      <c r="B322" s="23" t="s">
        <v>96</v>
      </c>
      <c r="C322" s="23" t="s">
        <v>34</v>
      </c>
      <c r="D322" s="23">
        <v>2201</v>
      </c>
      <c r="E322" s="23" t="s">
        <v>97</v>
      </c>
      <c r="F322" t="s">
        <v>63</v>
      </c>
      <c r="G322" t="s">
        <v>63</v>
      </c>
      <c r="H322" t="s">
        <v>63</v>
      </c>
      <c r="I322" t="s">
        <v>63</v>
      </c>
    </row>
    <row r="323" spans="2:9" hidden="1" x14ac:dyDescent="0.25">
      <c r="B323" s="23" t="s">
        <v>96</v>
      </c>
      <c r="C323" s="23" t="s">
        <v>35</v>
      </c>
      <c r="D323" s="23">
        <v>6333</v>
      </c>
      <c r="E323" s="23" t="s">
        <v>97</v>
      </c>
      <c r="F323" t="s">
        <v>63</v>
      </c>
      <c r="G323" t="s">
        <v>63</v>
      </c>
      <c r="H323" t="s">
        <v>63</v>
      </c>
      <c r="I323" t="s">
        <v>63</v>
      </c>
    </row>
    <row r="324" spans="2:9" hidden="1" x14ac:dyDescent="0.25">
      <c r="B324" s="23" t="s">
        <v>96</v>
      </c>
      <c r="C324" s="23" t="s">
        <v>36</v>
      </c>
      <c r="D324" s="23">
        <v>-8503</v>
      </c>
      <c r="E324" s="23" t="s">
        <v>97</v>
      </c>
      <c r="F324" t="s">
        <v>63</v>
      </c>
      <c r="G324" t="s">
        <v>63</v>
      </c>
      <c r="H324" t="s">
        <v>63</v>
      </c>
      <c r="I324" t="s">
        <v>63</v>
      </c>
    </row>
    <row r="325" spans="2:9" hidden="1" x14ac:dyDescent="0.25">
      <c r="B325" s="23" t="s">
        <v>96</v>
      </c>
      <c r="C325" s="23" t="s">
        <v>38</v>
      </c>
      <c r="D325" s="23">
        <v>-11262</v>
      </c>
      <c r="E325" s="23" t="s">
        <v>97</v>
      </c>
      <c r="F325" t="s">
        <v>63</v>
      </c>
      <c r="G325" t="s">
        <v>63</v>
      </c>
      <c r="H325" t="s">
        <v>63</v>
      </c>
      <c r="I325" t="s">
        <v>63</v>
      </c>
    </row>
    <row r="326" spans="2:9" hidden="1" x14ac:dyDescent="0.25">
      <c r="B326" s="23" t="s">
        <v>96</v>
      </c>
      <c r="C326" s="23" t="s">
        <v>41</v>
      </c>
      <c r="D326" s="23">
        <v>-5475</v>
      </c>
      <c r="E326" s="23" t="s">
        <v>97</v>
      </c>
      <c r="F326" t="s">
        <v>63</v>
      </c>
      <c r="G326" t="s">
        <v>63</v>
      </c>
      <c r="H326" t="s">
        <v>63</v>
      </c>
      <c r="I326" t="s">
        <v>63</v>
      </c>
    </row>
    <row r="327" spans="2:9" hidden="1" x14ac:dyDescent="0.25">
      <c r="B327" s="23" t="s">
        <v>96</v>
      </c>
      <c r="C327" s="23" t="s">
        <v>44</v>
      </c>
      <c r="D327" s="23">
        <v>3344</v>
      </c>
      <c r="E327" s="23" t="s">
        <v>97</v>
      </c>
      <c r="F327" t="s">
        <v>63</v>
      </c>
      <c r="G327" t="s">
        <v>63</v>
      </c>
      <c r="H327" t="s">
        <v>63</v>
      </c>
      <c r="I327" t="s">
        <v>63</v>
      </c>
    </row>
    <row r="328" spans="2:9" hidden="1" x14ac:dyDescent="0.25">
      <c r="B328" s="23" t="s">
        <v>96</v>
      </c>
      <c r="C328" s="23" t="s">
        <v>46</v>
      </c>
      <c r="D328" s="23">
        <v>15335</v>
      </c>
      <c r="E328" s="23" t="s">
        <v>97</v>
      </c>
      <c r="F328" t="s">
        <v>63</v>
      </c>
      <c r="G328" t="s">
        <v>63</v>
      </c>
      <c r="H328" t="s">
        <v>63</v>
      </c>
      <c r="I328" t="s">
        <v>63</v>
      </c>
    </row>
    <row r="329" spans="2:9" hidden="1" x14ac:dyDescent="0.25">
      <c r="B329" s="23" t="s">
        <v>96</v>
      </c>
      <c r="C329" s="23" t="s">
        <v>47</v>
      </c>
      <c r="D329" s="23">
        <v>-13807</v>
      </c>
      <c r="E329" s="23" t="s">
        <v>97</v>
      </c>
      <c r="F329" t="s">
        <v>63</v>
      </c>
      <c r="G329" t="s">
        <v>63</v>
      </c>
      <c r="H329" t="s">
        <v>63</v>
      </c>
      <c r="I329" t="s">
        <v>63</v>
      </c>
    </row>
    <row r="330" spans="2:9" hidden="1" x14ac:dyDescent="0.25">
      <c r="B330" s="23" t="s">
        <v>96</v>
      </c>
      <c r="C330" s="23" t="s">
        <v>48</v>
      </c>
      <c r="D330" s="23">
        <v>-8296</v>
      </c>
      <c r="E330" s="23" t="s">
        <v>97</v>
      </c>
      <c r="F330" t="s">
        <v>63</v>
      </c>
      <c r="G330" t="s">
        <v>63</v>
      </c>
      <c r="H330" t="s">
        <v>63</v>
      </c>
      <c r="I330" t="s">
        <v>63</v>
      </c>
    </row>
    <row r="331" spans="2:9" hidden="1" x14ac:dyDescent="0.25">
      <c r="B331" s="23" t="s">
        <v>96</v>
      </c>
      <c r="C331" s="23" t="s">
        <v>49</v>
      </c>
      <c r="D331" s="23">
        <v>-7995</v>
      </c>
      <c r="E331" s="23" t="s">
        <v>97</v>
      </c>
      <c r="F331" t="s">
        <v>63</v>
      </c>
      <c r="G331" t="s">
        <v>63</v>
      </c>
      <c r="H331" t="s">
        <v>63</v>
      </c>
      <c r="I331" t="s">
        <v>63</v>
      </c>
    </row>
    <row r="332" spans="2:9" x14ac:dyDescent="0.25">
      <c r="B332" s="22" t="s">
        <v>61</v>
      </c>
      <c r="C332" s="22" t="s">
        <v>357</v>
      </c>
      <c r="D332" s="22">
        <v>7540</v>
      </c>
      <c r="E332" s="22" t="s">
        <v>63</v>
      </c>
      <c r="F332" s="22" t="s">
        <v>64</v>
      </c>
      <c r="G332" t="s">
        <v>63</v>
      </c>
      <c r="H332" t="s">
        <v>63</v>
      </c>
      <c r="I332" t="s">
        <v>63</v>
      </c>
    </row>
    <row r="333" spans="2:9" x14ac:dyDescent="0.25">
      <c r="B333" s="22" t="s">
        <v>61</v>
      </c>
      <c r="C333" s="22" t="s">
        <v>358</v>
      </c>
      <c r="D333" s="22">
        <v>7540</v>
      </c>
      <c r="E333" s="22" t="s">
        <v>63</v>
      </c>
      <c r="F333" s="22" t="s">
        <v>64</v>
      </c>
      <c r="G333" t="s">
        <v>63</v>
      </c>
      <c r="H333" t="s">
        <v>63</v>
      </c>
      <c r="I333" t="s">
        <v>63</v>
      </c>
    </row>
    <row r="334" spans="2:9" x14ac:dyDescent="0.25">
      <c r="B334" s="22" t="s">
        <v>61</v>
      </c>
      <c r="C334" s="22" t="s">
        <v>359</v>
      </c>
      <c r="D334" s="22">
        <v>7540</v>
      </c>
      <c r="E334" s="22" t="s">
        <v>63</v>
      </c>
      <c r="F334" s="22" t="s">
        <v>64</v>
      </c>
      <c r="G334" t="s">
        <v>63</v>
      </c>
      <c r="H334" t="s">
        <v>63</v>
      </c>
      <c r="I334" t="s">
        <v>63</v>
      </c>
    </row>
    <row r="335" spans="2:9" x14ac:dyDescent="0.25">
      <c r="B335" s="22" t="s">
        <v>61</v>
      </c>
      <c r="C335" s="22" t="s">
        <v>360</v>
      </c>
      <c r="D335" s="22">
        <v>7540</v>
      </c>
      <c r="E335" s="22" t="s">
        <v>63</v>
      </c>
      <c r="F335" s="22" t="s">
        <v>64</v>
      </c>
      <c r="G335" t="s">
        <v>63</v>
      </c>
      <c r="H335" t="s">
        <v>63</v>
      </c>
      <c r="I335" t="s">
        <v>63</v>
      </c>
    </row>
    <row r="336" spans="2:9" x14ac:dyDescent="0.25">
      <c r="B336" s="22" t="s">
        <v>61</v>
      </c>
      <c r="C336" s="22" t="s">
        <v>361</v>
      </c>
      <c r="D336" s="22">
        <v>7540</v>
      </c>
      <c r="E336" s="22" t="s">
        <v>63</v>
      </c>
      <c r="F336" s="22" t="s">
        <v>64</v>
      </c>
      <c r="G336" t="s">
        <v>63</v>
      </c>
      <c r="H336" t="s">
        <v>63</v>
      </c>
      <c r="I336" t="s">
        <v>63</v>
      </c>
    </row>
    <row r="337" spans="2:9" x14ac:dyDescent="0.25">
      <c r="B337" s="22" t="s">
        <v>61</v>
      </c>
      <c r="C337" s="22" t="s">
        <v>362</v>
      </c>
      <c r="D337" s="22">
        <v>7540</v>
      </c>
      <c r="E337" s="22" t="s">
        <v>63</v>
      </c>
      <c r="F337" s="22" t="s">
        <v>64</v>
      </c>
      <c r="G337" t="s">
        <v>63</v>
      </c>
      <c r="H337" t="s">
        <v>63</v>
      </c>
      <c r="I337" t="s">
        <v>63</v>
      </c>
    </row>
    <row r="338" spans="2:9" x14ac:dyDescent="0.25">
      <c r="B338" s="22" t="s">
        <v>61</v>
      </c>
      <c r="C338" s="22" t="s">
        <v>363</v>
      </c>
      <c r="D338" s="22">
        <v>7540</v>
      </c>
      <c r="E338" s="22" t="s">
        <v>63</v>
      </c>
      <c r="F338" s="22" t="s">
        <v>64</v>
      </c>
      <c r="G338" t="s">
        <v>63</v>
      </c>
      <c r="H338" t="s">
        <v>63</v>
      </c>
      <c r="I338" t="s">
        <v>63</v>
      </c>
    </row>
    <row r="339" spans="2:9" x14ac:dyDescent="0.25">
      <c r="B339" s="22" t="s">
        <v>61</v>
      </c>
      <c r="C339" s="22" t="s">
        <v>364</v>
      </c>
      <c r="D339" s="22">
        <v>7540</v>
      </c>
      <c r="E339" s="22" t="s">
        <v>63</v>
      </c>
      <c r="F339" s="22" t="s">
        <v>64</v>
      </c>
      <c r="G339" t="s">
        <v>63</v>
      </c>
      <c r="H339" t="s">
        <v>63</v>
      </c>
      <c r="I339" t="s">
        <v>63</v>
      </c>
    </row>
    <row r="340" spans="2:9" x14ac:dyDescent="0.25">
      <c r="B340" s="22" t="s">
        <v>61</v>
      </c>
      <c r="C340" s="22" t="s">
        <v>365</v>
      </c>
      <c r="D340" s="22">
        <v>7540</v>
      </c>
      <c r="E340" s="22" t="s">
        <v>63</v>
      </c>
      <c r="F340" s="22" t="s">
        <v>64</v>
      </c>
      <c r="G340" t="s">
        <v>63</v>
      </c>
      <c r="H340" t="s">
        <v>63</v>
      </c>
      <c r="I340" t="s">
        <v>63</v>
      </c>
    </row>
    <row r="341" spans="2:9" x14ac:dyDescent="0.25">
      <c r="B341" s="22" t="s">
        <v>61</v>
      </c>
      <c r="C341" s="22" t="s">
        <v>366</v>
      </c>
      <c r="D341" s="22">
        <v>7540</v>
      </c>
      <c r="E341" s="22" t="s">
        <v>63</v>
      </c>
      <c r="F341" s="22" t="s">
        <v>64</v>
      </c>
      <c r="G341" t="s">
        <v>63</v>
      </c>
      <c r="H341" t="s">
        <v>63</v>
      </c>
      <c r="I341" t="s">
        <v>63</v>
      </c>
    </row>
    <row r="342" spans="2:9" x14ac:dyDescent="0.25">
      <c r="B342" s="22" t="s">
        <v>61</v>
      </c>
      <c r="C342" s="22" t="s">
        <v>367</v>
      </c>
      <c r="D342" s="22">
        <v>7540</v>
      </c>
      <c r="E342" s="22" t="s">
        <v>63</v>
      </c>
      <c r="F342" s="22" t="s">
        <v>64</v>
      </c>
      <c r="G342" t="s">
        <v>63</v>
      </c>
      <c r="H342" t="s">
        <v>63</v>
      </c>
      <c r="I342" t="s">
        <v>63</v>
      </c>
    </row>
    <row r="343" spans="2:9" x14ac:dyDescent="0.25">
      <c r="B343" s="22" t="s">
        <v>61</v>
      </c>
      <c r="C343" s="22" t="s">
        <v>368</v>
      </c>
      <c r="D343" s="22">
        <v>7540</v>
      </c>
      <c r="E343" s="22" t="s">
        <v>63</v>
      </c>
      <c r="F343" s="22" t="s">
        <v>64</v>
      </c>
      <c r="G343" t="s">
        <v>63</v>
      </c>
      <c r="H343" t="s">
        <v>63</v>
      </c>
      <c r="I343" t="s">
        <v>63</v>
      </c>
    </row>
    <row r="344" spans="2:9" x14ac:dyDescent="0.25">
      <c r="B344" s="22" t="s">
        <v>61</v>
      </c>
      <c r="C344" s="22" t="s">
        <v>369</v>
      </c>
      <c r="D344" s="22">
        <v>7540</v>
      </c>
      <c r="E344" s="22" t="s">
        <v>63</v>
      </c>
      <c r="F344" s="22" t="s">
        <v>64</v>
      </c>
      <c r="G344" t="s">
        <v>63</v>
      </c>
      <c r="H344" t="s">
        <v>63</v>
      </c>
      <c r="I344" t="s">
        <v>63</v>
      </c>
    </row>
    <row r="345" spans="2:9" x14ac:dyDescent="0.25">
      <c r="B345" s="22" t="s">
        <v>61</v>
      </c>
      <c r="C345" s="22" t="s">
        <v>370</v>
      </c>
      <c r="D345" s="22">
        <v>7540</v>
      </c>
      <c r="E345" s="22" t="s">
        <v>63</v>
      </c>
      <c r="F345" s="22" t="s">
        <v>64</v>
      </c>
      <c r="G345" t="s">
        <v>63</v>
      </c>
      <c r="H345" t="s">
        <v>63</v>
      </c>
      <c r="I345" t="s">
        <v>63</v>
      </c>
    </row>
    <row r="346" spans="2:9" x14ac:dyDescent="0.25">
      <c r="B346" s="22" t="s">
        <v>61</v>
      </c>
      <c r="C346" s="22" t="s">
        <v>371</v>
      </c>
      <c r="D346" s="22">
        <v>7540</v>
      </c>
      <c r="E346" s="22" t="s">
        <v>63</v>
      </c>
      <c r="F346" s="22" t="s">
        <v>64</v>
      </c>
      <c r="G346" t="s">
        <v>63</v>
      </c>
      <c r="H346" t="s">
        <v>63</v>
      </c>
      <c r="I346" t="s">
        <v>63</v>
      </c>
    </row>
    <row r="347" spans="2:9" x14ac:dyDescent="0.25">
      <c r="B347" s="22" t="s">
        <v>61</v>
      </c>
      <c r="C347" s="22" t="s">
        <v>372</v>
      </c>
      <c r="D347" s="22">
        <v>7540</v>
      </c>
      <c r="E347" s="22" t="s">
        <v>63</v>
      </c>
      <c r="F347" s="22" t="s">
        <v>64</v>
      </c>
      <c r="G347" t="s">
        <v>63</v>
      </c>
      <c r="H347" t="s">
        <v>63</v>
      </c>
      <c r="I347" t="s">
        <v>63</v>
      </c>
    </row>
    <row r="348" spans="2:9" x14ac:dyDescent="0.25">
      <c r="B348" s="22" t="s">
        <v>61</v>
      </c>
      <c r="C348" s="22" t="s">
        <v>373</v>
      </c>
      <c r="D348" s="22">
        <v>7540</v>
      </c>
      <c r="E348" s="22" t="s">
        <v>63</v>
      </c>
      <c r="F348" s="22" t="s">
        <v>64</v>
      </c>
      <c r="G348" t="s">
        <v>63</v>
      </c>
      <c r="H348" t="s">
        <v>63</v>
      </c>
      <c r="I348" t="s">
        <v>63</v>
      </c>
    </row>
    <row r="349" spans="2:9" x14ac:dyDescent="0.25">
      <c r="B349" s="22" t="s">
        <v>61</v>
      </c>
      <c r="C349" s="22" t="s">
        <v>374</v>
      </c>
      <c r="D349" s="22">
        <v>7540</v>
      </c>
      <c r="E349" s="22" t="s">
        <v>63</v>
      </c>
      <c r="F349" s="22" t="s">
        <v>64</v>
      </c>
      <c r="G349" t="s">
        <v>63</v>
      </c>
      <c r="H349" t="s">
        <v>63</v>
      </c>
      <c r="I349" t="s">
        <v>63</v>
      </c>
    </row>
    <row r="350" spans="2:9" x14ac:dyDescent="0.25">
      <c r="B350" s="22" t="s">
        <v>61</v>
      </c>
      <c r="C350" s="22" t="s">
        <v>375</v>
      </c>
      <c r="D350" s="22">
        <v>7540</v>
      </c>
      <c r="E350" s="22" t="s">
        <v>63</v>
      </c>
      <c r="F350" s="22" t="s">
        <v>64</v>
      </c>
      <c r="G350" t="s">
        <v>63</v>
      </c>
      <c r="H350" t="s">
        <v>63</v>
      </c>
      <c r="I350" t="s">
        <v>63</v>
      </c>
    </row>
    <row r="351" spans="2:9" x14ac:dyDescent="0.25">
      <c r="B351" s="22" t="s">
        <v>61</v>
      </c>
      <c r="C351" s="22" t="s">
        <v>376</v>
      </c>
      <c r="D351" s="22">
        <v>7540</v>
      </c>
      <c r="E351" s="22" t="s">
        <v>63</v>
      </c>
      <c r="F351" s="22" t="s">
        <v>64</v>
      </c>
      <c r="G351" t="s">
        <v>63</v>
      </c>
      <c r="H351" t="s">
        <v>63</v>
      </c>
      <c r="I351" t="s">
        <v>63</v>
      </c>
    </row>
    <row r="352" spans="2:9" x14ac:dyDescent="0.25">
      <c r="B352" s="22" t="s">
        <v>61</v>
      </c>
      <c r="C352" s="22" t="s">
        <v>377</v>
      </c>
      <c r="D352" s="22">
        <v>7540</v>
      </c>
      <c r="E352" s="22" t="s">
        <v>63</v>
      </c>
      <c r="F352" s="22" t="s">
        <v>64</v>
      </c>
      <c r="G352" t="s">
        <v>63</v>
      </c>
      <c r="H352" t="s">
        <v>63</v>
      </c>
      <c r="I352" t="s">
        <v>63</v>
      </c>
    </row>
    <row r="353" spans="2:9" x14ac:dyDescent="0.25">
      <c r="B353" s="22" t="s">
        <v>61</v>
      </c>
      <c r="C353" s="22" t="s">
        <v>378</v>
      </c>
      <c r="D353" s="22">
        <v>7540</v>
      </c>
      <c r="E353" s="22" t="s">
        <v>63</v>
      </c>
      <c r="F353" s="22" t="s">
        <v>64</v>
      </c>
      <c r="G353" t="s">
        <v>63</v>
      </c>
      <c r="H353" t="s">
        <v>63</v>
      </c>
      <c r="I353" t="s">
        <v>63</v>
      </c>
    </row>
    <row r="354" spans="2:9" x14ac:dyDescent="0.25">
      <c r="B354" s="22" t="s">
        <v>61</v>
      </c>
      <c r="C354" s="22" t="s">
        <v>379</v>
      </c>
      <c r="D354" s="22">
        <v>7540</v>
      </c>
      <c r="E354" s="22" t="s">
        <v>63</v>
      </c>
      <c r="F354" s="22" t="s">
        <v>64</v>
      </c>
      <c r="G354" t="s">
        <v>63</v>
      </c>
      <c r="H354" t="s">
        <v>63</v>
      </c>
      <c r="I354" t="s">
        <v>63</v>
      </c>
    </row>
    <row r="355" spans="2:9" x14ac:dyDescent="0.25">
      <c r="B355" s="22" t="s">
        <v>61</v>
      </c>
      <c r="C355" s="22" t="s">
        <v>380</v>
      </c>
      <c r="D355" s="22">
        <v>7540</v>
      </c>
      <c r="E355" s="22" t="s">
        <v>63</v>
      </c>
      <c r="F355" s="22" t="s">
        <v>64</v>
      </c>
      <c r="G355" t="s">
        <v>63</v>
      </c>
      <c r="H355" t="s">
        <v>63</v>
      </c>
      <c r="I355" t="s">
        <v>63</v>
      </c>
    </row>
    <row r="356" spans="2:9" x14ac:dyDescent="0.25">
      <c r="B356" s="22" t="s">
        <v>61</v>
      </c>
      <c r="C356" s="22" t="s">
        <v>381</v>
      </c>
      <c r="D356" s="22">
        <v>7540</v>
      </c>
      <c r="E356" s="22" t="s">
        <v>63</v>
      </c>
      <c r="F356" s="22" t="s">
        <v>64</v>
      </c>
      <c r="G356" t="s">
        <v>63</v>
      </c>
      <c r="H356" t="s">
        <v>63</v>
      </c>
      <c r="I356" t="s">
        <v>63</v>
      </c>
    </row>
    <row r="357" spans="2:9" x14ac:dyDescent="0.25">
      <c r="B357" s="22" t="s">
        <v>61</v>
      </c>
      <c r="C357" s="22" t="s">
        <v>382</v>
      </c>
      <c r="D357" s="22">
        <v>7540</v>
      </c>
      <c r="E357" s="22" t="s">
        <v>63</v>
      </c>
      <c r="F357" s="22" t="s">
        <v>64</v>
      </c>
      <c r="G357" t="s">
        <v>63</v>
      </c>
      <c r="H357" t="s">
        <v>63</v>
      </c>
      <c r="I357" t="s">
        <v>63</v>
      </c>
    </row>
    <row r="358" spans="2:9" x14ac:dyDescent="0.25">
      <c r="B358" s="22" t="s">
        <v>61</v>
      </c>
      <c r="C358" s="22" t="s">
        <v>383</v>
      </c>
      <c r="D358" s="22">
        <v>7540</v>
      </c>
      <c r="E358" s="22" t="s">
        <v>63</v>
      </c>
      <c r="F358" s="22" t="s">
        <v>64</v>
      </c>
      <c r="G358" t="s">
        <v>63</v>
      </c>
      <c r="H358" t="s">
        <v>63</v>
      </c>
      <c r="I358" t="s">
        <v>63</v>
      </c>
    </row>
    <row r="359" spans="2:9" x14ac:dyDescent="0.25">
      <c r="B359" s="22" t="s">
        <v>61</v>
      </c>
      <c r="C359" s="22" t="s">
        <v>384</v>
      </c>
      <c r="D359" s="22">
        <v>7540</v>
      </c>
      <c r="E359" s="22" t="s">
        <v>63</v>
      </c>
      <c r="F359" s="22" t="s">
        <v>64</v>
      </c>
      <c r="G359" t="s">
        <v>63</v>
      </c>
      <c r="H359" t="s">
        <v>63</v>
      </c>
      <c r="I359" t="s">
        <v>63</v>
      </c>
    </row>
    <row r="360" spans="2:9" x14ac:dyDescent="0.25">
      <c r="B360" s="22" t="s">
        <v>61</v>
      </c>
      <c r="C360" s="22" t="s">
        <v>385</v>
      </c>
      <c r="D360" s="22">
        <v>7540</v>
      </c>
      <c r="E360" s="22" t="s">
        <v>63</v>
      </c>
      <c r="F360" s="22" t="s">
        <v>64</v>
      </c>
      <c r="G360" t="s">
        <v>63</v>
      </c>
      <c r="H360" t="s">
        <v>63</v>
      </c>
      <c r="I360" t="s">
        <v>63</v>
      </c>
    </row>
    <row r="361" spans="2:9" x14ac:dyDescent="0.25">
      <c r="B361" s="22" t="s">
        <v>61</v>
      </c>
      <c r="C361" s="22" t="s">
        <v>386</v>
      </c>
      <c r="D361" s="22">
        <v>7540</v>
      </c>
      <c r="E361" s="22" t="s">
        <v>63</v>
      </c>
      <c r="F361" s="22" t="s">
        <v>64</v>
      </c>
      <c r="G361" t="s">
        <v>63</v>
      </c>
      <c r="H361" t="s">
        <v>63</v>
      </c>
      <c r="I361" t="s">
        <v>63</v>
      </c>
    </row>
    <row r="362" spans="2:9" hidden="1" x14ac:dyDescent="0.25">
      <c r="B362" s="23" t="s">
        <v>96</v>
      </c>
      <c r="C362" s="23" t="s">
        <v>12</v>
      </c>
      <c r="D362" s="23">
        <v>-7825</v>
      </c>
      <c r="E362" s="23" t="s">
        <v>97</v>
      </c>
      <c r="F362" t="s">
        <v>63</v>
      </c>
      <c r="G362" t="s">
        <v>63</v>
      </c>
      <c r="H362" t="s">
        <v>63</v>
      </c>
      <c r="I362" t="s">
        <v>63</v>
      </c>
    </row>
    <row r="363" spans="2:9" hidden="1" x14ac:dyDescent="0.25">
      <c r="B363" s="23" t="s">
        <v>96</v>
      </c>
      <c r="C363" s="23" t="s">
        <v>24</v>
      </c>
      <c r="D363" s="23">
        <v>4616</v>
      </c>
      <c r="E363" s="23" t="s">
        <v>97</v>
      </c>
      <c r="F363" t="s">
        <v>63</v>
      </c>
      <c r="G363" t="s">
        <v>63</v>
      </c>
      <c r="H363" t="s">
        <v>63</v>
      </c>
      <c r="I363" t="s">
        <v>63</v>
      </c>
    </row>
    <row r="364" spans="2:9" hidden="1" x14ac:dyDescent="0.25">
      <c r="B364" s="23" t="s">
        <v>96</v>
      </c>
      <c r="C364" s="23" t="s">
        <v>39</v>
      </c>
      <c r="D364" s="23">
        <v>3432</v>
      </c>
      <c r="E364" s="23" t="s">
        <v>97</v>
      </c>
      <c r="F364" t="s">
        <v>63</v>
      </c>
      <c r="G364" t="s">
        <v>63</v>
      </c>
      <c r="H364" t="s">
        <v>63</v>
      </c>
      <c r="I364" t="s">
        <v>63</v>
      </c>
    </row>
    <row r="365" spans="2:9" hidden="1" x14ac:dyDescent="0.25">
      <c r="B365" s="23" t="s">
        <v>96</v>
      </c>
      <c r="C365" s="23" t="s">
        <v>40</v>
      </c>
      <c r="D365" s="23">
        <v>-3276</v>
      </c>
      <c r="E365" s="23" t="s">
        <v>97</v>
      </c>
      <c r="F365" s="23">
        <v>3446810</v>
      </c>
      <c r="G365" t="s">
        <v>63</v>
      </c>
      <c r="H365" t="s">
        <v>63</v>
      </c>
      <c r="I365" t="s">
        <v>63</v>
      </c>
    </row>
    <row r="366" spans="2:9" x14ac:dyDescent="0.25">
      <c r="B366" s="22" t="s">
        <v>61</v>
      </c>
      <c r="C366" s="22" t="s">
        <v>387</v>
      </c>
      <c r="D366" s="22">
        <v>7540</v>
      </c>
      <c r="E366" s="22" t="s">
        <v>63</v>
      </c>
      <c r="F366" s="22" t="s">
        <v>64</v>
      </c>
      <c r="G366" t="s">
        <v>63</v>
      </c>
      <c r="H366" t="s">
        <v>63</v>
      </c>
      <c r="I366" t="s">
        <v>63</v>
      </c>
    </row>
    <row r="367" spans="2:9" x14ac:dyDescent="0.25">
      <c r="B367" s="22" t="s">
        <v>61</v>
      </c>
      <c r="C367" s="22" t="s">
        <v>388</v>
      </c>
      <c r="D367" s="22">
        <v>7540</v>
      </c>
      <c r="E367" s="22" t="s">
        <v>63</v>
      </c>
      <c r="F367" s="22" t="s">
        <v>64</v>
      </c>
      <c r="G367" t="s">
        <v>63</v>
      </c>
      <c r="H367" t="s">
        <v>63</v>
      </c>
      <c r="I367" t="s">
        <v>63</v>
      </c>
    </row>
    <row r="368" spans="2:9" x14ac:dyDescent="0.25">
      <c r="B368" s="22" t="s">
        <v>61</v>
      </c>
      <c r="C368" s="22" t="s">
        <v>389</v>
      </c>
      <c r="D368" s="22">
        <v>90480</v>
      </c>
      <c r="E368" s="22" t="s">
        <v>63</v>
      </c>
      <c r="F368" s="22" t="s">
        <v>64</v>
      </c>
      <c r="G368" t="s">
        <v>63</v>
      </c>
      <c r="H368" t="s">
        <v>63</v>
      </c>
      <c r="I368" t="s">
        <v>63</v>
      </c>
    </row>
    <row r="369" spans="2:9" x14ac:dyDescent="0.25">
      <c r="B369" s="22" t="s">
        <v>61</v>
      </c>
      <c r="C369" s="22" t="s">
        <v>390</v>
      </c>
      <c r="D369" s="22">
        <v>7540</v>
      </c>
      <c r="E369" s="22" t="s">
        <v>63</v>
      </c>
      <c r="F369" s="22" t="s">
        <v>64</v>
      </c>
      <c r="G369" t="s">
        <v>63</v>
      </c>
      <c r="H369" t="s">
        <v>63</v>
      </c>
      <c r="I369" t="s">
        <v>63</v>
      </c>
    </row>
    <row r="370" spans="2:9" x14ac:dyDescent="0.25">
      <c r="B370" s="22" t="s">
        <v>61</v>
      </c>
      <c r="C370" s="22" t="s">
        <v>391</v>
      </c>
      <c r="D370" s="22">
        <v>7540</v>
      </c>
      <c r="E370" s="22" t="s">
        <v>63</v>
      </c>
      <c r="F370" s="22" t="s">
        <v>64</v>
      </c>
      <c r="G370" t="s">
        <v>63</v>
      </c>
      <c r="H370" t="s">
        <v>63</v>
      </c>
      <c r="I370" t="s">
        <v>63</v>
      </c>
    </row>
    <row r="371" spans="2:9" x14ac:dyDescent="0.25">
      <c r="B371" s="22" t="s">
        <v>61</v>
      </c>
      <c r="C371" s="22" t="s">
        <v>392</v>
      </c>
      <c r="D371" s="22">
        <v>7540</v>
      </c>
      <c r="E371" s="22" t="s">
        <v>63</v>
      </c>
      <c r="F371" s="22" t="s">
        <v>64</v>
      </c>
      <c r="G371" t="s">
        <v>63</v>
      </c>
      <c r="H371" t="s">
        <v>63</v>
      </c>
      <c r="I371" t="s">
        <v>63</v>
      </c>
    </row>
    <row r="372" spans="2:9" x14ac:dyDescent="0.25">
      <c r="B372" s="22" t="s">
        <v>61</v>
      </c>
      <c r="C372" s="22" t="s">
        <v>393</v>
      </c>
      <c r="D372" s="22">
        <v>7540</v>
      </c>
      <c r="E372" s="22" t="s">
        <v>63</v>
      </c>
      <c r="F372" s="22" t="s">
        <v>64</v>
      </c>
      <c r="G372" t="s">
        <v>63</v>
      </c>
      <c r="H372" t="s">
        <v>63</v>
      </c>
      <c r="I372" t="s">
        <v>63</v>
      </c>
    </row>
    <row r="373" spans="2:9" x14ac:dyDescent="0.25">
      <c r="B373" s="22" t="s">
        <v>61</v>
      </c>
      <c r="C373" s="22" t="s">
        <v>394</v>
      </c>
      <c r="D373" s="22">
        <v>7540</v>
      </c>
      <c r="E373" s="22" t="s">
        <v>63</v>
      </c>
      <c r="F373" s="22" t="s">
        <v>64</v>
      </c>
      <c r="G373" t="s">
        <v>63</v>
      </c>
      <c r="H373" t="s">
        <v>63</v>
      </c>
      <c r="I373" t="s">
        <v>63</v>
      </c>
    </row>
    <row r="374" spans="2:9" x14ac:dyDescent="0.25">
      <c r="B374" s="22" t="s">
        <v>61</v>
      </c>
      <c r="C374" s="22" t="s">
        <v>395</v>
      </c>
      <c r="D374" s="22">
        <v>7540</v>
      </c>
      <c r="E374" s="22" t="s">
        <v>63</v>
      </c>
      <c r="F374" s="22" t="s">
        <v>64</v>
      </c>
      <c r="G374" t="s">
        <v>63</v>
      </c>
      <c r="H374" t="s">
        <v>63</v>
      </c>
      <c r="I374" t="s">
        <v>63</v>
      </c>
    </row>
    <row r="375" spans="2:9" x14ac:dyDescent="0.25">
      <c r="B375" s="22" t="s">
        <v>61</v>
      </c>
      <c r="C375" s="22" t="s">
        <v>396</v>
      </c>
      <c r="D375" s="22">
        <v>7540</v>
      </c>
      <c r="E375" s="22" t="s">
        <v>63</v>
      </c>
      <c r="F375" s="22" t="s">
        <v>64</v>
      </c>
      <c r="G375" t="s">
        <v>63</v>
      </c>
      <c r="H375" t="s">
        <v>63</v>
      </c>
      <c r="I375" t="s">
        <v>63</v>
      </c>
    </row>
    <row r="376" spans="2:9" x14ac:dyDescent="0.25">
      <c r="B376" s="22" t="s">
        <v>61</v>
      </c>
      <c r="C376" s="22" t="s">
        <v>397</v>
      </c>
      <c r="D376" s="22">
        <v>7540</v>
      </c>
      <c r="E376" s="22" t="s">
        <v>63</v>
      </c>
      <c r="F376" s="22" t="s">
        <v>64</v>
      </c>
      <c r="G376" t="s">
        <v>63</v>
      </c>
      <c r="H376" t="s">
        <v>63</v>
      </c>
      <c r="I376" t="s">
        <v>63</v>
      </c>
    </row>
    <row r="377" spans="2:9" x14ac:dyDescent="0.25">
      <c r="B377" s="22" t="s">
        <v>61</v>
      </c>
      <c r="C377" s="22" t="s">
        <v>398</v>
      </c>
      <c r="D377" s="22">
        <v>7540</v>
      </c>
      <c r="E377" s="22" t="s">
        <v>63</v>
      </c>
      <c r="F377" s="22" t="s">
        <v>64</v>
      </c>
      <c r="G377" t="s">
        <v>63</v>
      </c>
      <c r="H377" t="s">
        <v>63</v>
      </c>
      <c r="I377" t="s">
        <v>63</v>
      </c>
    </row>
    <row r="378" spans="2:9" x14ac:dyDescent="0.25">
      <c r="B378" s="22" t="s">
        <v>61</v>
      </c>
      <c r="C378" s="22" t="s">
        <v>399</v>
      </c>
      <c r="D378" s="22">
        <v>7540</v>
      </c>
      <c r="E378" s="22" t="s">
        <v>63</v>
      </c>
      <c r="F378" s="22" t="s">
        <v>64</v>
      </c>
      <c r="G378" t="s">
        <v>63</v>
      </c>
      <c r="H378" t="s">
        <v>63</v>
      </c>
      <c r="I378" t="s">
        <v>63</v>
      </c>
    </row>
    <row r="379" spans="2:9" x14ac:dyDescent="0.25">
      <c r="B379" s="22" t="s">
        <v>61</v>
      </c>
      <c r="C379" s="22" t="s">
        <v>400</v>
      </c>
      <c r="D379" s="22">
        <v>7540</v>
      </c>
      <c r="E379" s="22" t="s">
        <v>63</v>
      </c>
      <c r="F379" s="22" t="s">
        <v>64</v>
      </c>
      <c r="G379" t="s">
        <v>63</v>
      </c>
      <c r="H379" t="s">
        <v>63</v>
      </c>
      <c r="I379" t="s">
        <v>63</v>
      </c>
    </row>
    <row r="380" spans="2:9" x14ac:dyDescent="0.25">
      <c r="B380" s="22" t="s">
        <v>61</v>
      </c>
      <c r="C380" s="22" t="s">
        <v>401</v>
      </c>
      <c r="D380" s="22">
        <v>7540</v>
      </c>
      <c r="E380" s="22" t="s">
        <v>63</v>
      </c>
      <c r="F380" s="22" t="s">
        <v>64</v>
      </c>
      <c r="G380" t="s">
        <v>63</v>
      </c>
      <c r="H380" t="s">
        <v>63</v>
      </c>
      <c r="I380" t="s">
        <v>63</v>
      </c>
    </row>
    <row r="381" spans="2:9" x14ac:dyDescent="0.25">
      <c r="B381" s="22" t="s">
        <v>61</v>
      </c>
      <c r="C381" s="22" t="s">
        <v>402</v>
      </c>
      <c r="D381" s="22">
        <v>7540</v>
      </c>
      <c r="E381" s="22" t="s">
        <v>63</v>
      </c>
      <c r="F381" s="22" t="s">
        <v>64</v>
      </c>
      <c r="G381" t="s">
        <v>63</v>
      </c>
      <c r="H381" t="s">
        <v>63</v>
      </c>
      <c r="I381" t="s">
        <v>63</v>
      </c>
    </row>
    <row r="382" spans="2:9" x14ac:dyDescent="0.25">
      <c r="B382" s="22" t="s">
        <v>61</v>
      </c>
      <c r="C382" s="22" t="s">
        <v>403</v>
      </c>
      <c r="D382" s="22">
        <v>7540</v>
      </c>
      <c r="E382" s="22" t="s">
        <v>63</v>
      </c>
      <c r="F382" s="22" t="s">
        <v>64</v>
      </c>
      <c r="G382" t="s">
        <v>63</v>
      </c>
      <c r="H382" t="s">
        <v>63</v>
      </c>
      <c r="I382" t="s">
        <v>63</v>
      </c>
    </row>
    <row r="383" spans="2:9" x14ac:dyDescent="0.25">
      <c r="B383" s="22" t="s">
        <v>61</v>
      </c>
      <c r="C383" s="22" t="s">
        <v>404</v>
      </c>
      <c r="D383" s="22">
        <v>7540</v>
      </c>
      <c r="E383" s="22" t="s">
        <v>63</v>
      </c>
      <c r="F383" s="22" t="s">
        <v>64</v>
      </c>
      <c r="G383" t="s">
        <v>63</v>
      </c>
      <c r="H383" t="s">
        <v>63</v>
      </c>
      <c r="I383" t="s">
        <v>63</v>
      </c>
    </row>
    <row r="384" spans="2:9" x14ac:dyDescent="0.25">
      <c r="B384" s="22" t="s">
        <v>61</v>
      </c>
      <c r="C384" s="22" t="s">
        <v>405</v>
      </c>
      <c r="D384" s="22">
        <v>7540</v>
      </c>
      <c r="E384" s="22" t="s">
        <v>63</v>
      </c>
      <c r="F384" s="22" t="s">
        <v>64</v>
      </c>
      <c r="G384" t="s">
        <v>63</v>
      </c>
      <c r="H384" t="s">
        <v>63</v>
      </c>
      <c r="I384" t="s">
        <v>63</v>
      </c>
    </row>
    <row r="385" spans="2:9" x14ac:dyDescent="0.25">
      <c r="B385" s="22" t="s">
        <v>61</v>
      </c>
      <c r="C385" s="22" t="s">
        <v>406</v>
      </c>
      <c r="D385" s="22">
        <v>7540</v>
      </c>
      <c r="E385" s="22" t="s">
        <v>63</v>
      </c>
      <c r="F385" s="22" t="s">
        <v>64</v>
      </c>
      <c r="G385" t="s">
        <v>63</v>
      </c>
      <c r="H385" t="s">
        <v>63</v>
      </c>
      <c r="I385" t="s">
        <v>63</v>
      </c>
    </row>
    <row r="386" spans="2:9" x14ac:dyDescent="0.25">
      <c r="B386" s="22" t="s">
        <v>61</v>
      </c>
      <c r="C386" s="22" t="s">
        <v>407</v>
      </c>
      <c r="D386" s="22">
        <v>7540</v>
      </c>
      <c r="E386" s="22" t="s">
        <v>63</v>
      </c>
      <c r="F386" s="22" t="s">
        <v>64</v>
      </c>
      <c r="G386" t="s">
        <v>63</v>
      </c>
      <c r="H386" t="s">
        <v>63</v>
      </c>
      <c r="I386" t="s">
        <v>63</v>
      </c>
    </row>
    <row r="387" spans="2:9" x14ac:dyDescent="0.25">
      <c r="B387" s="22" t="s">
        <v>61</v>
      </c>
      <c r="C387" s="22" t="s">
        <v>408</v>
      </c>
      <c r="D387" s="22">
        <v>7540</v>
      </c>
      <c r="E387" s="22" t="s">
        <v>63</v>
      </c>
      <c r="F387" s="22" t="s">
        <v>64</v>
      </c>
      <c r="G387" t="s">
        <v>63</v>
      </c>
      <c r="H387" t="s">
        <v>63</v>
      </c>
      <c r="I387" t="s">
        <v>63</v>
      </c>
    </row>
    <row r="388" spans="2:9" x14ac:dyDescent="0.25">
      <c r="B388" s="22" t="s">
        <v>61</v>
      </c>
      <c r="C388" s="22" t="s">
        <v>409</v>
      </c>
      <c r="D388" s="22">
        <v>7540</v>
      </c>
      <c r="E388" s="22" t="s">
        <v>63</v>
      </c>
      <c r="F388" s="22" t="s">
        <v>64</v>
      </c>
      <c r="G388" t="s">
        <v>63</v>
      </c>
      <c r="H388" t="s">
        <v>63</v>
      </c>
      <c r="I388" t="s">
        <v>63</v>
      </c>
    </row>
    <row r="389" spans="2:9" x14ac:dyDescent="0.25">
      <c r="B389" s="22" t="s">
        <v>61</v>
      </c>
      <c r="C389" s="22" t="s">
        <v>410</v>
      </c>
      <c r="D389" s="22">
        <v>7540</v>
      </c>
      <c r="E389" s="22" t="s">
        <v>63</v>
      </c>
      <c r="F389" s="22" t="s">
        <v>64</v>
      </c>
      <c r="G389" t="s">
        <v>63</v>
      </c>
      <c r="H389" t="s">
        <v>63</v>
      </c>
      <c r="I389" t="s">
        <v>63</v>
      </c>
    </row>
    <row r="390" spans="2:9" x14ac:dyDescent="0.25">
      <c r="B390" s="22" t="s">
        <v>61</v>
      </c>
      <c r="C390" s="22" t="s">
        <v>411</v>
      </c>
      <c r="D390" s="22">
        <v>7540</v>
      </c>
      <c r="E390" s="22" t="s">
        <v>63</v>
      </c>
      <c r="F390" s="22" t="s">
        <v>64</v>
      </c>
      <c r="G390" t="s">
        <v>63</v>
      </c>
      <c r="H390" t="s">
        <v>63</v>
      </c>
      <c r="I390" t="s">
        <v>63</v>
      </c>
    </row>
    <row r="391" spans="2:9" x14ac:dyDescent="0.25">
      <c r="B391" s="22" t="s">
        <v>61</v>
      </c>
      <c r="C391" s="22" t="s">
        <v>412</v>
      </c>
      <c r="D391" s="22">
        <v>7540</v>
      </c>
      <c r="E391" s="22" t="s">
        <v>63</v>
      </c>
      <c r="F391" s="22" t="s">
        <v>64</v>
      </c>
      <c r="G391" t="s">
        <v>63</v>
      </c>
      <c r="H391" t="s">
        <v>63</v>
      </c>
      <c r="I391" t="s">
        <v>63</v>
      </c>
    </row>
    <row r="392" spans="2:9" x14ac:dyDescent="0.25">
      <c r="B392" s="22" t="s">
        <v>61</v>
      </c>
      <c r="C392" s="22" t="s">
        <v>413</v>
      </c>
      <c r="D392" s="22">
        <v>7540</v>
      </c>
      <c r="E392" s="22" t="s">
        <v>63</v>
      </c>
      <c r="F392" s="22" t="s">
        <v>64</v>
      </c>
      <c r="G392" t="s">
        <v>63</v>
      </c>
      <c r="H392" t="s">
        <v>63</v>
      </c>
      <c r="I392" t="s">
        <v>63</v>
      </c>
    </row>
    <row r="393" spans="2:9" x14ac:dyDescent="0.25">
      <c r="B393" s="22" t="s">
        <v>61</v>
      </c>
      <c r="C393" s="22" t="s">
        <v>414</v>
      </c>
      <c r="D393" s="22">
        <v>7540</v>
      </c>
      <c r="E393" s="22" t="s">
        <v>63</v>
      </c>
      <c r="F393" s="22" t="s">
        <v>64</v>
      </c>
      <c r="G393" t="s">
        <v>63</v>
      </c>
      <c r="H393" t="s">
        <v>63</v>
      </c>
      <c r="I393" t="s">
        <v>63</v>
      </c>
    </row>
    <row r="394" spans="2:9" x14ac:dyDescent="0.25">
      <c r="B394" s="22" t="s">
        <v>61</v>
      </c>
      <c r="C394" s="22" t="s">
        <v>415</v>
      </c>
      <c r="D394" s="22">
        <v>7540</v>
      </c>
      <c r="E394" s="22" t="s">
        <v>63</v>
      </c>
      <c r="F394" s="22" t="s">
        <v>64</v>
      </c>
      <c r="G394" t="s">
        <v>63</v>
      </c>
      <c r="H394" t="s">
        <v>63</v>
      </c>
      <c r="I394" t="s">
        <v>63</v>
      </c>
    </row>
    <row r="395" spans="2:9" x14ac:dyDescent="0.25">
      <c r="B395" s="22" t="s">
        <v>61</v>
      </c>
      <c r="C395" s="22" t="s">
        <v>416</v>
      </c>
      <c r="D395" s="22">
        <v>7540</v>
      </c>
      <c r="E395" s="22" t="s">
        <v>63</v>
      </c>
      <c r="F395" s="22" t="s">
        <v>64</v>
      </c>
      <c r="G395" t="s">
        <v>63</v>
      </c>
      <c r="H395" t="s">
        <v>63</v>
      </c>
      <c r="I395" t="s">
        <v>63</v>
      </c>
    </row>
    <row r="396" spans="2:9" x14ac:dyDescent="0.25">
      <c r="B396" s="22" t="s">
        <v>61</v>
      </c>
      <c r="C396" s="22" t="s">
        <v>417</v>
      </c>
      <c r="D396" s="22">
        <v>7540</v>
      </c>
      <c r="E396" s="22" t="s">
        <v>63</v>
      </c>
      <c r="F396" s="22" t="s">
        <v>64</v>
      </c>
      <c r="G396" t="s">
        <v>63</v>
      </c>
      <c r="H396" t="s">
        <v>63</v>
      </c>
      <c r="I396" t="s">
        <v>63</v>
      </c>
    </row>
    <row r="397" spans="2:9" x14ac:dyDescent="0.25">
      <c r="B397" s="22" t="s">
        <v>61</v>
      </c>
      <c r="C397" s="22" t="s">
        <v>418</v>
      </c>
      <c r="D397" s="22">
        <v>7540</v>
      </c>
      <c r="E397" s="22" t="s">
        <v>63</v>
      </c>
      <c r="F397" s="22" t="s">
        <v>64</v>
      </c>
      <c r="G397" t="s">
        <v>63</v>
      </c>
      <c r="H397" t="s">
        <v>63</v>
      </c>
      <c r="I397" t="s">
        <v>63</v>
      </c>
    </row>
    <row r="398" spans="2:9" x14ac:dyDescent="0.25">
      <c r="B398" s="22" t="s">
        <v>61</v>
      </c>
      <c r="C398" s="22" t="s">
        <v>419</v>
      </c>
      <c r="D398" s="22">
        <v>7540</v>
      </c>
      <c r="E398" s="22" t="s">
        <v>63</v>
      </c>
      <c r="F398" s="22" t="s">
        <v>64</v>
      </c>
      <c r="G398" t="s">
        <v>63</v>
      </c>
      <c r="H398" t="s">
        <v>63</v>
      </c>
      <c r="I398" t="s">
        <v>63</v>
      </c>
    </row>
    <row r="399" spans="2:9" x14ac:dyDescent="0.25">
      <c r="B399" s="22" t="s">
        <v>61</v>
      </c>
      <c r="C399" s="22" t="s">
        <v>420</v>
      </c>
      <c r="D399" s="22">
        <v>7540</v>
      </c>
      <c r="E399" s="22" t="s">
        <v>63</v>
      </c>
      <c r="F399" s="22" t="s">
        <v>64</v>
      </c>
      <c r="G399" t="s">
        <v>63</v>
      </c>
      <c r="H399" t="s">
        <v>63</v>
      </c>
      <c r="I399" t="s">
        <v>63</v>
      </c>
    </row>
    <row r="400" spans="2:9" x14ac:dyDescent="0.25">
      <c r="B400" s="22" t="s">
        <v>61</v>
      </c>
      <c r="C400" s="22" t="s">
        <v>421</v>
      </c>
      <c r="D400" s="22">
        <v>7540</v>
      </c>
      <c r="E400" s="22" t="s">
        <v>63</v>
      </c>
      <c r="F400" s="22" t="s">
        <v>64</v>
      </c>
      <c r="G400" t="s">
        <v>63</v>
      </c>
      <c r="H400" t="s">
        <v>63</v>
      </c>
      <c r="I400" t="s">
        <v>63</v>
      </c>
    </row>
    <row r="401" spans="2:9" x14ac:dyDescent="0.25">
      <c r="B401" s="22" t="s">
        <v>61</v>
      </c>
      <c r="C401" s="22" t="s">
        <v>422</v>
      </c>
      <c r="D401" s="22">
        <v>7540</v>
      </c>
      <c r="E401" s="22" t="s">
        <v>63</v>
      </c>
      <c r="F401" s="22" t="s">
        <v>64</v>
      </c>
      <c r="G401" t="s">
        <v>63</v>
      </c>
      <c r="H401" t="s">
        <v>63</v>
      </c>
      <c r="I401" t="s">
        <v>63</v>
      </c>
    </row>
    <row r="402" spans="2:9" x14ac:dyDescent="0.25">
      <c r="B402" s="22" t="s">
        <v>61</v>
      </c>
      <c r="C402" s="22" t="s">
        <v>423</v>
      </c>
      <c r="D402" s="22">
        <v>7540</v>
      </c>
      <c r="E402" s="22" t="s">
        <v>63</v>
      </c>
      <c r="F402" s="22" t="s">
        <v>64</v>
      </c>
      <c r="G402" t="s">
        <v>63</v>
      </c>
      <c r="H402" t="s">
        <v>63</v>
      </c>
      <c r="I402" t="s">
        <v>63</v>
      </c>
    </row>
    <row r="403" spans="2:9" x14ac:dyDescent="0.25">
      <c r="B403" s="22" t="s">
        <v>61</v>
      </c>
      <c r="C403" s="22" t="s">
        <v>424</v>
      </c>
      <c r="D403" s="22">
        <v>15080</v>
      </c>
      <c r="E403" s="22" t="s">
        <v>63</v>
      </c>
      <c r="F403" s="22" t="s">
        <v>64</v>
      </c>
      <c r="G403" t="s">
        <v>63</v>
      </c>
      <c r="H403" t="s">
        <v>63</v>
      </c>
      <c r="I403" t="s">
        <v>63</v>
      </c>
    </row>
    <row r="404" spans="2:9" x14ac:dyDescent="0.25">
      <c r="B404" s="22" t="s">
        <v>61</v>
      </c>
      <c r="C404" s="22" t="s">
        <v>425</v>
      </c>
      <c r="D404" s="22">
        <v>7540</v>
      </c>
      <c r="E404" s="22" t="s">
        <v>63</v>
      </c>
      <c r="F404" s="22" t="s">
        <v>64</v>
      </c>
      <c r="G404" t="s">
        <v>63</v>
      </c>
      <c r="H404" t="s">
        <v>63</v>
      </c>
      <c r="I404" t="s">
        <v>63</v>
      </c>
    </row>
    <row r="405" spans="2:9" x14ac:dyDescent="0.25">
      <c r="B405" s="22" t="s">
        <v>61</v>
      </c>
      <c r="C405" s="22" t="s">
        <v>426</v>
      </c>
      <c r="D405" s="22">
        <v>7540</v>
      </c>
      <c r="E405" s="22" t="s">
        <v>63</v>
      </c>
      <c r="F405" s="22" t="s">
        <v>64</v>
      </c>
      <c r="G405" t="s">
        <v>63</v>
      </c>
      <c r="H405" t="s">
        <v>63</v>
      </c>
      <c r="I405" t="s">
        <v>63</v>
      </c>
    </row>
    <row r="406" spans="2:9" x14ac:dyDescent="0.25">
      <c r="B406" s="22" t="s">
        <v>61</v>
      </c>
      <c r="C406" s="22" t="s">
        <v>427</v>
      </c>
      <c r="D406" s="22">
        <v>7540</v>
      </c>
      <c r="E406" s="22" t="s">
        <v>63</v>
      </c>
      <c r="F406" s="22" t="s">
        <v>64</v>
      </c>
      <c r="G406" t="s">
        <v>63</v>
      </c>
      <c r="H406" t="s">
        <v>63</v>
      </c>
      <c r="I406" t="s">
        <v>63</v>
      </c>
    </row>
    <row r="407" spans="2:9" x14ac:dyDescent="0.25">
      <c r="B407" s="22" t="s">
        <v>61</v>
      </c>
      <c r="C407" s="22" t="s">
        <v>428</v>
      </c>
      <c r="D407" s="22">
        <v>7540</v>
      </c>
      <c r="E407" s="22" t="s">
        <v>63</v>
      </c>
      <c r="F407" s="22" t="s">
        <v>64</v>
      </c>
      <c r="G407" t="s">
        <v>63</v>
      </c>
      <c r="H407" t="s">
        <v>63</v>
      </c>
      <c r="I407" t="s">
        <v>63</v>
      </c>
    </row>
    <row r="408" spans="2:9" x14ac:dyDescent="0.25">
      <c r="B408" s="22" t="s">
        <v>61</v>
      </c>
      <c r="C408" s="22" t="s">
        <v>429</v>
      </c>
      <c r="D408" s="22">
        <v>7540</v>
      </c>
      <c r="E408" s="22" t="s">
        <v>63</v>
      </c>
      <c r="F408" s="22" t="s">
        <v>64</v>
      </c>
      <c r="G408" t="s">
        <v>63</v>
      </c>
      <c r="H408" t="s">
        <v>63</v>
      </c>
      <c r="I408" t="s">
        <v>63</v>
      </c>
    </row>
    <row r="409" spans="2:9" x14ac:dyDescent="0.25">
      <c r="B409" s="22" t="s">
        <v>61</v>
      </c>
      <c r="C409" s="22" t="s">
        <v>430</v>
      </c>
      <c r="D409" s="22">
        <v>7540</v>
      </c>
      <c r="E409" s="22" t="s">
        <v>63</v>
      </c>
      <c r="F409" s="22" t="s">
        <v>64</v>
      </c>
      <c r="G409" t="s">
        <v>63</v>
      </c>
      <c r="H409" t="s">
        <v>63</v>
      </c>
      <c r="I409" t="s">
        <v>63</v>
      </c>
    </row>
    <row r="410" spans="2:9" x14ac:dyDescent="0.25">
      <c r="B410" s="22" t="s">
        <v>61</v>
      </c>
      <c r="C410" s="22" t="s">
        <v>431</v>
      </c>
      <c r="D410" s="22">
        <v>7540</v>
      </c>
      <c r="E410" s="22" t="s">
        <v>63</v>
      </c>
      <c r="F410" s="22" t="s">
        <v>64</v>
      </c>
      <c r="G410" t="s">
        <v>63</v>
      </c>
      <c r="H410" t="s">
        <v>63</v>
      </c>
      <c r="I410" t="s">
        <v>63</v>
      </c>
    </row>
    <row r="411" spans="2:9" x14ac:dyDescent="0.25">
      <c r="B411" s="22" t="s">
        <v>61</v>
      </c>
      <c r="C411" s="22" t="s">
        <v>432</v>
      </c>
      <c r="D411" s="22">
        <v>7540</v>
      </c>
      <c r="E411" s="22" t="s">
        <v>63</v>
      </c>
      <c r="F411" s="22" t="s">
        <v>64</v>
      </c>
      <c r="G411" t="s">
        <v>63</v>
      </c>
      <c r="H411" t="s">
        <v>63</v>
      </c>
      <c r="I411" t="s">
        <v>63</v>
      </c>
    </row>
    <row r="412" spans="2:9" x14ac:dyDescent="0.25">
      <c r="B412" s="22" t="s">
        <v>61</v>
      </c>
      <c r="C412" s="22" t="s">
        <v>433</v>
      </c>
      <c r="D412" s="22">
        <v>7540</v>
      </c>
      <c r="E412" s="22" t="s">
        <v>63</v>
      </c>
      <c r="F412" s="22" t="s">
        <v>64</v>
      </c>
      <c r="G412" t="s">
        <v>63</v>
      </c>
      <c r="H412" t="s">
        <v>63</v>
      </c>
      <c r="I412" t="s">
        <v>63</v>
      </c>
    </row>
    <row r="413" spans="2:9" x14ac:dyDescent="0.25">
      <c r="B413" s="22" t="s">
        <v>61</v>
      </c>
      <c r="C413" s="22" t="s">
        <v>434</v>
      </c>
      <c r="D413" s="22">
        <v>7540</v>
      </c>
      <c r="E413" s="22" t="s">
        <v>63</v>
      </c>
      <c r="F413" s="22" t="s">
        <v>64</v>
      </c>
      <c r="G413" t="s">
        <v>63</v>
      </c>
      <c r="H413" t="s">
        <v>63</v>
      </c>
      <c r="I413" t="s">
        <v>63</v>
      </c>
    </row>
    <row r="414" spans="2:9" x14ac:dyDescent="0.25">
      <c r="B414" s="22" t="s">
        <v>61</v>
      </c>
      <c r="C414" s="22" t="s">
        <v>435</v>
      </c>
      <c r="D414" s="22">
        <v>7540</v>
      </c>
      <c r="E414" s="22" t="s">
        <v>63</v>
      </c>
      <c r="F414" s="22" t="s">
        <v>64</v>
      </c>
      <c r="G414" t="s">
        <v>63</v>
      </c>
      <c r="H414" t="s">
        <v>63</v>
      </c>
      <c r="I414" t="s">
        <v>63</v>
      </c>
    </row>
    <row r="415" spans="2:9" x14ac:dyDescent="0.25">
      <c r="B415" s="22" t="s">
        <v>61</v>
      </c>
      <c r="C415" s="22" t="s">
        <v>436</v>
      </c>
      <c r="D415" s="22">
        <v>7540</v>
      </c>
      <c r="E415" s="22" t="s">
        <v>63</v>
      </c>
      <c r="F415" s="22" t="s">
        <v>64</v>
      </c>
      <c r="G415" t="s">
        <v>63</v>
      </c>
      <c r="H415" t="s">
        <v>63</v>
      </c>
      <c r="I415" t="s">
        <v>63</v>
      </c>
    </row>
    <row r="416" spans="2:9" x14ac:dyDescent="0.25">
      <c r="B416" s="22" t="s">
        <v>61</v>
      </c>
      <c r="C416" s="22" t="s">
        <v>437</v>
      </c>
      <c r="D416" s="22">
        <v>7540</v>
      </c>
      <c r="E416" s="22" t="s">
        <v>63</v>
      </c>
      <c r="F416" s="22" t="s">
        <v>64</v>
      </c>
      <c r="G416" t="s">
        <v>63</v>
      </c>
      <c r="H416" t="s">
        <v>63</v>
      </c>
      <c r="I416" t="s">
        <v>63</v>
      </c>
    </row>
    <row r="417" spans="2:9" x14ac:dyDescent="0.25">
      <c r="B417" s="22" t="s">
        <v>61</v>
      </c>
      <c r="C417" s="22" t="s">
        <v>438</v>
      </c>
      <c r="D417" s="22">
        <v>7540</v>
      </c>
      <c r="E417" s="22" t="s">
        <v>63</v>
      </c>
      <c r="F417" s="22" t="s">
        <v>64</v>
      </c>
      <c r="G417" t="s">
        <v>63</v>
      </c>
      <c r="H417" t="s">
        <v>63</v>
      </c>
      <c r="I417" t="s">
        <v>63</v>
      </c>
    </row>
    <row r="418" spans="2:9" x14ac:dyDescent="0.25">
      <c r="B418" s="22" t="s">
        <v>61</v>
      </c>
      <c r="C418" s="22" t="s">
        <v>439</v>
      </c>
      <c r="D418" s="22">
        <v>7540</v>
      </c>
      <c r="E418" s="22" t="s">
        <v>63</v>
      </c>
      <c r="F418" s="22" t="s">
        <v>64</v>
      </c>
      <c r="G418" t="s">
        <v>63</v>
      </c>
      <c r="H418" t="s">
        <v>63</v>
      </c>
      <c r="I418" t="s">
        <v>63</v>
      </c>
    </row>
    <row r="419" spans="2:9" x14ac:dyDescent="0.25">
      <c r="B419" s="22" t="s">
        <v>61</v>
      </c>
      <c r="C419" s="22" t="s">
        <v>440</v>
      </c>
      <c r="D419" s="22">
        <v>7540</v>
      </c>
      <c r="E419" s="22" t="s">
        <v>63</v>
      </c>
      <c r="F419" s="22" t="s">
        <v>64</v>
      </c>
      <c r="G419" t="s">
        <v>63</v>
      </c>
      <c r="H419" t="s">
        <v>63</v>
      </c>
      <c r="I419" t="s">
        <v>63</v>
      </c>
    </row>
    <row r="420" spans="2:9" x14ac:dyDescent="0.25">
      <c r="B420" s="22" t="s">
        <v>61</v>
      </c>
      <c r="C420" s="22" t="s">
        <v>441</v>
      </c>
      <c r="D420" s="22">
        <v>7540</v>
      </c>
      <c r="E420" s="22" t="s">
        <v>63</v>
      </c>
      <c r="F420" s="22" t="s">
        <v>64</v>
      </c>
      <c r="G420" t="s">
        <v>63</v>
      </c>
      <c r="H420" t="s">
        <v>63</v>
      </c>
      <c r="I420" t="s">
        <v>63</v>
      </c>
    </row>
    <row r="421" spans="2:9" x14ac:dyDescent="0.25">
      <c r="B421" s="22" t="s">
        <v>61</v>
      </c>
      <c r="C421" s="22" t="s">
        <v>442</v>
      </c>
      <c r="D421" s="22">
        <v>7540</v>
      </c>
      <c r="E421" s="22" t="s">
        <v>63</v>
      </c>
      <c r="F421" s="22" t="s">
        <v>64</v>
      </c>
      <c r="G421" t="s">
        <v>63</v>
      </c>
      <c r="H421" t="s">
        <v>63</v>
      </c>
      <c r="I421" t="s">
        <v>63</v>
      </c>
    </row>
    <row r="422" spans="2:9" x14ac:dyDescent="0.25">
      <c r="B422" s="22" t="s">
        <v>61</v>
      </c>
      <c r="C422" s="22" t="s">
        <v>443</v>
      </c>
      <c r="D422" s="22">
        <v>7540</v>
      </c>
      <c r="E422" s="22" t="s">
        <v>63</v>
      </c>
      <c r="F422" s="22" t="s">
        <v>64</v>
      </c>
      <c r="G422" t="s">
        <v>63</v>
      </c>
      <c r="H422" t="s">
        <v>63</v>
      </c>
      <c r="I422" t="s">
        <v>63</v>
      </c>
    </row>
    <row r="423" spans="2:9" x14ac:dyDescent="0.25">
      <c r="B423" s="22" t="s">
        <v>61</v>
      </c>
      <c r="C423" s="22" t="s">
        <v>444</v>
      </c>
      <c r="D423" s="22">
        <v>7540</v>
      </c>
      <c r="E423" s="22" t="s">
        <v>63</v>
      </c>
      <c r="F423" s="22" t="s">
        <v>64</v>
      </c>
      <c r="G423" t="s">
        <v>63</v>
      </c>
      <c r="H423" t="s">
        <v>63</v>
      </c>
      <c r="I423" t="s">
        <v>63</v>
      </c>
    </row>
    <row r="424" spans="2:9" x14ac:dyDescent="0.25">
      <c r="B424" s="22" t="s">
        <v>61</v>
      </c>
      <c r="C424" s="22" t="s">
        <v>445</v>
      </c>
      <c r="D424" s="22">
        <v>7540</v>
      </c>
      <c r="E424" s="22" t="s">
        <v>63</v>
      </c>
      <c r="F424" s="22" t="s">
        <v>64</v>
      </c>
      <c r="G424" t="s">
        <v>63</v>
      </c>
      <c r="H424" t="s">
        <v>63</v>
      </c>
      <c r="I424" t="s">
        <v>63</v>
      </c>
    </row>
    <row r="425" spans="2:9" x14ac:dyDescent="0.25">
      <c r="B425" s="22" t="s">
        <v>61</v>
      </c>
      <c r="C425" s="22" t="s">
        <v>446</v>
      </c>
      <c r="D425" s="22">
        <v>7540</v>
      </c>
      <c r="E425" s="22" t="s">
        <v>63</v>
      </c>
      <c r="F425" s="22" t="s">
        <v>64</v>
      </c>
      <c r="G425" t="s">
        <v>63</v>
      </c>
      <c r="H425" t="s">
        <v>63</v>
      </c>
      <c r="I425" t="s">
        <v>63</v>
      </c>
    </row>
    <row r="426" spans="2:9" x14ac:dyDescent="0.25">
      <c r="B426" s="22" t="s">
        <v>61</v>
      </c>
      <c r="C426" s="22" t="s">
        <v>447</v>
      </c>
      <c r="D426" s="22">
        <v>7540</v>
      </c>
      <c r="E426" s="22" t="s">
        <v>63</v>
      </c>
      <c r="F426" s="22" t="s">
        <v>64</v>
      </c>
      <c r="G426" t="s">
        <v>63</v>
      </c>
      <c r="H426" t="s">
        <v>63</v>
      </c>
      <c r="I426" t="s">
        <v>63</v>
      </c>
    </row>
    <row r="427" spans="2:9" x14ac:dyDescent="0.25">
      <c r="B427" s="22" t="s">
        <v>61</v>
      </c>
      <c r="C427" s="22" t="s">
        <v>448</v>
      </c>
      <c r="D427" s="22">
        <v>7540</v>
      </c>
      <c r="E427" s="22" t="s">
        <v>63</v>
      </c>
      <c r="F427" s="22" t="s">
        <v>64</v>
      </c>
      <c r="G427" t="s">
        <v>63</v>
      </c>
      <c r="H427" t="s">
        <v>63</v>
      </c>
      <c r="I427" t="s">
        <v>63</v>
      </c>
    </row>
    <row r="428" spans="2:9" x14ac:dyDescent="0.25">
      <c r="B428" s="22" t="s">
        <v>61</v>
      </c>
      <c r="C428" s="22" t="s">
        <v>449</v>
      </c>
      <c r="D428" s="22">
        <v>7540</v>
      </c>
      <c r="E428" s="22" t="s">
        <v>63</v>
      </c>
      <c r="F428" s="22" t="s">
        <v>64</v>
      </c>
      <c r="G428" t="s">
        <v>63</v>
      </c>
      <c r="H428" t="s">
        <v>63</v>
      </c>
      <c r="I428" t="s">
        <v>63</v>
      </c>
    </row>
    <row r="429" spans="2:9" x14ac:dyDescent="0.25">
      <c r="B429" s="22" t="s">
        <v>61</v>
      </c>
      <c r="C429" s="22" t="s">
        <v>450</v>
      </c>
      <c r="D429" s="22">
        <v>7540</v>
      </c>
      <c r="E429" s="22" t="s">
        <v>63</v>
      </c>
      <c r="F429" s="22" t="s">
        <v>64</v>
      </c>
      <c r="G429" t="s">
        <v>63</v>
      </c>
      <c r="H429" t="s">
        <v>63</v>
      </c>
      <c r="I429" t="s">
        <v>63</v>
      </c>
    </row>
    <row r="430" spans="2:9" x14ac:dyDescent="0.25">
      <c r="B430" s="22" t="s">
        <v>61</v>
      </c>
      <c r="C430" s="22" t="s">
        <v>451</v>
      </c>
      <c r="D430" s="22">
        <v>7540</v>
      </c>
      <c r="E430" s="22" t="s">
        <v>63</v>
      </c>
      <c r="F430" s="22" t="s">
        <v>64</v>
      </c>
      <c r="G430" t="s">
        <v>63</v>
      </c>
      <c r="H430" t="s">
        <v>63</v>
      </c>
      <c r="I430" t="s">
        <v>63</v>
      </c>
    </row>
    <row r="431" spans="2:9" x14ac:dyDescent="0.25">
      <c r="B431" s="22" t="s">
        <v>61</v>
      </c>
      <c r="C431" s="22" t="s">
        <v>452</v>
      </c>
      <c r="D431" s="22">
        <v>7540</v>
      </c>
      <c r="E431" s="22" t="s">
        <v>63</v>
      </c>
      <c r="F431" s="22" t="s">
        <v>64</v>
      </c>
      <c r="G431" t="s">
        <v>63</v>
      </c>
      <c r="H431" t="s">
        <v>63</v>
      </c>
      <c r="I431" t="s">
        <v>63</v>
      </c>
    </row>
    <row r="432" spans="2:9" x14ac:dyDescent="0.25">
      <c r="B432" s="22" t="s">
        <v>61</v>
      </c>
      <c r="C432" s="22" t="s">
        <v>453</v>
      </c>
      <c r="D432" s="22">
        <v>7540</v>
      </c>
      <c r="E432" s="22" t="s">
        <v>63</v>
      </c>
      <c r="F432" s="22" t="s">
        <v>64</v>
      </c>
      <c r="G432" t="s">
        <v>63</v>
      </c>
      <c r="H432" t="s">
        <v>63</v>
      </c>
      <c r="I432" t="s">
        <v>63</v>
      </c>
    </row>
    <row r="433" spans="2:9" x14ac:dyDescent="0.25">
      <c r="B433" s="22" t="s">
        <v>61</v>
      </c>
      <c r="C433" s="22" t="s">
        <v>454</v>
      </c>
      <c r="D433" s="22">
        <v>7540</v>
      </c>
      <c r="E433" s="22" t="s">
        <v>63</v>
      </c>
      <c r="F433" s="22" t="s">
        <v>64</v>
      </c>
      <c r="G433" t="s">
        <v>63</v>
      </c>
      <c r="H433" t="s">
        <v>63</v>
      </c>
      <c r="I433" t="s">
        <v>63</v>
      </c>
    </row>
    <row r="434" spans="2:9" x14ac:dyDescent="0.25">
      <c r="B434" s="22" t="s">
        <v>61</v>
      </c>
      <c r="C434" s="22" t="s">
        <v>455</v>
      </c>
      <c r="D434" s="22">
        <v>7540</v>
      </c>
      <c r="E434" s="22" t="s">
        <v>63</v>
      </c>
      <c r="F434" s="22" t="s">
        <v>64</v>
      </c>
      <c r="G434" t="s">
        <v>63</v>
      </c>
      <c r="H434" t="s">
        <v>63</v>
      </c>
      <c r="I434" t="s">
        <v>63</v>
      </c>
    </row>
    <row r="435" spans="2:9" x14ac:dyDescent="0.25">
      <c r="B435" s="22" t="s">
        <v>61</v>
      </c>
      <c r="C435" s="22" t="s">
        <v>456</v>
      </c>
      <c r="D435" s="22">
        <v>7540</v>
      </c>
      <c r="E435" s="22" t="s">
        <v>63</v>
      </c>
      <c r="F435" s="22" t="s">
        <v>64</v>
      </c>
      <c r="G435" t="s">
        <v>63</v>
      </c>
      <c r="H435" t="s">
        <v>63</v>
      </c>
      <c r="I435" t="s">
        <v>63</v>
      </c>
    </row>
    <row r="436" spans="2:9" x14ac:dyDescent="0.25">
      <c r="B436" s="22" t="s">
        <v>61</v>
      </c>
      <c r="C436" s="22" t="s">
        <v>457</v>
      </c>
      <c r="D436" s="22">
        <v>7540</v>
      </c>
      <c r="E436" s="22" t="s">
        <v>63</v>
      </c>
      <c r="F436" s="22" t="s">
        <v>64</v>
      </c>
      <c r="G436" t="s">
        <v>63</v>
      </c>
      <c r="H436" t="s">
        <v>63</v>
      </c>
      <c r="I436" t="s">
        <v>63</v>
      </c>
    </row>
    <row r="437" spans="2:9" x14ac:dyDescent="0.25">
      <c r="B437" s="22" t="s">
        <v>61</v>
      </c>
      <c r="C437" s="22" t="s">
        <v>458</v>
      </c>
      <c r="D437" s="22">
        <v>7540</v>
      </c>
      <c r="E437" s="22" t="s">
        <v>63</v>
      </c>
      <c r="F437" s="22" t="s">
        <v>64</v>
      </c>
      <c r="G437" t="s">
        <v>63</v>
      </c>
      <c r="H437" t="s">
        <v>63</v>
      </c>
      <c r="I437" t="s">
        <v>63</v>
      </c>
    </row>
    <row r="438" spans="2:9" x14ac:dyDescent="0.25">
      <c r="B438" s="22" t="s">
        <v>61</v>
      </c>
      <c r="C438" s="22" t="s">
        <v>459</v>
      </c>
      <c r="D438" s="22">
        <v>7540</v>
      </c>
      <c r="E438" s="22" t="s">
        <v>63</v>
      </c>
      <c r="F438" s="22" t="s">
        <v>64</v>
      </c>
      <c r="G438" t="s">
        <v>63</v>
      </c>
      <c r="H438" t="s">
        <v>63</v>
      </c>
      <c r="I438" t="s">
        <v>63</v>
      </c>
    </row>
    <row r="439" spans="2:9" x14ac:dyDescent="0.25">
      <c r="B439" s="22" t="s">
        <v>61</v>
      </c>
      <c r="C439" s="22" t="s">
        <v>460</v>
      </c>
      <c r="D439" s="22">
        <v>7540</v>
      </c>
      <c r="E439" s="22" t="s">
        <v>63</v>
      </c>
      <c r="F439" s="22" t="s">
        <v>64</v>
      </c>
      <c r="G439" t="s">
        <v>63</v>
      </c>
      <c r="H439" t="s">
        <v>63</v>
      </c>
      <c r="I439" t="s">
        <v>63</v>
      </c>
    </row>
    <row r="440" spans="2:9" x14ac:dyDescent="0.25">
      <c r="B440" s="22" t="s">
        <v>61</v>
      </c>
      <c r="C440" s="22" t="s">
        <v>461</v>
      </c>
      <c r="D440" s="22">
        <v>7540</v>
      </c>
      <c r="E440" s="22" t="s">
        <v>63</v>
      </c>
      <c r="F440" s="22" t="s">
        <v>64</v>
      </c>
      <c r="G440" t="s">
        <v>63</v>
      </c>
      <c r="H440" t="s">
        <v>63</v>
      </c>
      <c r="I440" t="s">
        <v>63</v>
      </c>
    </row>
    <row r="441" spans="2:9" x14ac:dyDescent="0.25">
      <c r="B441" s="22" t="s">
        <v>61</v>
      </c>
      <c r="C441" s="22" t="s">
        <v>462</v>
      </c>
      <c r="D441" s="22">
        <v>7540</v>
      </c>
      <c r="E441" s="22" t="s">
        <v>63</v>
      </c>
      <c r="F441" s="22" t="s">
        <v>64</v>
      </c>
      <c r="G441" t="s">
        <v>63</v>
      </c>
      <c r="H441" t="s">
        <v>63</v>
      </c>
      <c r="I441" t="s">
        <v>63</v>
      </c>
    </row>
    <row r="442" spans="2:9" x14ac:dyDescent="0.25">
      <c r="B442" s="22" t="s">
        <v>61</v>
      </c>
      <c r="C442" s="22" t="s">
        <v>463</v>
      </c>
      <c r="D442" s="22">
        <v>7540</v>
      </c>
      <c r="E442" s="22" t="s">
        <v>63</v>
      </c>
      <c r="F442" s="22" t="s">
        <v>64</v>
      </c>
      <c r="G442" t="s">
        <v>63</v>
      </c>
      <c r="H442" t="s">
        <v>63</v>
      </c>
      <c r="I442" t="s">
        <v>63</v>
      </c>
    </row>
    <row r="443" spans="2:9" x14ac:dyDescent="0.25">
      <c r="B443" s="22" t="s">
        <v>61</v>
      </c>
      <c r="C443" s="22" t="s">
        <v>464</v>
      </c>
      <c r="D443" s="22">
        <v>7540</v>
      </c>
      <c r="E443" s="22" t="s">
        <v>63</v>
      </c>
      <c r="F443" s="22" t="s">
        <v>64</v>
      </c>
      <c r="G443" t="s">
        <v>63</v>
      </c>
      <c r="H443" t="s">
        <v>63</v>
      </c>
      <c r="I443" t="s">
        <v>63</v>
      </c>
    </row>
    <row r="444" spans="2:9" x14ac:dyDescent="0.25">
      <c r="B444" s="22" t="s">
        <v>61</v>
      </c>
      <c r="C444" s="22" t="s">
        <v>465</v>
      </c>
      <c r="D444" s="22">
        <v>7540</v>
      </c>
      <c r="E444" s="22" t="s">
        <v>63</v>
      </c>
      <c r="F444" s="22" t="s">
        <v>64</v>
      </c>
      <c r="G444" t="s">
        <v>63</v>
      </c>
      <c r="H444" t="s">
        <v>63</v>
      </c>
      <c r="I444" t="s">
        <v>63</v>
      </c>
    </row>
    <row r="445" spans="2:9" x14ac:dyDescent="0.25">
      <c r="B445" s="22" t="s">
        <v>61</v>
      </c>
      <c r="C445" s="22" t="s">
        <v>466</v>
      </c>
      <c r="D445" s="22">
        <v>7540</v>
      </c>
      <c r="E445" s="22" t="s">
        <v>63</v>
      </c>
      <c r="F445" s="22" t="s">
        <v>64</v>
      </c>
      <c r="G445" t="s">
        <v>63</v>
      </c>
      <c r="H445" t="s">
        <v>63</v>
      </c>
      <c r="I445" t="s">
        <v>63</v>
      </c>
    </row>
    <row r="446" spans="2:9" x14ac:dyDescent="0.25">
      <c r="B446" s="22" t="s">
        <v>61</v>
      </c>
      <c r="C446" s="22" t="s">
        <v>467</v>
      </c>
      <c r="D446" s="22">
        <v>7540</v>
      </c>
      <c r="E446" s="22" t="s">
        <v>63</v>
      </c>
      <c r="F446" s="22" t="s">
        <v>64</v>
      </c>
      <c r="G446" t="s">
        <v>63</v>
      </c>
      <c r="H446" t="s">
        <v>63</v>
      </c>
      <c r="I446" t="s">
        <v>63</v>
      </c>
    </row>
    <row r="447" spans="2:9" x14ac:dyDescent="0.25">
      <c r="B447" s="22" t="s">
        <v>61</v>
      </c>
      <c r="C447" s="22" t="s">
        <v>468</v>
      </c>
      <c r="D447" s="22">
        <v>7540</v>
      </c>
      <c r="E447" s="22" t="s">
        <v>63</v>
      </c>
      <c r="F447" s="22" t="s">
        <v>64</v>
      </c>
      <c r="G447" t="s">
        <v>63</v>
      </c>
      <c r="H447" t="s">
        <v>63</v>
      </c>
      <c r="I447" t="s">
        <v>63</v>
      </c>
    </row>
    <row r="448" spans="2:9" x14ac:dyDescent="0.25">
      <c r="B448" s="22" t="s">
        <v>61</v>
      </c>
      <c r="C448" s="22" t="s">
        <v>469</v>
      </c>
      <c r="D448" s="22">
        <v>7540</v>
      </c>
      <c r="E448" s="22" t="s">
        <v>63</v>
      </c>
      <c r="F448" s="22" t="s">
        <v>64</v>
      </c>
      <c r="G448" t="s">
        <v>63</v>
      </c>
      <c r="H448" t="s">
        <v>63</v>
      </c>
      <c r="I448" t="s">
        <v>63</v>
      </c>
    </row>
    <row r="449" spans="2:9" x14ac:dyDescent="0.25">
      <c r="B449" s="22" t="s">
        <v>61</v>
      </c>
      <c r="C449" s="22" t="s">
        <v>470</v>
      </c>
      <c r="D449" s="22">
        <v>7540</v>
      </c>
      <c r="E449" s="22" t="s">
        <v>63</v>
      </c>
      <c r="F449" s="22" t="s">
        <v>64</v>
      </c>
      <c r="G449" t="s">
        <v>63</v>
      </c>
      <c r="H449" t="s">
        <v>63</v>
      </c>
      <c r="I449" t="s">
        <v>63</v>
      </c>
    </row>
    <row r="450" spans="2:9" x14ac:dyDescent="0.25">
      <c r="B450" s="22" t="s">
        <v>61</v>
      </c>
      <c r="C450" s="22" t="s">
        <v>471</v>
      </c>
      <c r="D450" s="22">
        <v>7540</v>
      </c>
      <c r="E450" s="22" t="s">
        <v>63</v>
      </c>
      <c r="F450" s="22" t="s">
        <v>64</v>
      </c>
      <c r="G450" t="s">
        <v>63</v>
      </c>
      <c r="H450" t="s">
        <v>63</v>
      </c>
      <c r="I450" t="s">
        <v>63</v>
      </c>
    </row>
    <row r="451" spans="2:9" x14ac:dyDescent="0.25">
      <c r="B451" s="22" t="s">
        <v>61</v>
      </c>
      <c r="C451" s="22" t="s">
        <v>472</v>
      </c>
      <c r="D451" s="22">
        <v>7540</v>
      </c>
      <c r="E451" s="22" t="s">
        <v>63</v>
      </c>
      <c r="F451" s="22" t="s">
        <v>64</v>
      </c>
      <c r="G451" t="s">
        <v>63</v>
      </c>
      <c r="H451" t="s">
        <v>63</v>
      </c>
      <c r="I451" t="s">
        <v>63</v>
      </c>
    </row>
    <row r="452" spans="2:9" x14ac:dyDescent="0.25">
      <c r="B452" s="22" t="s">
        <v>61</v>
      </c>
      <c r="C452" s="22" t="s">
        <v>473</v>
      </c>
      <c r="D452" s="22">
        <v>7540</v>
      </c>
      <c r="E452" s="22" t="s">
        <v>63</v>
      </c>
      <c r="F452" s="22" t="s">
        <v>64</v>
      </c>
      <c r="G452" t="s">
        <v>63</v>
      </c>
      <c r="H452" t="s">
        <v>63</v>
      </c>
      <c r="I452" t="s">
        <v>63</v>
      </c>
    </row>
    <row r="453" spans="2:9" x14ac:dyDescent="0.25">
      <c r="B453" s="22" t="s">
        <v>61</v>
      </c>
      <c r="C453" s="22" t="s">
        <v>474</v>
      </c>
      <c r="D453" s="22">
        <v>7540</v>
      </c>
      <c r="E453" s="22" t="s">
        <v>63</v>
      </c>
      <c r="F453" s="22" t="s">
        <v>64</v>
      </c>
      <c r="G453" t="s">
        <v>63</v>
      </c>
      <c r="H453" t="s">
        <v>63</v>
      </c>
      <c r="I453" t="s">
        <v>63</v>
      </c>
    </row>
    <row r="454" spans="2:9" x14ac:dyDescent="0.25">
      <c r="B454" s="22" t="s">
        <v>61</v>
      </c>
      <c r="C454" s="22" t="s">
        <v>475</v>
      </c>
      <c r="D454" s="22">
        <v>7540</v>
      </c>
      <c r="E454" s="22" t="s">
        <v>63</v>
      </c>
      <c r="F454" s="22" t="s">
        <v>64</v>
      </c>
      <c r="G454" t="s">
        <v>63</v>
      </c>
      <c r="H454" t="s">
        <v>63</v>
      </c>
      <c r="I454" t="s">
        <v>63</v>
      </c>
    </row>
    <row r="455" spans="2:9" x14ac:dyDescent="0.25">
      <c r="B455" s="22" t="s">
        <v>61</v>
      </c>
      <c r="C455" s="22" t="s">
        <v>476</v>
      </c>
      <c r="D455" s="22">
        <v>7540</v>
      </c>
      <c r="E455" s="22" t="s">
        <v>63</v>
      </c>
      <c r="F455" s="22" t="s">
        <v>64</v>
      </c>
      <c r="G455" t="s">
        <v>63</v>
      </c>
      <c r="H455" t="s">
        <v>63</v>
      </c>
      <c r="I455" t="s">
        <v>63</v>
      </c>
    </row>
    <row r="456" spans="2:9" x14ac:dyDescent="0.25">
      <c r="B456" s="22" t="s">
        <v>61</v>
      </c>
      <c r="C456" s="22" t="s">
        <v>477</v>
      </c>
      <c r="D456" s="22">
        <v>7540</v>
      </c>
      <c r="E456" s="22" t="s">
        <v>63</v>
      </c>
      <c r="F456" s="22" t="s">
        <v>64</v>
      </c>
      <c r="G456" t="s">
        <v>63</v>
      </c>
      <c r="H456" t="s">
        <v>63</v>
      </c>
      <c r="I456" t="s">
        <v>63</v>
      </c>
    </row>
    <row r="457" spans="2:9" x14ac:dyDescent="0.25">
      <c r="B457" s="22" t="s">
        <v>61</v>
      </c>
      <c r="C457" s="22" t="s">
        <v>478</v>
      </c>
      <c r="D457" s="22">
        <v>7540</v>
      </c>
      <c r="E457" s="22" t="s">
        <v>63</v>
      </c>
      <c r="F457" s="22" t="s">
        <v>64</v>
      </c>
      <c r="G457" t="s">
        <v>63</v>
      </c>
      <c r="H457" t="s">
        <v>63</v>
      </c>
      <c r="I457" t="s">
        <v>63</v>
      </c>
    </row>
    <row r="458" spans="2:9" x14ac:dyDescent="0.25">
      <c r="B458" s="22" t="s">
        <v>61</v>
      </c>
      <c r="C458" s="22" t="s">
        <v>479</v>
      </c>
      <c r="D458" s="22">
        <v>7540</v>
      </c>
      <c r="E458" s="22" t="s">
        <v>63</v>
      </c>
      <c r="F458" s="22" t="s">
        <v>64</v>
      </c>
      <c r="G458" t="s">
        <v>63</v>
      </c>
      <c r="H458" t="s">
        <v>63</v>
      </c>
      <c r="I458" t="s">
        <v>63</v>
      </c>
    </row>
    <row r="459" spans="2:9" x14ac:dyDescent="0.25">
      <c r="B459" s="22" t="s">
        <v>61</v>
      </c>
      <c r="C459" s="22" t="s">
        <v>480</v>
      </c>
      <c r="D459" s="22">
        <v>7540</v>
      </c>
      <c r="E459" s="22" t="s">
        <v>63</v>
      </c>
      <c r="F459" s="22" t="s">
        <v>64</v>
      </c>
      <c r="G459" t="s">
        <v>63</v>
      </c>
      <c r="H459" t="s">
        <v>63</v>
      </c>
      <c r="I459" t="s">
        <v>63</v>
      </c>
    </row>
    <row r="460" spans="2:9" x14ac:dyDescent="0.25">
      <c r="B460" s="22" t="s">
        <v>61</v>
      </c>
      <c r="C460" s="22" t="s">
        <v>481</v>
      </c>
      <c r="D460" s="22">
        <v>7540</v>
      </c>
      <c r="E460" s="22" t="s">
        <v>63</v>
      </c>
      <c r="F460" s="22" t="s">
        <v>64</v>
      </c>
      <c r="G460" s="22">
        <v>3446810</v>
      </c>
      <c r="H460" t="s">
        <v>63</v>
      </c>
      <c r="I460" t="s">
        <v>63</v>
      </c>
    </row>
    <row r="461" spans="2:9" hidden="1" x14ac:dyDescent="0.25">
      <c r="B461" t="s">
        <v>63</v>
      </c>
      <c r="C461" t="s">
        <v>482</v>
      </c>
      <c r="D461" s="21">
        <v>6893620</v>
      </c>
      <c r="E461" t="s">
        <v>63</v>
      </c>
      <c r="F461" t="s">
        <v>63</v>
      </c>
      <c r="G461" t="s">
        <v>63</v>
      </c>
      <c r="H461" t="s">
        <v>63</v>
      </c>
      <c r="I461" t="s">
        <v>63</v>
      </c>
    </row>
  </sheetData>
  <autoFilter ref="B2:I461" xr:uid="{1510379B-4379-43B0-8937-2D4A1924B019}">
    <filterColumn colId="0">
      <filters>
        <filter val="TRACKE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401A-132E-4992-8065-A5DBB9903790}">
  <dimension ref="A1:H417"/>
  <sheetViews>
    <sheetView tabSelected="1" topLeftCell="H414" workbookViewId="0">
      <selection activeCell="H416" sqref="H416"/>
    </sheetView>
  </sheetViews>
  <sheetFormatPr defaultRowHeight="15" x14ac:dyDescent="0.25"/>
  <cols>
    <col min="1" max="1" width="43.5703125" bestFit="1" customWidth="1"/>
    <col min="2" max="2" width="16.28515625" bestFit="1" customWidth="1"/>
    <col min="3" max="3" width="10.42578125" customWidth="1"/>
    <col min="5" max="5" width="14.140625" bestFit="1" customWidth="1"/>
    <col min="6" max="6" width="110" customWidth="1"/>
    <col min="7" max="7" width="101.5703125" customWidth="1"/>
    <col min="8" max="8" width="92.7109375" customWidth="1"/>
  </cols>
  <sheetData>
    <row r="1" spans="1:8" x14ac:dyDescent="0.25">
      <c r="A1" s="27" t="s">
        <v>1277</v>
      </c>
      <c r="B1" t="s">
        <v>1278</v>
      </c>
      <c r="D1" s="28" t="s">
        <v>1279</v>
      </c>
      <c r="E1" s="29" t="s">
        <v>1280</v>
      </c>
    </row>
    <row r="2" spans="1:8" ht="100.5" customHeight="1" x14ac:dyDescent="0.25">
      <c r="A2" s="22" t="s">
        <v>62</v>
      </c>
      <c r="B2" s="30" t="str">
        <f>VLOOKUP(A2,policy!B:C,2,0)</f>
        <v>040000192961</v>
      </c>
      <c r="C2" s="22">
        <v>16210</v>
      </c>
      <c r="D2" s="31">
        <f>ROUND(C2,0)</f>
        <v>16210</v>
      </c>
      <c r="E2" s="29" t="s">
        <v>1280</v>
      </c>
      <c r="F2" s="3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33" t="str">
        <f>"('"&amp;E2&amp;"','"&amp;B2&amp;"','"&amp;C2&amp;"',(select max(to_number(i.premium_rcv_detail_code))+1
from ins_premium_det i),'"&amp;C2&amp;"','"&amp;C2&amp;"','09', '11000003','00','Request by Mr. reheel malik 23-may-2025');"</f>
        <v>('23May250004','040000192961','16210',(select max(to_number(i.premium_rcv_detail_code))+1
from ins_premium_det i),'16210','16210','09', '11000003','00','Request by Mr. reheel malik 23-may-2025');</v>
      </c>
      <c r="H2" s="34" t="str">
        <f>F2&amp;G2</f>
        <v>insert into ins_premium_det (premium_rcv_code,assorted_code, rec_amount,premium_rcv_detail_code,remaining_amt, payrec, mode_code,coinsurance_code,class_cd,it_remarks) values('23May250004','040000192961','16210',(select max(to_number(i.premium_rcv_detail_code))+1
from ins_premium_det i),'16210','16210','09', '11000003','00','Request by Mr. reheel malik 23-may-2025');</v>
      </c>
    </row>
    <row r="3" spans="1:8" ht="90" x14ac:dyDescent="0.25">
      <c r="A3" s="22" t="s">
        <v>65</v>
      </c>
      <c r="B3" s="30" t="str">
        <f>VLOOKUP(A3,policy!B:C,2,0)</f>
        <v>040000192948</v>
      </c>
      <c r="C3" s="22">
        <v>24315</v>
      </c>
      <c r="D3" s="31">
        <f t="shared" ref="D3:D66" si="1">ROUND(C3,0)</f>
        <v>24315</v>
      </c>
      <c r="E3" s="29" t="s">
        <v>1280</v>
      </c>
      <c r="F3" s="32" t="str">
        <f t="shared" si="0"/>
        <v>insert into ins_premium_det (premium_rcv_code,assorted_code, rec_amount,premium_rcv_detail_code,remaining_amt, payrec, mode_code,coinsurance_code,class_cd,it_remarks) values</v>
      </c>
      <c r="G3" s="33" t="str">
        <f t="shared" ref="G3:G66" si="2">"('"&amp;E3&amp;"','"&amp;B3&amp;"','"&amp;C3&amp;"',(select max(to_number(i.premium_rcv_detail_code))+1
from ins_premium_det i),'"&amp;C3&amp;"','"&amp;C3&amp;"','09', '11000003','00','Request by Mr. reheel malik 23-may-2025');"</f>
        <v>('23May250004','040000192948','24315',(select max(to_number(i.premium_rcv_detail_code))+1
from ins_premium_det i),'24315','24315','09', '11000003','00','Request by Mr. reheel malik 23-may-2025');</v>
      </c>
      <c r="H3" s="34" t="str">
        <f t="shared" ref="H3:H66" si="3">F3&amp;G3</f>
        <v>insert into ins_premium_det (premium_rcv_code,assorted_code, rec_amount,premium_rcv_detail_code,remaining_amt, payrec, mode_code,coinsurance_code,class_cd,it_remarks) values('23May250004','040000192948','24315',(select max(to_number(i.premium_rcv_detail_code))+1
from ins_premium_det i),'24315','24315','09', '11000003','00','Request by Mr. reheel malik 23-may-2025');</v>
      </c>
    </row>
    <row r="4" spans="1:8" ht="90" x14ac:dyDescent="0.25">
      <c r="A4" s="22" t="s">
        <v>66</v>
      </c>
      <c r="B4" s="30" t="str">
        <f>VLOOKUP(A4,policy!B:C,2,0)</f>
        <v>040000192952</v>
      </c>
      <c r="C4" s="22">
        <v>72945</v>
      </c>
      <c r="D4" s="31">
        <f t="shared" si="1"/>
        <v>72945</v>
      </c>
      <c r="E4" s="29" t="s">
        <v>1280</v>
      </c>
      <c r="F4" s="32" t="str">
        <f t="shared" si="0"/>
        <v>insert into ins_premium_det (premium_rcv_code,assorted_code, rec_amount,premium_rcv_detail_code,remaining_amt, payrec, mode_code,coinsurance_code,class_cd,it_remarks) values</v>
      </c>
      <c r="G4" s="33" t="str">
        <f t="shared" si="2"/>
        <v>('23May250004','040000192952','72945',(select max(to_number(i.premium_rcv_detail_code))+1
from ins_premium_det i),'72945','72945','09', '11000003','00','Request by Mr. reheel malik 23-may-2025');</v>
      </c>
      <c r="H4" s="34" t="str">
        <f t="shared" si="3"/>
        <v>insert into ins_premium_det (premium_rcv_code,assorted_code, rec_amount,premium_rcv_detail_code,remaining_amt, payrec, mode_code,coinsurance_code,class_cd,it_remarks) values('23May250004','040000192952','72945',(select max(to_number(i.premium_rcv_detail_code))+1
from ins_premium_det i),'72945','72945','09', '11000003','00','Request by Mr. reheel malik 23-may-2025');</v>
      </c>
    </row>
    <row r="5" spans="1:8" ht="75" x14ac:dyDescent="0.25">
      <c r="A5" s="22" t="s">
        <v>67</v>
      </c>
      <c r="B5" s="30" t="str">
        <f>VLOOKUP(A5,policy!B:C,2,0)</f>
        <v>040000192966</v>
      </c>
      <c r="C5" s="22">
        <v>8105</v>
      </c>
      <c r="D5" s="31">
        <f t="shared" si="1"/>
        <v>8105</v>
      </c>
      <c r="E5" s="29" t="s">
        <v>1280</v>
      </c>
      <c r="F5" s="32" t="str">
        <f t="shared" si="0"/>
        <v>insert into ins_premium_det (premium_rcv_code,assorted_code, rec_amount,premium_rcv_detail_code,remaining_amt, payrec, mode_code,coinsurance_code,class_cd,it_remarks) values</v>
      </c>
      <c r="G5" s="33" t="str">
        <f t="shared" si="2"/>
        <v>('23May250004','040000192966','8105',(select max(to_number(i.premium_rcv_detail_code))+1
from ins_premium_det i),'8105','8105','09', '11000003','00','Request by Mr. reheel malik 23-may-2025');</v>
      </c>
      <c r="H5" s="34" t="str">
        <f t="shared" si="3"/>
        <v>insert into ins_premium_det (premium_rcv_code,assorted_code, rec_amount,premium_rcv_detail_code,remaining_amt, payrec, mode_code,coinsurance_code,class_cd,it_remarks) values('23May250004','040000192966','8105',(select max(to_number(i.premium_rcv_detail_code))+1
from ins_premium_det i),'8105','8105','09', '11000003','00','Request by Mr. reheel malik 23-may-2025');</v>
      </c>
    </row>
    <row r="6" spans="1:8" ht="75" x14ac:dyDescent="0.25">
      <c r="A6" s="22" t="s">
        <v>68</v>
      </c>
      <c r="B6" s="30" t="str">
        <f>VLOOKUP(A6,policy!B:C,2,0)</f>
        <v>040000192969</v>
      </c>
      <c r="C6" s="22">
        <v>8105</v>
      </c>
      <c r="D6" s="31">
        <f t="shared" si="1"/>
        <v>8105</v>
      </c>
      <c r="E6" s="29" t="s">
        <v>1280</v>
      </c>
      <c r="F6" s="32" t="str">
        <f t="shared" si="0"/>
        <v>insert into ins_premium_det (premium_rcv_code,assorted_code, rec_amount,premium_rcv_detail_code,remaining_amt, payrec, mode_code,coinsurance_code,class_cd,it_remarks) values</v>
      </c>
      <c r="G6" s="33" t="str">
        <f t="shared" si="2"/>
        <v>('23May250004','040000192969','8105',(select max(to_number(i.premium_rcv_detail_code))+1
from ins_premium_det i),'8105','8105','09', '11000003','00','Request by Mr. reheel malik 23-may-2025');</v>
      </c>
      <c r="H6" s="34" t="str">
        <f t="shared" si="3"/>
        <v>insert into ins_premium_det (premium_rcv_code,assorted_code, rec_amount,premium_rcv_detail_code,remaining_amt, payrec, mode_code,coinsurance_code,class_cd,it_remarks) values('23May250004','040000192969','8105',(select max(to_number(i.premium_rcv_detail_code))+1
from ins_premium_det i),'8105','8105','09', '11000003','00','Request by Mr. reheel malik 23-may-2025');</v>
      </c>
    </row>
    <row r="7" spans="1:8" ht="75" x14ac:dyDescent="0.25">
      <c r="A7" s="22" t="s">
        <v>69</v>
      </c>
      <c r="B7" s="30" t="str">
        <f>VLOOKUP(A7,policy!B:C,2,0)</f>
        <v>040000193525</v>
      </c>
      <c r="C7" s="22">
        <v>8105</v>
      </c>
      <c r="D7" s="31">
        <f t="shared" si="1"/>
        <v>8105</v>
      </c>
      <c r="E7" s="29" t="s">
        <v>1280</v>
      </c>
      <c r="F7" s="32" t="str">
        <f t="shared" si="0"/>
        <v>insert into ins_premium_det (premium_rcv_code,assorted_code, rec_amount,premium_rcv_detail_code,remaining_amt, payrec, mode_code,coinsurance_code,class_cd,it_remarks) values</v>
      </c>
      <c r="G7" s="33" t="str">
        <f t="shared" si="2"/>
        <v>('23May250004','040000193525','8105',(select max(to_number(i.premium_rcv_detail_code))+1
from ins_premium_det i),'8105','8105','09', '11000003','00','Request by Mr. reheel malik 23-may-2025');</v>
      </c>
      <c r="H7" s="34" t="str">
        <f t="shared" si="3"/>
        <v>insert into ins_premium_det (premium_rcv_code,assorted_code, rec_amount,premium_rcv_detail_code,remaining_amt, payrec, mode_code,coinsurance_code,class_cd,it_remarks) values('23May250004','040000193525','8105',(select max(to_number(i.premium_rcv_detail_code))+1
from ins_premium_det i),'8105','8105','09', '11000003','00','Request by Mr. reheel malik 23-may-2025');</v>
      </c>
    </row>
    <row r="8" spans="1:8" ht="75" x14ac:dyDescent="0.25">
      <c r="A8" s="22" t="s">
        <v>70</v>
      </c>
      <c r="B8" s="30" t="str">
        <f>VLOOKUP(A8,policy!B:C,2,0)</f>
        <v>040000193693</v>
      </c>
      <c r="C8" s="22">
        <v>8105</v>
      </c>
      <c r="D8" s="31">
        <f t="shared" si="1"/>
        <v>8105</v>
      </c>
      <c r="E8" s="29" t="s">
        <v>1280</v>
      </c>
      <c r="F8" s="32" t="str">
        <f t="shared" si="0"/>
        <v>insert into ins_premium_det (premium_rcv_code,assorted_code, rec_amount,premium_rcv_detail_code,remaining_amt, payrec, mode_code,coinsurance_code,class_cd,it_remarks) values</v>
      </c>
      <c r="G8" s="33" t="str">
        <f t="shared" si="2"/>
        <v>('23May250004','040000193693','8105',(select max(to_number(i.premium_rcv_detail_code))+1
from ins_premium_det i),'8105','8105','09', '11000003','00','Request by Mr. reheel malik 23-may-2025');</v>
      </c>
      <c r="H8" s="34" t="str">
        <f t="shared" si="3"/>
        <v>insert into ins_premium_det (premium_rcv_code,assorted_code, rec_amount,premium_rcv_detail_code,remaining_amt, payrec, mode_code,coinsurance_code,class_cd,it_remarks) values('23May250004','040000193693','8105',(select max(to_number(i.premium_rcv_detail_code))+1
from ins_premium_det i),'8105','8105','09', '11000003','00','Request by Mr. reheel malik 23-may-2025');</v>
      </c>
    </row>
    <row r="9" spans="1:8" ht="75" x14ac:dyDescent="0.25">
      <c r="A9" s="22" t="s">
        <v>71</v>
      </c>
      <c r="B9" s="30" t="str">
        <f>VLOOKUP(A9,policy!B:C,2,0)</f>
        <v>040000193719</v>
      </c>
      <c r="C9" s="22">
        <v>8105</v>
      </c>
      <c r="D9" s="31">
        <f t="shared" si="1"/>
        <v>8105</v>
      </c>
      <c r="E9" s="29" t="s">
        <v>1280</v>
      </c>
      <c r="F9" s="32" t="str">
        <f t="shared" si="0"/>
        <v>insert into ins_premium_det (premium_rcv_code,assorted_code, rec_amount,premium_rcv_detail_code,remaining_amt, payrec, mode_code,coinsurance_code,class_cd,it_remarks) values</v>
      </c>
      <c r="G9" s="33" t="str">
        <f t="shared" si="2"/>
        <v>('23May250004','040000193719','8105',(select max(to_number(i.premium_rcv_detail_code))+1
from ins_premium_det i),'8105','8105','09', '11000003','00','Request by Mr. reheel malik 23-may-2025');</v>
      </c>
      <c r="H9" s="34" t="str">
        <f t="shared" si="3"/>
        <v>insert into ins_premium_det (premium_rcv_code,assorted_code, rec_amount,premium_rcv_detail_code,remaining_amt, payrec, mode_code,coinsurance_code,class_cd,it_remarks) values('23May250004','040000193719','8105',(select max(to_number(i.premium_rcv_detail_code))+1
from ins_premium_det i),'8105','8105','09', '11000003','00','Request by Mr. reheel malik 23-may-2025');</v>
      </c>
    </row>
    <row r="10" spans="1:8" ht="75" x14ac:dyDescent="0.25">
      <c r="A10" s="22" t="s">
        <v>72</v>
      </c>
      <c r="B10" s="30" t="str">
        <f>VLOOKUP(A10,policy!B:C,2,0)</f>
        <v>040000193810</v>
      </c>
      <c r="C10" s="22">
        <v>8105</v>
      </c>
      <c r="D10" s="31">
        <f t="shared" si="1"/>
        <v>8105</v>
      </c>
      <c r="E10" s="29" t="s">
        <v>1280</v>
      </c>
      <c r="F10" s="32" t="str">
        <f t="shared" si="0"/>
        <v>insert into ins_premium_det (premium_rcv_code,assorted_code, rec_amount,premium_rcv_detail_code,remaining_amt, payrec, mode_code,coinsurance_code,class_cd,it_remarks) values</v>
      </c>
      <c r="G10" s="33" t="str">
        <f t="shared" si="2"/>
        <v>('23May250004','040000193810','8105',(select max(to_number(i.premium_rcv_detail_code))+1
from ins_premium_det i),'8105','8105','09', '11000003','00','Request by Mr. reheel malik 23-may-2025');</v>
      </c>
      <c r="H10" s="34" t="str">
        <f t="shared" si="3"/>
        <v>insert into ins_premium_det (premium_rcv_code,assorted_code, rec_amount,premium_rcv_detail_code,remaining_amt, payrec, mode_code,coinsurance_code,class_cd,it_remarks) values('23May250004','040000193810','8105',(select max(to_number(i.premium_rcv_detail_code))+1
from ins_premium_det i),'8105','8105','09', '11000003','00','Request by Mr. reheel malik 23-may-2025');</v>
      </c>
    </row>
    <row r="11" spans="1:8" ht="75" x14ac:dyDescent="0.25">
      <c r="A11" s="22" t="s">
        <v>73</v>
      </c>
      <c r="B11" s="30" t="str">
        <f>VLOOKUP(A11,policy!B:C,2,0)</f>
        <v>040000194147</v>
      </c>
      <c r="C11" s="22">
        <v>8105</v>
      </c>
      <c r="D11" s="31">
        <f t="shared" si="1"/>
        <v>8105</v>
      </c>
      <c r="E11" s="29" t="s">
        <v>1280</v>
      </c>
      <c r="F11" s="32" t="str">
        <f t="shared" si="0"/>
        <v>insert into ins_premium_det (premium_rcv_code,assorted_code, rec_amount,premium_rcv_detail_code,remaining_amt, payrec, mode_code,coinsurance_code,class_cd,it_remarks) values</v>
      </c>
      <c r="G11" s="33" t="str">
        <f t="shared" si="2"/>
        <v>('23May250004','040000194147','8105',(select max(to_number(i.premium_rcv_detail_code))+1
from ins_premium_det i),'8105','8105','09', '11000003','00','Request by Mr. reheel malik 23-may-2025');</v>
      </c>
      <c r="H11" s="34" t="str">
        <f t="shared" si="3"/>
        <v>insert into ins_premium_det (premium_rcv_code,assorted_code, rec_amount,premium_rcv_detail_code,remaining_amt, payrec, mode_code,coinsurance_code,class_cd,it_remarks) values('23May250004','040000194147','8105',(select max(to_number(i.premium_rcv_detail_code))+1
from ins_premium_det i),'8105','8105','09', '11000003','00','Request by Mr. reheel malik 23-may-2025');</v>
      </c>
    </row>
    <row r="12" spans="1:8" ht="75" x14ac:dyDescent="0.25">
      <c r="A12" s="22" t="s">
        <v>74</v>
      </c>
      <c r="B12" s="30" t="str">
        <f>VLOOKUP(A12,policy!B:C,2,0)</f>
        <v>040000194281</v>
      </c>
      <c r="C12" s="22">
        <v>8105</v>
      </c>
      <c r="D12" s="31">
        <f t="shared" si="1"/>
        <v>8105</v>
      </c>
      <c r="E12" s="29" t="s">
        <v>1280</v>
      </c>
      <c r="F12" s="32" t="str">
        <f t="shared" si="0"/>
        <v>insert into ins_premium_det (premium_rcv_code,assorted_code, rec_amount,premium_rcv_detail_code,remaining_amt, payrec, mode_code,coinsurance_code,class_cd,it_remarks) values</v>
      </c>
      <c r="G12" s="33" t="str">
        <f t="shared" si="2"/>
        <v>('23May250004','040000194281','8105',(select max(to_number(i.premium_rcv_detail_code))+1
from ins_premium_det i),'8105','8105','09', '11000003','00','Request by Mr. reheel malik 23-may-2025');</v>
      </c>
      <c r="H12" s="34" t="str">
        <f t="shared" si="3"/>
        <v>insert into ins_premium_det (premium_rcv_code,assorted_code, rec_amount,premium_rcv_detail_code,remaining_amt, payrec, mode_code,coinsurance_code,class_cd,it_remarks) values('23May250004','040000194281','8105',(select max(to_number(i.premium_rcv_detail_code))+1
from ins_premium_det i),'8105','8105','09', '11000003','00','Request by Mr. reheel malik 23-may-2025');</v>
      </c>
    </row>
    <row r="13" spans="1:8" ht="75" x14ac:dyDescent="0.25">
      <c r="A13" s="22" t="s">
        <v>75</v>
      </c>
      <c r="B13" s="30" t="str">
        <f>VLOOKUP(A13,policy!B:C,2,0)</f>
        <v>040000194383</v>
      </c>
      <c r="C13" s="22">
        <v>8105</v>
      </c>
      <c r="D13" s="31">
        <f t="shared" si="1"/>
        <v>8105</v>
      </c>
      <c r="E13" s="29" t="s">
        <v>1280</v>
      </c>
      <c r="F13" s="32" t="str">
        <f t="shared" si="0"/>
        <v>insert into ins_premium_det (premium_rcv_code,assorted_code, rec_amount,premium_rcv_detail_code,remaining_amt, payrec, mode_code,coinsurance_code,class_cd,it_remarks) values</v>
      </c>
      <c r="G13" s="33" t="str">
        <f t="shared" si="2"/>
        <v>('23May250004','040000194383','8105',(select max(to_number(i.premium_rcv_detail_code))+1
from ins_premium_det i),'8105','8105','09', '11000003','00','Request by Mr. reheel malik 23-may-2025');</v>
      </c>
      <c r="H13" s="34" t="str">
        <f t="shared" si="3"/>
        <v>insert into ins_premium_det (premium_rcv_code,assorted_code, rec_amount,premium_rcv_detail_code,remaining_amt, payrec, mode_code,coinsurance_code,class_cd,it_remarks) values('23May250004','040000194383','8105',(select max(to_number(i.premium_rcv_detail_code))+1
from ins_premium_det i),'8105','8105','09', '11000003','00','Request by Mr. reheel malik 23-may-2025');</v>
      </c>
    </row>
    <row r="14" spans="1:8" ht="75" x14ac:dyDescent="0.25">
      <c r="A14" s="22" t="s">
        <v>76</v>
      </c>
      <c r="B14" s="30" t="str">
        <f>VLOOKUP(A14,policy!B:C,2,0)</f>
        <v>040000194489</v>
      </c>
      <c r="C14" s="22">
        <v>8105</v>
      </c>
      <c r="D14" s="31">
        <f t="shared" si="1"/>
        <v>8105</v>
      </c>
      <c r="E14" s="29" t="s">
        <v>1280</v>
      </c>
      <c r="F14" s="32" t="str">
        <f t="shared" si="0"/>
        <v>insert into ins_premium_det (premium_rcv_code,assorted_code, rec_amount,premium_rcv_detail_code,remaining_amt, payrec, mode_code,coinsurance_code,class_cd,it_remarks) values</v>
      </c>
      <c r="G14" s="33" t="str">
        <f t="shared" si="2"/>
        <v>('23May250004','040000194489','8105',(select max(to_number(i.premium_rcv_detail_code))+1
from ins_premium_det i),'8105','8105','09', '11000003','00','Request by Mr. reheel malik 23-may-2025');</v>
      </c>
      <c r="H14" s="34" t="str">
        <f t="shared" si="3"/>
        <v>insert into ins_premium_det (premium_rcv_code,assorted_code, rec_amount,premium_rcv_detail_code,remaining_amt, payrec, mode_code,coinsurance_code,class_cd,it_remarks) values('23May250004','040000194489','8105',(select max(to_number(i.premium_rcv_detail_code))+1
from ins_premium_det i),'8105','8105','09', '11000003','00','Request by Mr. reheel malik 23-may-2025');</v>
      </c>
    </row>
    <row r="15" spans="1:8" ht="75" x14ac:dyDescent="0.25">
      <c r="A15" s="22" t="s">
        <v>77</v>
      </c>
      <c r="B15" s="30" t="str">
        <f>VLOOKUP(A15,policy!B:C,2,0)</f>
        <v>040000194689</v>
      </c>
      <c r="C15" s="22">
        <v>8105</v>
      </c>
      <c r="D15" s="31">
        <f t="shared" si="1"/>
        <v>8105</v>
      </c>
      <c r="E15" s="29" t="s">
        <v>1280</v>
      </c>
      <c r="F15" s="32" t="str">
        <f t="shared" si="0"/>
        <v>insert into ins_premium_det (premium_rcv_code,assorted_code, rec_amount,premium_rcv_detail_code,remaining_amt, payrec, mode_code,coinsurance_code,class_cd,it_remarks) values</v>
      </c>
      <c r="G15" s="33" t="str">
        <f t="shared" si="2"/>
        <v>('23May250004','040000194689','8105',(select max(to_number(i.premium_rcv_detail_code))+1
from ins_premium_det i),'8105','8105','09', '11000003','00','Request by Mr. reheel malik 23-may-2025');</v>
      </c>
      <c r="H15" s="34" t="str">
        <f t="shared" si="3"/>
        <v>insert into ins_premium_det (premium_rcv_code,assorted_code, rec_amount,premium_rcv_detail_code,remaining_amt, payrec, mode_code,coinsurance_code,class_cd,it_remarks) values('23May250004','040000194689','8105',(select max(to_number(i.premium_rcv_detail_code))+1
from ins_premium_det i),'8105','8105','09', '11000003','00','Request by Mr. reheel malik 23-may-2025');</v>
      </c>
    </row>
    <row r="16" spans="1:8" ht="75" x14ac:dyDescent="0.25">
      <c r="A16" s="22" t="s">
        <v>78</v>
      </c>
      <c r="B16" s="30" t="str">
        <f>VLOOKUP(A16,policy!B:C,2,0)</f>
        <v>040000194744</v>
      </c>
      <c r="C16" s="22">
        <v>8105</v>
      </c>
      <c r="D16" s="31">
        <f t="shared" si="1"/>
        <v>8105</v>
      </c>
      <c r="E16" s="29" t="s">
        <v>1280</v>
      </c>
      <c r="F16" s="32" t="str">
        <f t="shared" si="0"/>
        <v>insert into ins_premium_det (premium_rcv_code,assorted_code, rec_amount,premium_rcv_detail_code,remaining_amt, payrec, mode_code,coinsurance_code,class_cd,it_remarks) values</v>
      </c>
      <c r="G16" s="33" t="str">
        <f t="shared" si="2"/>
        <v>('23May250004','040000194744','8105',(select max(to_number(i.premium_rcv_detail_code))+1
from ins_premium_det i),'8105','8105','09', '11000003','00','Request by Mr. reheel malik 23-may-2025');</v>
      </c>
      <c r="H16" s="34" t="str">
        <f t="shared" si="3"/>
        <v>insert into ins_premium_det (premium_rcv_code,assorted_code, rec_amount,premium_rcv_detail_code,remaining_amt, payrec, mode_code,coinsurance_code,class_cd,it_remarks) values('23May250004','040000194744','8105',(select max(to_number(i.premium_rcv_detail_code))+1
from ins_premium_det i),'8105','8105','09', '11000003','00','Request by Mr. reheel malik 23-may-2025');</v>
      </c>
    </row>
    <row r="17" spans="1:8" ht="75" x14ac:dyDescent="0.25">
      <c r="A17" s="22" t="s">
        <v>79</v>
      </c>
      <c r="B17" s="30" t="str">
        <f>VLOOKUP(A17,policy!B:C,2,0)</f>
        <v>040000194981</v>
      </c>
      <c r="C17" s="22">
        <v>8105</v>
      </c>
      <c r="D17" s="31">
        <f t="shared" si="1"/>
        <v>8105</v>
      </c>
      <c r="E17" s="29" t="s">
        <v>1280</v>
      </c>
      <c r="F17" s="32" t="str">
        <f t="shared" si="0"/>
        <v>insert into ins_premium_det (premium_rcv_code,assorted_code, rec_amount,premium_rcv_detail_code,remaining_amt, payrec, mode_code,coinsurance_code,class_cd,it_remarks) values</v>
      </c>
      <c r="G17" s="33" t="str">
        <f t="shared" si="2"/>
        <v>('23May250004','040000194981','8105',(select max(to_number(i.premium_rcv_detail_code))+1
from ins_premium_det i),'8105','8105','09', '11000003','00','Request by Mr. reheel malik 23-may-2025');</v>
      </c>
      <c r="H17" s="34" t="str">
        <f t="shared" si="3"/>
        <v>insert into ins_premium_det (premium_rcv_code,assorted_code, rec_amount,premium_rcv_detail_code,remaining_amt, payrec, mode_code,coinsurance_code,class_cd,it_remarks) values('23May250004','040000194981','8105',(select max(to_number(i.premium_rcv_detail_code))+1
from ins_premium_det i),'8105','8105','09', '11000003','00','Request by Mr. reheel malik 23-may-2025');</v>
      </c>
    </row>
    <row r="18" spans="1:8" ht="75" x14ac:dyDescent="0.25">
      <c r="A18" s="22" t="s">
        <v>80</v>
      </c>
      <c r="B18" s="30" t="str">
        <f>VLOOKUP(A18,policy!B:C,2,0)</f>
        <v>040000195002</v>
      </c>
      <c r="C18" s="22">
        <v>8105</v>
      </c>
      <c r="D18" s="31">
        <f t="shared" si="1"/>
        <v>8105</v>
      </c>
      <c r="E18" s="29" t="s">
        <v>1280</v>
      </c>
      <c r="F18" s="32" t="str">
        <f t="shared" si="0"/>
        <v>insert into ins_premium_det (premium_rcv_code,assorted_code, rec_amount,premium_rcv_detail_code,remaining_amt, payrec, mode_code,coinsurance_code,class_cd,it_remarks) values</v>
      </c>
      <c r="G18" s="33" t="str">
        <f t="shared" si="2"/>
        <v>('23May250004','040000195002','8105',(select max(to_number(i.premium_rcv_detail_code))+1
from ins_premium_det i),'8105','8105','09', '11000003','00','Request by Mr. reheel malik 23-may-2025');</v>
      </c>
      <c r="H18" s="34" t="str">
        <f t="shared" si="3"/>
        <v>insert into ins_premium_det (premium_rcv_code,assorted_code, rec_amount,premium_rcv_detail_code,remaining_amt, payrec, mode_code,coinsurance_code,class_cd,it_remarks) values('23May250004','040000195002','8105',(select max(to_number(i.premium_rcv_detail_code))+1
from ins_premium_det i),'8105','8105','09', '11000003','00','Request by Mr. reheel malik 23-may-2025');</v>
      </c>
    </row>
    <row r="19" spans="1:8" ht="75" x14ac:dyDescent="0.25">
      <c r="A19" s="22" t="s">
        <v>81</v>
      </c>
      <c r="B19" s="30" t="str">
        <f>VLOOKUP(A19,policy!B:C,2,0)</f>
        <v>040000195009</v>
      </c>
      <c r="C19" s="22">
        <v>8105</v>
      </c>
      <c r="D19" s="31">
        <f t="shared" si="1"/>
        <v>8105</v>
      </c>
      <c r="E19" s="29" t="s">
        <v>1280</v>
      </c>
      <c r="F19" s="32" t="str">
        <f t="shared" si="0"/>
        <v>insert into ins_premium_det (premium_rcv_code,assorted_code, rec_amount,premium_rcv_detail_code,remaining_amt, payrec, mode_code,coinsurance_code,class_cd,it_remarks) values</v>
      </c>
      <c r="G19" s="33" t="str">
        <f t="shared" si="2"/>
        <v>('23May250004','040000195009','8105',(select max(to_number(i.premium_rcv_detail_code))+1
from ins_premium_det i),'8105','8105','09', '11000003','00','Request by Mr. reheel malik 23-may-2025');</v>
      </c>
      <c r="H19" s="34" t="str">
        <f t="shared" si="3"/>
        <v>insert into ins_premium_det (premium_rcv_code,assorted_code, rec_amount,premium_rcv_detail_code,remaining_amt, payrec, mode_code,coinsurance_code,class_cd,it_remarks) values('23May250004','040000195009','8105',(select max(to_number(i.premium_rcv_detail_code))+1
from ins_premium_det i),'8105','8105','09', '11000003','00','Request by Mr. reheel malik 23-may-2025');</v>
      </c>
    </row>
    <row r="20" spans="1:8" ht="75" x14ac:dyDescent="0.25">
      <c r="A20" s="22" t="s">
        <v>82</v>
      </c>
      <c r="B20" s="30" t="str">
        <f>VLOOKUP(A20,policy!B:C,2,0)</f>
        <v>040000195077</v>
      </c>
      <c r="C20" s="22">
        <v>8105</v>
      </c>
      <c r="D20" s="31">
        <f t="shared" si="1"/>
        <v>8105</v>
      </c>
      <c r="E20" s="29" t="s">
        <v>1280</v>
      </c>
      <c r="F20" s="32" t="str">
        <f t="shared" si="0"/>
        <v>insert into ins_premium_det (premium_rcv_code,assorted_code, rec_amount,premium_rcv_detail_code,remaining_amt, payrec, mode_code,coinsurance_code,class_cd,it_remarks) values</v>
      </c>
      <c r="G20" s="33" t="str">
        <f t="shared" si="2"/>
        <v>('23May250004','040000195077','8105',(select max(to_number(i.premium_rcv_detail_code))+1
from ins_premium_det i),'8105','8105','09', '11000003','00','Request by Mr. reheel malik 23-may-2025');</v>
      </c>
      <c r="H20" s="34" t="str">
        <f t="shared" si="3"/>
        <v>insert into ins_premium_det (premium_rcv_code,assorted_code, rec_amount,premium_rcv_detail_code,remaining_amt, payrec, mode_code,coinsurance_code,class_cd,it_remarks) values('23May250004','040000195077','8105',(select max(to_number(i.premium_rcv_detail_code))+1
from ins_premium_det i),'8105','8105','09', '11000003','00','Request by Mr. reheel malik 23-may-2025');</v>
      </c>
    </row>
    <row r="21" spans="1:8" ht="75" x14ac:dyDescent="0.25">
      <c r="A21" s="22" t="s">
        <v>83</v>
      </c>
      <c r="B21" s="30" t="str">
        <f>VLOOKUP(A21,policy!B:C,2,0)</f>
        <v>040000195078</v>
      </c>
      <c r="C21" s="22">
        <v>8105</v>
      </c>
      <c r="D21" s="31">
        <f t="shared" si="1"/>
        <v>8105</v>
      </c>
      <c r="E21" s="29" t="s">
        <v>1280</v>
      </c>
      <c r="F21" s="32" t="str">
        <f t="shared" si="0"/>
        <v>insert into ins_premium_det (premium_rcv_code,assorted_code, rec_amount,premium_rcv_detail_code,remaining_amt, payrec, mode_code,coinsurance_code,class_cd,it_remarks) values</v>
      </c>
      <c r="G21" s="33" t="str">
        <f t="shared" si="2"/>
        <v>('23May250004','040000195078','8105',(select max(to_number(i.premium_rcv_detail_code))+1
from ins_premium_det i),'8105','8105','09', '11000003','00','Request by Mr. reheel malik 23-may-2025');</v>
      </c>
      <c r="H21" s="34" t="str">
        <f t="shared" si="3"/>
        <v>insert into ins_premium_det (premium_rcv_code,assorted_code, rec_amount,premium_rcv_detail_code,remaining_amt, payrec, mode_code,coinsurance_code,class_cd,it_remarks) values('23May250004','040000195078','8105',(select max(to_number(i.premium_rcv_detail_code))+1
from ins_premium_det i),'8105','8105','09', '11000003','00','Request by Mr. reheel malik 23-may-2025');</v>
      </c>
    </row>
    <row r="22" spans="1:8" ht="75" x14ac:dyDescent="0.25">
      <c r="A22" s="22" t="s">
        <v>84</v>
      </c>
      <c r="B22" s="30" t="str">
        <f>VLOOKUP(A22,policy!B:C,2,0)</f>
        <v>040000195080</v>
      </c>
      <c r="C22" s="22">
        <v>8105</v>
      </c>
      <c r="D22" s="31">
        <f t="shared" si="1"/>
        <v>8105</v>
      </c>
      <c r="E22" s="29" t="s">
        <v>1280</v>
      </c>
      <c r="F22" s="32" t="str">
        <f t="shared" si="0"/>
        <v>insert into ins_premium_det (premium_rcv_code,assorted_code, rec_amount,premium_rcv_detail_code,remaining_amt, payrec, mode_code,coinsurance_code,class_cd,it_remarks) values</v>
      </c>
      <c r="G22" s="33" t="str">
        <f t="shared" si="2"/>
        <v>('23May250004','040000195080','8105',(select max(to_number(i.premium_rcv_detail_code))+1
from ins_premium_det i),'8105','8105','09', '11000003','00','Request by Mr. reheel malik 23-may-2025');</v>
      </c>
      <c r="H22" s="34" t="str">
        <f t="shared" si="3"/>
        <v>insert into ins_premium_det (premium_rcv_code,assorted_code, rec_amount,premium_rcv_detail_code,remaining_amt, payrec, mode_code,coinsurance_code,class_cd,it_remarks) values('23May250004','040000195080','8105',(select max(to_number(i.premium_rcv_detail_code))+1
from ins_premium_det i),'8105','8105','09', '11000003','00','Request by Mr. reheel malik 23-may-2025');</v>
      </c>
    </row>
    <row r="23" spans="1:8" ht="75" x14ac:dyDescent="0.25">
      <c r="A23" s="22" t="s">
        <v>85</v>
      </c>
      <c r="B23" s="30" t="str">
        <f>VLOOKUP(A23,policy!B:C,2,0)</f>
        <v>040000195084</v>
      </c>
      <c r="C23" s="22">
        <v>8105</v>
      </c>
      <c r="D23" s="31">
        <f t="shared" si="1"/>
        <v>8105</v>
      </c>
      <c r="E23" s="29" t="s">
        <v>1280</v>
      </c>
      <c r="F23" s="32" t="str">
        <f t="shared" si="0"/>
        <v>insert into ins_premium_det (premium_rcv_code,assorted_code, rec_amount,premium_rcv_detail_code,remaining_amt, payrec, mode_code,coinsurance_code,class_cd,it_remarks) values</v>
      </c>
      <c r="G23" s="33" t="str">
        <f t="shared" si="2"/>
        <v>('23May250004','040000195084','8105',(select max(to_number(i.premium_rcv_detail_code))+1
from ins_premium_det i),'8105','8105','09', '11000003','00','Request by Mr. reheel malik 23-may-2025');</v>
      </c>
      <c r="H23" s="34" t="str">
        <f t="shared" si="3"/>
        <v>insert into ins_premium_det (premium_rcv_code,assorted_code, rec_amount,premium_rcv_detail_code,remaining_amt, payrec, mode_code,coinsurance_code,class_cd,it_remarks) values('23May250004','040000195084','8105',(select max(to_number(i.premium_rcv_detail_code))+1
from ins_premium_det i),'8105','8105','09', '11000003','00','Request by Mr. reheel malik 23-may-2025');</v>
      </c>
    </row>
    <row r="24" spans="1:8" ht="75" x14ac:dyDescent="0.25">
      <c r="A24" s="22" t="s">
        <v>86</v>
      </c>
      <c r="B24" s="30" t="str">
        <f>VLOOKUP(A24,policy!B:C,2,0)</f>
        <v>040000195085</v>
      </c>
      <c r="C24" s="22">
        <v>8105</v>
      </c>
      <c r="D24" s="31">
        <f t="shared" si="1"/>
        <v>8105</v>
      </c>
      <c r="E24" s="29" t="s">
        <v>1280</v>
      </c>
      <c r="F24" s="32" t="str">
        <f t="shared" si="0"/>
        <v>insert into ins_premium_det (premium_rcv_code,assorted_code, rec_amount,premium_rcv_detail_code,remaining_amt, payrec, mode_code,coinsurance_code,class_cd,it_remarks) values</v>
      </c>
      <c r="G24" s="33" t="str">
        <f t="shared" si="2"/>
        <v>('23May250004','040000195085','8105',(select max(to_number(i.premium_rcv_detail_code))+1
from ins_premium_det i),'8105','8105','09', '11000003','00','Request by Mr. reheel malik 23-may-2025');</v>
      </c>
      <c r="H24" s="34" t="str">
        <f t="shared" si="3"/>
        <v>insert into ins_premium_det (premium_rcv_code,assorted_code, rec_amount,premium_rcv_detail_code,remaining_amt, payrec, mode_code,coinsurance_code,class_cd,it_remarks) values('23May250004','040000195085','8105',(select max(to_number(i.premium_rcv_detail_code))+1
from ins_premium_det i),'8105','8105','09', '11000003','00','Request by Mr. reheel malik 23-may-2025');</v>
      </c>
    </row>
    <row r="25" spans="1:8" ht="75" x14ac:dyDescent="0.25">
      <c r="A25" s="22" t="s">
        <v>87</v>
      </c>
      <c r="B25" s="30" t="str">
        <f>VLOOKUP(A25,policy!B:C,2,0)</f>
        <v>040000195088</v>
      </c>
      <c r="C25" s="22">
        <v>8105</v>
      </c>
      <c r="D25" s="31">
        <f t="shared" si="1"/>
        <v>8105</v>
      </c>
      <c r="E25" s="29" t="s">
        <v>1280</v>
      </c>
      <c r="F25" s="32" t="str">
        <f t="shared" si="0"/>
        <v>insert into ins_premium_det (premium_rcv_code,assorted_code, rec_amount,premium_rcv_detail_code,remaining_amt, payrec, mode_code,coinsurance_code,class_cd,it_remarks) values</v>
      </c>
      <c r="G25" s="33" t="str">
        <f t="shared" si="2"/>
        <v>('23May250004','040000195088','8105',(select max(to_number(i.premium_rcv_detail_code))+1
from ins_premium_det i),'8105','8105','09', '11000003','00','Request by Mr. reheel malik 23-may-2025');</v>
      </c>
      <c r="H25" s="34" t="str">
        <f t="shared" si="3"/>
        <v>insert into ins_premium_det (premium_rcv_code,assorted_code, rec_amount,premium_rcv_detail_code,remaining_amt, payrec, mode_code,coinsurance_code,class_cd,it_remarks) values('23May250004','040000195088','8105',(select max(to_number(i.premium_rcv_detail_code))+1
from ins_premium_det i),'8105','8105','09', '11000003','00','Request by Mr. reheel malik 23-may-2025');</v>
      </c>
    </row>
    <row r="26" spans="1:8" ht="75" x14ac:dyDescent="0.25">
      <c r="A26" s="22" t="s">
        <v>88</v>
      </c>
      <c r="B26" s="30" t="str">
        <f>VLOOKUP(A26,policy!B:C,2,0)</f>
        <v>040000195089</v>
      </c>
      <c r="C26" s="22">
        <v>8105</v>
      </c>
      <c r="D26" s="31">
        <f t="shared" si="1"/>
        <v>8105</v>
      </c>
      <c r="E26" s="29" t="s">
        <v>1280</v>
      </c>
      <c r="F26" s="32" t="str">
        <f t="shared" si="0"/>
        <v>insert into ins_premium_det (premium_rcv_code,assorted_code, rec_amount,premium_rcv_detail_code,remaining_amt, payrec, mode_code,coinsurance_code,class_cd,it_remarks) values</v>
      </c>
      <c r="G26" s="33" t="str">
        <f t="shared" si="2"/>
        <v>('23May250004','040000195089','8105',(select max(to_number(i.premium_rcv_detail_code))+1
from ins_premium_det i),'8105','8105','09', '11000003','00','Request by Mr. reheel malik 23-may-2025');</v>
      </c>
      <c r="H26" s="34" t="str">
        <f t="shared" si="3"/>
        <v>insert into ins_premium_det (premium_rcv_code,assorted_code, rec_amount,premium_rcv_detail_code,remaining_amt, payrec, mode_code,coinsurance_code,class_cd,it_remarks) values('23May250004','040000195089','8105',(select max(to_number(i.premium_rcv_detail_code))+1
from ins_premium_det i),'8105','8105','09', '11000003','00','Request by Mr. reheel malik 23-may-2025');</v>
      </c>
    </row>
    <row r="27" spans="1:8" ht="75" x14ac:dyDescent="0.25">
      <c r="A27" s="22" t="s">
        <v>89</v>
      </c>
      <c r="B27" s="30" t="str">
        <f>VLOOKUP(A27,policy!B:C,2,0)</f>
        <v>040000195091</v>
      </c>
      <c r="C27" s="22">
        <v>8105</v>
      </c>
      <c r="D27" s="31">
        <f t="shared" si="1"/>
        <v>8105</v>
      </c>
      <c r="E27" s="29" t="s">
        <v>1280</v>
      </c>
      <c r="F27" s="32" t="str">
        <f t="shared" si="0"/>
        <v>insert into ins_premium_det (premium_rcv_code,assorted_code, rec_amount,premium_rcv_detail_code,remaining_amt, payrec, mode_code,coinsurance_code,class_cd,it_remarks) values</v>
      </c>
      <c r="G27" s="33" t="str">
        <f t="shared" si="2"/>
        <v>('23May250004','040000195091','8105',(select max(to_number(i.premium_rcv_detail_code))+1
from ins_premium_det i),'8105','8105','09', '11000003','00','Request by Mr. reheel malik 23-may-2025');</v>
      </c>
      <c r="H27" s="34" t="str">
        <f t="shared" si="3"/>
        <v>insert into ins_premium_det (premium_rcv_code,assorted_code, rec_amount,premium_rcv_detail_code,remaining_amt, payrec, mode_code,coinsurance_code,class_cd,it_remarks) values('23May250004','040000195091','8105',(select max(to_number(i.premium_rcv_detail_code))+1
from ins_premium_det i),'8105','8105','09', '11000003','00','Request by Mr. reheel malik 23-may-2025');</v>
      </c>
    </row>
    <row r="28" spans="1:8" ht="75" x14ac:dyDescent="0.25">
      <c r="A28" s="22" t="s">
        <v>90</v>
      </c>
      <c r="B28" s="30" t="str">
        <f>VLOOKUP(A28,policy!B:C,2,0)</f>
        <v>040000195092</v>
      </c>
      <c r="C28" s="22">
        <v>8105</v>
      </c>
      <c r="D28" s="31">
        <f t="shared" si="1"/>
        <v>8105</v>
      </c>
      <c r="E28" s="29" t="s">
        <v>1280</v>
      </c>
      <c r="F28" s="32" t="str">
        <f t="shared" si="0"/>
        <v>insert into ins_premium_det (premium_rcv_code,assorted_code, rec_amount,premium_rcv_detail_code,remaining_amt, payrec, mode_code,coinsurance_code,class_cd,it_remarks) values</v>
      </c>
      <c r="G28" s="33" t="str">
        <f t="shared" si="2"/>
        <v>('23May250004','040000195092','8105',(select max(to_number(i.premium_rcv_detail_code))+1
from ins_premium_det i),'8105','8105','09', '11000003','00','Request by Mr. reheel malik 23-may-2025');</v>
      </c>
      <c r="H28" s="34" t="str">
        <f t="shared" si="3"/>
        <v>insert into ins_premium_det (premium_rcv_code,assorted_code, rec_amount,premium_rcv_detail_code,remaining_amt, payrec, mode_code,coinsurance_code,class_cd,it_remarks) values('23May250004','040000195092','8105',(select max(to_number(i.premium_rcv_detail_code))+1
from ins_premium_det i),'8105','8105','09', '11000003','00','Request by Mr. reheel malik 23-may-2025');</v>
      </c>
    </row>
    <row r="29" spans="1:8" ht="75" x14ac:dyDescent="0.25">
      <c r="A29" s="22" t="s">
        <v>91</v>
      </c>
      <c r="B29" s="30" t="str">
        <f>VLOOKUP(A29,policy!B:C,2,0)</f>
        <v>040000195280</v>
      </c>
      <c r="C29" s="22">
        <v>8105</v>
      </c>
      <c r="D29" s="31">
        <f t="shared" si="1"/>
        <v>8105</v>
      </c>
      <c r="E29" s="29" t="s">
        <v>1280</v>
      </c>
      <c r="F29" s="32" t="str">
        <f t="shared" si="0"/>
        <v>insert into ins_premium_det (premium_rcv_code,assorted_code, rec_amount,premium_rcv_detail_code,remaining_amt, payrec, mode_code,coinsurance_code,class_cd,it_remarks) values</v>
      </c>
      <c r="G29" s="33" t="str">
        <f t="shared" si="2"/>
        <v>('23May250004','040000195280','8105',(select max(to_number(i.premium_rcv_detail_code))+1
from ins_premium_det i),'8105','8105','09', '11000003','00','Request by Mr. reheel malik 23-may-2025');</v>
      </c>
      <c r="H29" s="34" t="str">
        <f t="shared" si="3"/>
        <v>insert into ins_premium_det (premium_rcv_code,assorted_code, rec_amount,premium_rcv_detail_code,remaining_amt, payrec, mode_code,coinsurance_code,class_cd,it_remarks) values('23May250004','040000195280','8105',(select max(to_number(i.premium_rcv_detail_code))+1
from ins_premium_det i),'8105','8105','09', '11000003','00','Request by Mr. reheel malik 23-may-2025');</v>
      </c>
    </row>
    <row r="30" spans="1:8" ht="75" x14ac:dyDescent="0.25">
      <c r="A30" s="22" t="s">
        <v>92</v>
      </c>
      <c r="B30" s="30" t="str">
        <f>VLOOKUP(A30,policy!B:C,2,0)</f>
        <v>040000195345</v>
      </c>
      <c r="C30" s="22">
        <v>8105</v>
      </c>
      <c r="D30" s="31">
        <f t="shared" si="1"/>
        <v>8105</v>
      </c>
      <c r="E30" s="29" t="s">
        <v>1280</v>
      </c>
      <c r="F30" s="32" t="str">
        <f t="shared" si="0"/>
        <v>insert into ins_premium_det (premium_rcv_code,assorted_code, rec_amount,premium_rcv_detail_code,remaining_amt, payrec, mode_code,coinsurance_code,class_cd,it_remarks) values</v>
      </c>
      <c r="G30" s="33" t="str">
        <f t="shared" si="2"/>
        <v>('23May250004','040000195345','8105',(select max(to_number(i.premium_rcv_detail_code))+1
from ins_premium_det i),'8105','8105','09', '11000003','00','Request by Mr. reheel malik 23-may-2025');</v>
      </c>
      <c r="H30" s="34" t="str">
        <f t="shared" si="3"/>
        <v>insert into ins_premium_det (premium_rcv_code,assorted_code, rec_amount,premium_rcv_detail_code,remaining_amt, payrec, mode_code,coinsurance_code,class_cd,it_remarks) values('23May250004','040000195345','8105',(select max(to_number(i.premium_rcv_detail_code))+1
from ins_premium_det i),'8105','8105','09', '11000003','00','Request by Mr. reheel malik 23-may-2025');</v>
      </c>
    </row>
    <row r="31" spans="1:8" ht="75" x14ac:dyDescent="0.25">
      <c r="A31" s="22" t="s">
        <v>93</v>
      </c>
      <c r="B31" s="30" t="str">
        <f>VLOOKUP(A31,policy!B:C,2,0)</f>
        <v>040000195412</v>
      </c>
      <c r="C31" s="22">
        <v>8105</v>
      </c>
      <c r="D31" s="31">
        <f t="shared" si="1"/>
        <v>8105</v>
      </c>
      <c r="E31" s="29" t="s">
        <v>1280</v>
      </c>
      <c r="F31" s="32" t="str">
        <f t="shared" si="0"/>
        <v>insert into ins_premium_det (premium_rcv_code,assorted_code, rec_amount,premium_rcv_detail_code,remaining_amt, payrec, mode_code,coinsurance_code,class_cd,it_remarks) values</v>
      </c>
      <c r="G31" s="33" t="str">
        <f t="shared" si="2"/>
        <v>('23May250004','040000195412','8105',(select max(to_number(i.premium_rcv_detail_code))+1
from ins_premium_det i),'8105','8105','09', '11000003','00','Request by Mr. reheel malik 23-may-2025');</v>
      </c>
      <c r="H31" s="34" t="str">
        <f t="shared" si="3"/>
        <v>insert into ins_premium_det (premium_rcv_code,assorted_code, rec_amount,premium_rcv_detail_code,remaining_amt, payrec, mode_code,coinsurance_code,class_cd,it_remarks) values('23May250004','040000195412','8105',(select max(to_number(i.premium_rcv_detail_code))+1
from ins_premium_det i),'8105','8105','09', '11000003','00','Request by Mr. reheel malik 23-may-2025');</v>
      </c>
    </row>
    <row r="32" spans="1:8" ht="75" x14ac:dyDescent="0.25">
      <c r="A32" s="22" t="s">
        <v>94</v>
      </c>
      <c r="B32" s="30" t="str">
        <f>VLOOKUP(A32,policy!B:C,2,0)</f>
        <v>050000845514</v>
      </c>
      <c r="C32" s="22">
        <v>8105</v>
      </c>
      <c r="D32" s="31">
        <f t="shared" si="1"/>
        <v>8105</v>
      </c>
      <c r="E32" s="29" t="s">
        <v>1280</v>
      </c>
      <c r="F32" s="32" t="str">
        <f t="shared" si="0"/>
        <v>insert into ins_premium_det (premium_rcv_code,assorted_code, rec_amount,premium_rcv_detail_code,remaining_amt, payrec, mode_code,coinsurance_code,class_cd,it_remarks) values</v>
      </c>
      <c r="G32" s="33" t="str">
        <f t="shared" si="2"/>
        <v>('23May250004','050000845514','8105',(select max(to_number(i.premium_rcv_detail_code))+1
from ins_premium_det i),'8105','8105','09', '11000003','00','Request by Mr. reheel malik 23-may-2025');</v>
      </c>
      <c r="H32" s="34" t="str">
        <f t="shared" si="3"/>
        <v>insert into ins_premium_det (premium_rcv_code,assorted_code, rec_amount,premium_rcv_detail_code,remaining_amt, payrec, mode_code,coinsurance_code,class_cd,it_remarks) values('23May250004','050000845514','8105',(select max(to_number(i.premium_rcv_detail_code))+1
from ins_premium_det i),'8105','8105','09', '11000003','00','Request by Mr. reheel malik 23-may-2025');</v>
      </c>
    </row>
    <row r="33" spans="1:8" ht="75" x14ac:dyDescent="0.25">
      <c r="A33" s="22" t="s">
        <v>95</v>
      </c>
      <c r="B33" s="30" t="str">
        <f>VLOOKUP(A33,policy!B:C,2,0)</f>
        <v>050000853890</v>
      </c>
      <c r="C33" s="22">
        <v>8105</v>
      </c>
      <c r="D33" s="31">
        <f t="shared" si="1"/>
        <v>8105</v>
      </c>
      <c r="E33" s="29" t="s">
        <v>1280</v>
      </c>
      <c r="F33" s="32" t="str">
        <f t="shared" si="0"/>
        <v>insert into ins_premium_det (premium_rcv_code,assorted_code, rec_amount,premium_rcv_detail_code,remaining_amt, payrec, mode_code,coinsurance_code,class_cd,it_remarks) values</v>
      </c>
      <c r="G33" s="33" t="str">
        <f t="shared" si="2"/>
        <v>('23May250004','050000853890','8105',(select max(to_number(i.premium_rcv_detail_code))+1
from ins_premium_det i),'8105','8105','09', '11000003','00','Request by Mr. reheel malik 23-may-2025');</v>
      </c>
      <c r="H33" s="34" t="str">
        <f t="shared" si="3"/>
        <v>insert into ins_premium_det (premium_rcv_code,assorted_code, rec_amount,premium_rcv_detail_code,remaining_amt, payrec, mode_code,coinsurance_code,class_cd,it_remarks) values('23May250004','050000853890','8105',(select max(to_number(i.premium_rcv_detail_code))+1
from ins_premium_det i),'8105','8105','09', '11000003','00','Request by Mr. reheel malik 23-may-2025');</v>
      </c>
    </row>
    <row r="34" spans="1:8" ht="75" x14ac:dyDescent="0.25">
      <c r="A34" s="22" t="s">
        <v>98</v>
      </c>
      <c r="B34" s="30" t="str">
        <f>VLOOKUP(A34,policy!B:C,2,0)</f>
        <v>040000193770</v>
      </c>
      <c r="C34" s="22">
        <v>8105</v>
      </c>
      <c r="D34" s="31">
        <f t="shared" si="1"/>
        <v>8105</v>
      </c>
      <c r="E34" s="29" t="s">
        <v>1280</v>
      </c>
      <c r="F34" s="32" t="str">
        <f t="shared" si="0"/>
        <v>insert into ins_premium_det (premium_rcv_code,assorted_code, rec_amount,premium_rcv_detail_code,remaining_amt, payrec, mode_code,coinsurance_code,class_cd,it_remarks) values</v>
      </c>
      <c r="G34" s="33" t="str">
        <f t="shared" si="2"/>
        <v>('23May250004','040000193770','8105',(select max(to_number(i.premium_rcv_detail_code))+1
from ins_premium_det i),'8105','8105','09', '11000003','00','Request by Mr. reheel malik 23-may-2025');</v>
      </c>
      <c r="H34" s="34" t="str">
        <f t="shared" si="3"/>
        <v>insert into ins_premium_det (premium_rcv_code,assorted_code, rec_amount,premium_rcv_detail_code,remaining_amt, payrec, mode_code,coinsurance_code,class_cd,it_remarks) values('23May250004','040000193770','8105',(select max(to_number(i.premium_rcv_detail_code))+1
from ins_premium_det i),'8105','8105','09', '11000003','00','Request by Mr. reheel malik 23-may-2025');</v>
      </c>
    </row>
    <row r="35" spans="1:8" ht="75" x14ac:dyDescent="0.25">
      <c r="A35" s="22" t="s">
        <v>99</v>
      </c>
      <c r="B35" s="30" t="str">
        <f>VLOOKUP(A35,policy!B:C,2,0)</f>
        <v>050000854472</v>
      </c>
      <c r="C35" s="22">
        <v>8105</v>
      </c>
      <c r="D35" s="31">
        <f t="shared" si="1"/>
        <v>8105</v>
      </c>
      <c r="E35" s="29" t="s">
        <v>1280</v>
      </c>
      <c r="F35" s="32" t="str">
        <f t="shared" si="0"/>
        <v>insert into ins_premium_det (premium_rcv_code,assorted_code, rec_amount,premium_rcv_detail_code,remaining_amt, payrec, mode_code,coinsurance_code,class_cd,it_remarks) values</v>
      </c>
      <c r="G35" s="33" t="str">
        <f t="shared" si="2"/>
        <v>('23May250004','050000854472','8105',(select max(to_number(i.premium_rcv_detail_code))+1
from ins_premium_det i),'8105','8105','09', '11000003','00','Request by Mr. reheel malik 23-may-2025');</v>
      </c>
      <c r="H35" s="34" t="str">
        <f t="shared" si="3"/>
        <v>insert into ins_premium_det (premium_rcv_code,assorted_code, rec_amount,premium_rcv_detail_code,remaining_amt, payrec, mode_code,coinsurance_code,class_cd,it_remarks) values('23May250004','050000854472','8105',(select max(to_number(i.premium_rcv_detail_code))+1
from ins_premium_det i),'8105','8105','09', '11000003','00','Request by Mr. reheel malik 23-may-2025');</v>
      </c>
    </row>
    <row r="36" spans="1:8" ht="75" x14ac:dyDescent="0.25">
      <c r="A36" s="22" t="s">
        <v>100</v>
      </c>
      <c r="B36" t="s">
        <v>1321</v>
      </c>
      <c r="C36" s="22">
        <v>7540</v>
      </c>
      <c r="D36" s="31">
        <f t="shared" si="1"/>
        <v>7540</v>
      </c>
      <c r="E36" s="29" t="s">
        <v>1280</v>
      </c>
      <c r="F36" s="32" t="str">
        <f t="shared" si="0"/>
        <v>insert into ins_premium_det (premium_rcv_code,assorted_code, rec_amount,premium_rcv_detail_code,remaining_amt, payrec, mode_code,coinsurance_code,class_cd,it_remarks) values</v>
      </c>
      <c r="G36" s="33" t="str">
        <f t="shared" si="2"/>
        <v>('23May250004','070000174019','7540',(select max(to_number(i.premium_rcv_detail_code))+1
from ins_premium_det i),'7540','7540','09', '11000003','00','Request by Mr. reheel malik 23-may-2025');</v>
      </c>
      <c r="H36" s="34" t="str">
        <f t="shared" si="3"/>
        <v>insert into ins_premium_det (premium_rcv_code,assorted_code, rec_amount,premium_rcv_detail_code,remaining_amt, payrec, mode_code,coinsurance_code,class_cd,it_remarks) values('23May250004','070000174019','7540',(select max(to_number(i.premium_rcv_detail_code))+1
from ins_premium_det i),'7540','7540','09', '11000003','00','Request by Mr. reheel malik 23-may-2025');</v>
      </c>
    </row>
    <row r="37" spans="1:8" ht="75" x14ac:dyDescent="0.25">
      <c r="A37" s="22" t="s">
        <v>101</v>
      </c>
      <c r="B37" s="30" t="str">
        <f>VLOOKUP(A37,policy!B:C,2,0)</f>
        <v>040000167354</v>
      </c>
      <c r="C37" s="22">
        <v>8105</v>
      </c>
      <c r="D37" s="31">
        <f t="shared" si="1"/>
        <v>8105</v>
      </c>
      <c r="E37" s="29" t="s">
        <v>1280</v>
      </c>
      <c r="F37" s="32" t="str">
        <f t="shared" si="0"/>
        <v>insert into ins_premium_det (premium_rcv_code,assorted_code, rec_amount,premium_rcv_detail_code,remaining_amt, payrec, mode_code,coinsurance_code,class_cd,it_remarks) values</v>
      </c>
      <c r="G37" s="33" t="str">
        <f t="shared" si="2"/>
        <v>('23May250004','040000167354','8105',(select max(to_number(i.premium_rcv_detail_code))+1
from ins_premium_det i),'8105','8105','09', '11000003','00','Request by Mr. reheel malik 23-may-2025');</v>
      </c>
      <c r="H37" s="34" t="str">
        <f t="shared" si="3"/>
        <v>insert into ins_premium_det (premium_rcv_code,assorted_code, rec_amount,premium_rcv_detail_code,remaining_amt, payrec, mode_code,coinsurance_code,class_cd,it_remarks) values('23May250004','040000167354','8105',(select max(to_number(i.premium_rcv_detail_code))+1
from ins_premium_det i),'8105','8105','09', '11000003','00','Request by Mr. reheel malik 23-may-2025');</v>
      </c>
    </row>
    <row r="38" spans="1:8" ht="75" x14ac:dyDescent="0.25">
      <c r="A38" s="22" t="s">
        <v>102</v>
      </c>
      <c r="B38" s="30" t="str">
        <f>VLOOKUP(A38,policy!B:C,2,0)</f>
        <v>040000170045</v>
      </c>
      <c r="C38" s="22">
        <v>8105</v>
      </c>
      <c r="D38" s="31">
        <f t="shared" si="1"/>
        <v>8105</v>
      </c>
      <c r="E38" s="29" t="s">
        <v>1280</v>
      </c>
      <c r="F38" s="32" t="str">
        <f t="shared" si="0"/>
        <v>insert into ins_premium_det (premium_rcv_code,assorted_code, rec_amount,premium_rcv_detail_code,remaining_amt, payrec, mode_code,coinsurance_code,class_cd,it_remarks) values</v>
      </c>
      <c r="G38" s="33" t="str">
        <f t="shared" si="2"/>
        <v>('23May250004','040000170045','8105',(select max(to_number(i.premium_rcv_detail_code))+1
from ins_premium_det i),'8105','8105','09', '11000003','00','Request by Mr. reheel malik 23-may-2025');</v>
      </c>
      <c r="H38" s="34" t="str">
        <f t="shared" si="3"/>
        <v>insert into ins_premium_det (premium_rcv_code,assorted_code, rec_amount,premium_rcv_detail_code,remaining_amt, payrec, mode_code,coinsurance_code,class_cd,it_remarks) values('23May250004','040000170045','8105',(select max(to_number(i.premium_rcv_detail_code))+1
from ins_premium_det i),'8105','8105','09', '11000003','00','Request by Mr. reheel malik 23-may-2025');</v>
      </c>
    </row>
    <row r="39" spans="1:8" ht="75" x14ac:dyDescent="0.25">
      <c r="A39" s="22" t="s">
        <v>103</v>
      </c>
      <c r="B39" s="30" t="str">
        <f>VLOOKUP(A39,policy!B:C,2,0)</f>
        <v>040000170051</v>
      </c>
      <c r="C39" s="22">
        <v>8105</v>
      </c>
      <c r="D39" s="31">
        <f t="shared" si="1"/>
        <v>8105</v>
      </c>
      <c r="E39" s="29" t="s">
        <v>1280</v>
      </c>
      <c r="F39" s="32" t="str">
        <f t="shared" si="0"/>
        <v>insert into ins_premium_det (premium_rcv_code,assorted_code, rec_amount,premium_rcv_detail_code,remaining_amt, payrec, mode_code,coinsurance_code,class_cd,it_remarks) values</v>
      </c>
      <c r="G39" s="33" t="str">
        <f t="shared" si="2"/>
        <v>('23May250004','040000170051','8105',(select max(to_number(i.premium_rcv_detail_code))+1
from ins_premium_det i),'8105','8105','09', '11000003','00','Request by Mr. reheel malik 23-may-2025');</v>
      </c>
      <c r="H39" s="34" t="str">
        <f t="shared" si="3"/>
        <v>insert into ins_premium_det (premium_rcv_code,assorted_code, rec_amount,premium_rcv_detail_code,remaining_amt, payrec, mode_code,coinsurance_code,class_cd,it_remarks) values('23May250004','040000170051','8105',(select max(to_number(i.premium_rcv_detail_code))+1
from ins_premium_det i),'8105','8105','09', '11000003','00','Request by Mr. reheel malik 23-may-2025');</v>
      </c>
    </row>
    <row r="40" spans="1:8" ht="75" x14ac:dyDescent="0.25">
      <c r="A40" s="22" t="s">
        <v>104</v>
      </c>
      <c r="B40" s="30" t="str">
        <f>VLOOKUP(A40,policy!B:C,2,0)</f>
        <v>040000170158</v>
      </c>
      <c r="C40" s="22">
        <v>8105</v>
      </c>
      <c r="D40" s="31">
        <f t="shared" si="1"/>
        <v>8105</v>
      </c>
      <c r="E40" s="29" t="s">
        <v>1280</v>
      </c>
      <c r="F40" s="32" t="str">
        <f t="shared" si="0"/>
        <v>insert into ins_premium_det (premium_rcv_code,assorted_code, rec_amount,premium_rcv_detail_code,remaining_amt, payrec, mode_code,coinsurance_code,class_cd,it_remarks) values</v>
      </c>
      <c r="G40" s="33" t="str">
        <f t="shared" si="2"/>
        <v>('23May250004','040000170158','8105',(select max(to_number(i.premium_rcv_detail_code))+1
from ins_premium_det i),'8105','8105','09', '11000003','00','Request by Mr. reheel malik 23-may-2025');</v>
      </c>
      <c r="H40" s="34" t="str">
        <f t="shared" si="3"/>
        <v>insert into ins_premium_det (premium_rcv_code,assorted_code, rec_amount,premium_rcv_detail_code,remaining_amt, payrec, mode_code,coinsurance_code,class_cd,it_remarks) values('23May250004','040000170158','8105',(select max(to_number(i.premium_rcv_detail_code))+1
from ins_premium_det i),'8105','8105','09', '11000003','00','Request by Mr. reheel malik 23-may-2025');</v>
      </c>
    </row>
    <row r="41" spans="1:8" ht="75" x14ac:dyDescent="0.25">
      <c r="A41" s="22" t="s">
        <v>105</v>
      </c>
      <c r="B41" s="30" t="str">
        <f>VLOOKUP(A41,policy!B:C,2,0)</f>
        <v>040000175713</v>
      </c>
      <c r="C41" s="22">
        <v>8105</v>
      </c>
      <c r="D41" s="31">
        <f t="shared" si="1"/>
        <v>8105</v>
      </c>
      <c r="E41" s="29" t="s">
        <v>1280</v>
      </c>
      <c r="F41" s="32" t="str">
        <f t="shared" si="0"/>
        <v>insert into ins_premium_det (premium_rcv_code,assorted_code, rec_amount,premium_rcv_detail_code,remaining_amt, payrec, mode_code,coinsurance_code,class_cd,it_remarks) values</v>
      </c>
      <c r="G41" s="33" t="str">
        <f t="shared" si="2"/>
        <v>('23May250004','040000175713','8105',(select max(to_number(i.premium_rcv_detail_code))+1
from ins_premium_det i),'8105','8105','09', '11000003','00','Request by Mr. reheel malik 23-may-2025');</v>
      </c>
      <c r="H41" s="34" t="str">
        <f t="shared" si="3"/>
        <v>insert into ins_premium_det (premium_rcv_code,assorted_code, rec_amount,premium_rcv_detail_code,remaining_amt, payrec, mode_code,coinsurance_code,class_cd,it_remarks) values('23May250004','040000175713','8105',(select max(to_number(i.premium_rcv_detail_code))+1
from ins_premium_det i),'8105','8105','09', '11000003','00','Request by Mr. reheel malik 23-may-2025');</v>
      </c>
    </row>
    <row r="42" spans="1:8" ht="75" x14ac:dyDescent="0.25">
      <c r="A42" s="22" t="s">
        <v>106</v>
      </c>
      <c r="B42" s="30" t="str">
        <f>VLOOKUP(A42,policy!B:C,2,0)</f>
        <v>040000187846</v>
      </c>
      <c r="C42" s="22">
        <v>8105</v>
      </c>
      <c r="D42" s="31">
        <f t="shared" si="1"/>
        <v>8105</v>
      </c>
      <c r="E42" s="29" t="s">
        <v>1280</v>
      </c>
      <c r="F42" s="32" t="str">
        <f t="shared" si="0"/>
        <v>insert into ins_premium_det (premium_rcv_code,assorted_code, rec_amount,premium_rcv_detail_code,remaining_amt, payrec, mode_code,coinsurance_code,class_cd,it_remarks) values</v>
      </c>
      <c r="G42" s="33" t="str">
        <f t="shared" si="2"/>
        <v>('23May250004','040000187846','8105',(select max(to_number(i.premium_rcv_detail_code))+1
from ins_premium_det i),'8105','8105','09', '11000003','00','Request by Mr. reheel malik 23-may-2025');</v>
      </c>
      <c r="H42" s="34" t="str">
        <f t="shared" si="3"/>
        <v>insert into ins_premium_det (premium_rcv_code,assorted_code, rec_amount,premium_rcv_detail_code,remaining_amt, payrec, mode_code,coinsurance_code,class_cd,it_remarks) values('23May250004','040000187846','8105',(select max(to_number(i.premium_rcv_detail_code))+1
from ins_premium_det i),'8105','8105','09', '11000003','00','Request by Mr. reheel malik 23-may-2025');</v>
      </c>
    </row>
    <row r="43" spans="1:8" ht="75" x14ac:dyDescent="0.25">
      <c r="A43" s="22" t="s">
        <v>107</v>
      </c>
      <c r="B43" s="30" t="str">
        <f>VLOOKUP(A43,policy!B:C,2,0)</f>
        <v>040000191122</v>
      </c>
      <c r="C43" s="22">
        <v>8105</v>
      </c>
      <c r="D43" s="31">
        <f t="shared" si="1"/>
        <v>8105</v>
      </c>
      <c r="E43" s="29" t="s">
        <v>1280</v>
      </c>
      <c r="F43" s="32" t="str">
        <f t="shared" si="0"/>
        <v>insert into ins_premium_det (premium_rcv_code,assorted_code, rec_amount,premium_rcv_detail_code,remaining_amt, payrec, mode_code,coinsurance_code,class_cd,it_remarks) values</v>
      </c>
      <c r="G43" s="33" t="str">
        <f t="shared" si="2"/>
        <v>('23May250004','040000191122','8105',(select max(to_number(i.premium_rcv_detail_code))+1
from ins_premium_det i),'8105','8105','09', '11000003','00','Request by Mr. reheel malik 23-may-2025');</v>
      </c>
      <c r="H43" s="34" t="str">
        <f t="shared" si="3"/>
        <v>insert into ins_premium_det (premium_rcv_code,assorted_code, rec_amount,premium_rcv_detail_code,remaining_amt, payrec, mode_code,coinsurance_code,class_cd,it_remarks) values('23May250004','040000191122','8105',(select max(to_number(i.premium_rcv_detail_code))+1
from ins_premium_det i),'8105','8105','09', '11000003','00','Request by Mr. reheel malik 23-may-2025');</v>
      </c>
    </row>
    <row r="44" spans="1:8" ht="75" x14ac:dyDescent="0.25">
      <c r="A44" s="22" t="s">
        <v>108</v>
      </c>
      <c r="B44" s="30" t="str">
        <f>VLOOKUP(A44,policy!B:C,2,0)</f>
        <v>040000159957</v>
      </c>
      <c r="C44" s="22">
        <v>8105</v>
      </c>
      <c r="D44" s="31">
        <f t="shared" si="1"/>
        <v>8105</v>
      </c>
      <c r="E44" s="29" t="s">
        <v>1280</v>
      </c>
      <c r="F44" s="32" t="str">
        <f t="shared" si="0"/>
        <v>insert into ins_premium_det (premium_rcv_code,assorted_code, rec_amount,premium_rcv_detail_code,remaining_amt, payrec, mode_code,coinsurance_code,class_cd,it_remarks) values</v>
      </c>
      <c r="G44" s="33" t="str">
        <f t="shared" si="2"/>
        <v>('23May250004','040000159957','8105',(select max(to_number(i.premium_rcv_detail_code))+1
from ins_premium_det i),'8105','8105','09', '11000003','00','Request by Mr. reheel malik 23-may-2025');</v>
      </c>
      <c r="H44" s="34" t="str">
        <f t="shared" si="3"/>
        <v>insert into ins_premium_det (premium_rcv_code,assorted_code, rec_amount,premium_rcv_detail_code,remaining_amt, payrec, mode_code,coinsurance_code,class_cd,it_remarks) values('23May250004','040000159957','8105',(select max(to_number(i.premium_rcv_detail_code))+1
from ins_premium_det i),'8105','8105','09', '11000003','00','Request by Mr. reheel malik 23-may-2025');</v>
      </c>
    </row>
    <row r="45" spans="1:8" ht="75" x14ac:dyDescent="0.25">
      <c r="A45" s="22" t="s">
        <v>109</v>
      </c>
      <c r="B45" s="30" t="str">
        <f>VLOOKUP(A45,policy!B:C,2,0)</f>
        <v>040000171542</v>
      </c>
      <c r="C45" s="22">
        <v>8105</v>
      </c>
      <c r="D45" s="31">
        <f t="shared" si="1"/>
        <v>8105</v>
      </c>
      <c r="E45" s="29" t="s">
        <v>1280</v>
      </c>
      <c r="F45" s="32" t="str">
        <f t="shared" si="0"/>
        <v>insert into ins_premium_det (premium_rcv_code,assorted_code, rec_amount,premium_rcv_detail_code,remaining_amt, payrec, mode_code,coinsurance_code,class_cd,it_remarks) values</v>
      </c>
      <c r="G45" s="33" t="str">
        <f t="shared" si="2"/>
        <v>('23May250004','040000171542','8105',(select max(to_number(i.premium_rcv_detail_code))+1
from ins_premium_det i),'8105','8105','09', '11000003','00','Request by Mr. reheel malik 23-may-2025');</v>
      </c>
      <c r="H45" s="34" t="str">
        <f t="shared" si="3"/>
        <v>insert into ins_premium_det (premium_rcv_code,assorted_code, rec_amount,premium_rcv_detail_code,remaining_amt, payrec, mode_code,coinsurance_code,class_cd,it_remarks) values('23May250004','040000171542','8105',(select max(to_number(i.premium_rcv_detail_code))+1
from ins_premium_det i),'8105','8105','09', '11000003','00','Request by Mr. reheel malik 23-may-2025');</v>
      </c>
    </row>
    <row r="46" spans="1:8" ht="75" x14ac:dyDescent="0.25">
      <c r="A46" s="22" t="s">
        <v>110</v>
      </c>
      <c r="B46" s="30" t="str">
        <f>VLOOKUP(A46,policy!B:C,2,0)</f>
        <v>040000171786</v>
      </c>
      <c r="C46" s="22">
        <v>8105</v>
      </c>
      <c r="D46" s="31">
        <f t="shared" si="1"/>
        <v>8105</v>
      </c>
      <c r="E46" s="29" t="s">
        <v>1280</v>
      </c>
      <c r="F46" s="32" t="str">
        <f t="shared" si="0"/>
        <v>insert into ins_premium_det (premium_rcv_code,assorted_code, rec_amount,premium_rcv_detail_code,remaining_amt, payrec, mode_code,coinsurance_code,class_cd,it_remarks) values</v>
      </c>
      <c r="G46" s="33" t="str">
        <f t="shared" si="2"/>
        <v>('23May250004','040000171786','8105',(select max(to_number(i.premium_rcv_detail_code))+1
from ins_premium_det i),'8105','8105','09', '11000003','00','Request by Mr. reheel malik 23-may-2025');</v>
      </c>
      <c r="H46" s="34" t="str">
        <f t="shared" si="3"/>
        <v>insert into ins_premium_det (premium_rcv_code,assorted_code, rec_amount,premium_rcv_detail_code,remaining_amt, payrec, mode_code,coinsurance_code,class_cd,it_remarks) values('23May250004','040000171786','8105',(select max(to_number(i.premium_rcv_detail_code))+1
from ins_premium_det i),'8105','8105','09', '11000003','00','Request by Mr. reheel malik 23-may-2025');</v>
      </c>
    </row>
    <row r="47" spans="1:8" ht="75" x14ac:dyDescent="0.25">
      <c r="A47" s="22" t="s">
        <v>111</v>
      </c>
      <c r="B47" s="30" t="str">
        <f>VLOOKUP(A47,policy!B:C,2,0)</f>
        <v>040000172000</v>
      </c>
      <c r="C47" s="22">
        <v>8105</v>
      </c>
      <c r="D47" s="31">
        <f t="shared" si="1"/>
        <v>8105</v>
      </c>
      <c r="E47" s="29" t="s">
        <v>1280</v>
      </c>
      <c r="F47" s="32" t="str">
        <f t="shared" si="0"/>
        <v>insert into ins_premium_det (premium_rcv_code,assorted_code, rec_amount,premium_rcv_detail_code,remaining_amt, payrec, mode_code,coinsurance_code,class_cd,it_remarks) values</v>
      </c>
      <c r="G47" s="33" t="str">
        <f t="shared" si="2"/>
        <v>('23May250004','040000172000','8105',(select max(to_number(i.premium_rcv_detail_code))+1
from ins_premium_det i),'8105','8105','09', '11000003','00','Request by Mr. reheel malik 23-may-2025');</v>
      </c>
      <c r="H47" s="34" t="str">
        <f t="shared" si="3"/>
        <v>insert into ins_premium_det (premium_rcv_code,assorted_code, rec_amount,premium_rcv_detail_code,remaining_amt, payrec, mode_code,coinsurance_code,class_cd,it_remarks) values('23May250004','040000172000','8105',(select max(to_number(i.premium_rcv_detail_code))+1
from ins_premium_det i),'8105','8105','09', '11000003','00','Request by Mr. reheel malik 23-may-2025');</v>
      </c>
    </row>
    <row r="48" spans="1:8" ht="75" x14ac:dyDescent="0.25">
      <c r="A48" s="22" t="s">
        <v>112</v>
      </c>
      <c r="B48" s="30" t="str">
        <f>VLOOKUP(A48,policy!B:C,2,0)</f>
        <v>040000172240</v>
      </c>
      <c r="C48" s="22">
        <v>8105</v>
      </c>
      <c r="D48" s="31">
        <f t="shared" si="1"/>
        <v>8105</v>
      </c>
      <c r="E48" s="29" t="s">
        <v>1280</v>
      </c>
      <c r="F48" s="32" t="str">
        <f t="shared" si="0"/>
        <v>insert into ins_premium_det (premium_rcv_code,assorted_code, rec_amount,premium_rcv_detail_code,remaining_amt, payrec, mode_code,coinsurance_code,class_cd,it_remarks) values</v>
      </c>
      <c r="G48" s="33" t="str">
        <f t="shared" si="2"/>
        <v>('23May250004','040000172240','8105',(select max(to_number(i.premium_rcv_detail_code))+1
from ins_premium_det i),'8105','8105','09', '11000003','00','Request by Mr. reheel malik 23-may-2025');</v>
      </c>
      <c r="H48" s="34" t="str">
        <f t="shared" si="3"/>
        <v>insert into ins_premium_det (premium_rcv_code,assorted_code, rec_amount,premium_rcv_detail_code,remaining_amt, payrec, mode_code,coinsurance_code,class_cd,it_remarks) values('23May250004','040000172240','8105',(select max(to_number(i.premium_rcv_detail_code))+1
from ins_premium_det i),'8105','8105','09', '11000003','00','Request by Mr. reheel malik 23-may-2025');</v>
      </c>
    </row>
    <row r="49" spans="1:8" ht="75" x14ac:dyDescent="0.25">
      <c r="A49" s="22" t="s">
        <v>113</v>
      </c>
      <c r="B49" s="30" t="str">
        <f>VLOOKUP(A49,policy!B:C,2,0)</f>
        <v>040000172254</v>
      </c>
      <c r="C49" s="22">
        <v>8105</v>
      </c>
      <c r="D49" s="31">
        <f t="shared" si="1"/>
        <v>8105</v>
      </c>
      <c r="E49" s="29" t="s">
        <v>1280</v>
      </c>
      <c r="F49" s="32" t="str">
        <f t="shared" si="0"/>
        <v>insert into ins_premium_det (premium_rcv_code,assorted_code, rec_amount,premium_rcv_detail_code,remaining_amt, payrec, mode_code,coinsurance_code,class_cd,it_remarks) values</v>
      </c>
      <c r="G49" s="33" t="str">
        <f t="shared" si="2"/>
        <v>('23May250004','040000172254','8105',(select max(to_number(i.premium_rcv_detail_code))+1
from ins_premium_det i),'8105','8105','09', '11000003','00','Request by Mr. reheel malik 23-may-2025');</v>
      </c>
      <c r="H49" s="34" t="str">
        <f t="shared" si="3"/>
        <v>insert into ins_premium_det (premium_rcv_code,assorted_code, rec_amount,premium_rcv_detail_code,remaining_amt, payrec, mode_code,coinsurance_code,class_cd,it_remarks) values('23May250004','040000172254','8105',(select max(to_number(i.premium_rcv_detail_code))+1
from ins_premium_det i),'8105','8105','09', '11000003','00','Request by Mr. reheel malik 23-may-2025');</v>
      </c>
    </row>
    <row r="50" spans="1:8" ht="75" x14ac:dyDescent="0.25">
      <c r="A50" s="22" t="s">
        <v>114</v>
      </c>
      <c r="B50" s="30" t="str">
        <f>VLOOKUP(A50,policy!B:C,2,0)</f>
        <v>040000172295</v>
      </c>
      <c r="C50" s="22">
        <v>8105</v>
      </c>
      <c r="D50" s="31">
        <f t="shared" si="1"/>
        <v>8105</v>
      </c>
      <c r="E50" s="29" t="s">
        <v>1280</v>
      </c>
      <c r="F50" s="32" t="str">
        <f t="shared" si="0"/>
        <v>insert into ins_premium_det (premium_rcv_code,assorted_code, rec_amount,premium_rcv_detail_code,remaining_amt, payrec, mode_code,coinsurance_code,class_cd,it_remarks) values</v>
      </c>
      <c r="G50" s="33" t="str">
        <f t="shared" si="2"/>
        <v>('23May250004','040000172295','8105',(select max(to_number(i.premium_rcv_detail_code))+1
from ins_premium_det i),'8105','8105','09', '11000003','00','Request by Mr. reheel malik 23-may-2025');</v>
      </c>
      <c r="H50" s="34" t="str">
        <f t="shared" si="3"/>
        <v>insert into ins_premium_det (premium_rcv_code,assorted_code, rec_amount,premium_rcv_detail_code,remaining_amt, payrec, mode_code,coinsurance_code,class_cd,it_remarks) values('23May250004','040000172295','8105',(select max(to_number(i.premium_rcv_detail_code))+1
from ins_premium_det i),'8105','8105','09', '11000003','00','Request by Mr. reheel malik 23-may-2025');</v>
      </c>
    </row>
    <row r="51" spans="1:8" ht="75" x14ac:dyDescent="0.25">
      <c r="A51" s="22" t="s">
        <v>115</v>
      </c>
      <c r="B51" s="30" t="str">
        <f>VLOOKUP(A51,policy!B:C,2,0)</f>
        <v>040000172397</v>
      </c>
      <c r="C51" s="22">
        <v>8105</v>
      </c>
      <c r="D51" s="31">
        <f t="shared" si="1"/>
        <v>8105</v>
      </c>
      <c r="E51" s="29" t="s">
        <v>1280</v>
      </c>
      <c r="F51" s="32" t="str">
        <f t="shared" si="0"/>
        <v>insert into ins_premium_det (premium_rcv_code,assorted_code, rec_amount,premium_rcv_detail_code,remaining_amt, payrec, mode_code,coinsurance_code,class_cd,it_remarks) values</v>
      </c>
      <c r="G51" s="33" t="str">
        <f t="shared" si="2"/>
        <v>('23May250004','040000172397','8105',(select max(to_number(i.premium_rcv_detail_code))+1
from ins_premium_det i),'8105','8105','09', '11000003','00','Request by Mr. reheel malik 23-may-2025');</v>
      </c>
      <c r="H51" s="34" t="str">
        <f t="shared" si="3"/>
        <v>insert into ins_premium_det (premium_rcv_code,assorted_code, rec_amount,premium_rcv_detail_code,remaining_amt, payrec, mode_code,coinsurance_code,class_cd,it_remarks) values('23May250004','040000172397','8105',(select max(to_number(i.premium_rcv_detail_code))+1
from ins_premium_det i),'8105','8105','09', '11000003','00','Request by Mr. reheel malik 23-may-2025');</v>
      </c>
    </row>
    <row r="52" spans="1:8" ht="75" x14ac:dyDescent="0.25">
      <c r="A52" s="22" t="s">
        <v>116</v>
      </c>
      <c r="B52" s="30" t="str">
        <f>VLOOKUP(A52,policy!B:C,2,0)</f>
        <v>040000173122</v>
      </c>
      <c r="C52" s="22">
        <v>8105</v>
      </c>
      <c r="D52" s="31">
        <f t="shared" si="1"/>
        <v>8105</v>
      </c>
      <c r="E52" s="29" t="s">
        <v>1280</v>
      </c>
      <c r="F52" s="32" t="str">
        <f t="shared" si="0"/>
        <v>insert into ins_premium_det (premium_rcv_code,assorted_code, rec_amount,premium_rcv_detail_code,remaining_amt, payrec, mode_code,coinsurance_code,class_cd,it_remarks) values</v>
      </c>
      <c r="G52" s="33" t="str">
        <f t="shared" si="2"/>
        <v>('23May250004','040000173122','8105',(select max(to_number(i.premium_rcv_detail_code))+1
from ins_premium_det i),'8105','8105','09', '11000003','00','Request by Mr. reheel malik 23-may-2025');</v>
      </c>
      <c r="H52" s="34" t="str">
        <f t="shared" si="3"/>
        <v>insert into ins_premium_det (premium_rcv_code,assorted_code, rec_amount,premium_rcv_detail_code,remaining_amt, payrec, mode_code,coinsurance_code,class_cd,it_remarks) values('23May250004','040000173122','8105',(select max(to_number(i.premium_rcv_detail_code))+1
from ins_premium_det i),'8105','8105','09', '11000003','00','Request by Mr. reheel malik 23-may-2025');</v>
      </c>
    </row>
    <row r="53" spans="1:8" ht="75" x14ac:dyDescent="0.25">
      <c r="A53" s="22" t="s">
        <v>117</v>
      </c>
      <c r="B53" s="30" t="str">
        <f>VLOOKUP(A53,policy!B:C,2,0)</f>
        <v>040000173362</v>
      </c>
      <c r="C53" s="22">
        <v>8105</v>
      </c>
      <c r="D53" s="31">
        <f t="shared" si="1"/>
        <v>8105</v>
      </c>
      <c r="E53" s="29" t="s">
        <v>1280</v>
      </c>
      <c r="F53" s="32" t="str">
        <f t="shared" si="0"/>
        <v>insert into ins_premium_det (premium_rcv_code,assorted_code, rec_amount,premium_rcv_detail_code,remaining_amt, payrec, mode_code,coinsurance_code,class_cd,it_remarks) values</v>
      </c>
      <c r="G53" s="33" t="str">
        <f t="shared" si="2"/>
        <v>('23May250004','040000173362','8105',(select max(to_number(i.premium_rcv_detail_code))+1
from ins_premium_det i),'8105','8105','09', '11000003','00','Request by Mr. reheel malik 23-may-2025');</v>
      </c>
      <c r="H53" s="34" t="str">
        <f t="shared" si="3"/>
        <v>insert into ins_premium_det (premium_rcv_code,assorted_code, rec_amount,premium_rcv_detail_code,remaining_amt, payrec, mode_code,coinsurance_code,class_cd,it_remarks) values('23May250004','040000173362','8105',(select max(to_number(i.premium_rcv_detail_code))+1
from ins_premium_det i),'8105','8105','09', '11000003','00','Request by Mr. reheel malik 23-may-2025');</v>
      </c>
    </row>
    <row r="54" spans="1:8" ht="75" x14ac:dyDescent="0.25">
      <c r="A54" s="22" t="s">
        <v>118</v>
      </c>
      <c r="B54" s="30" t="str">
        <f>VLOOKUP(A54,policy!B:C,2,0)</f>
        <v>040000173525</v>
      </c>
      <c r="C54" s="22">
        <v>8105</v>
      </c>
      <c r="D54" s="31">
        <f t="shared" si="1"/>
        <v>8105</v>
      </c>
      <c r="E54" s="29" t="s">
        <v>1280</v>
      </c>
      <c r="F54" s="32" t="str">
        <f t="shared" si="0"/>
        <v>insert into ins_premium_det (premium_rcv_code,assorted_code, rec_amount,premium_rcv_detail_code,remaining_amt, payrec, mode_code,coinsurance_code,class_cd,it_remarks) values</v>
      </c>
      <c r="G54" s="33" t="str">
        <f t="shared" si="2"/>
        <v>('23May250004','040000173525','8105',(select max(to_number(i.premium_rcv_detail_code))+1
from ins_premium_det i),'8105','8105','09', '11000003','00','Request by Mr. reheel malik 23-may-2025');</v>
      </c>
      <c r="H54" s="34" t="str">
        <f t="shared" si="3"/>
        <v>insert into ins_premium_det (premium_rcv_code,assorted_code, rec_amount,premium_rcv_detail_code,remaining_amt, payrec, mode_code,coinsurance_code,class_cd,it_remarks) values('23May250004','040000173525','8105',(select max(to_number(i.premium_rcv_detail_code))+1
from ins_premium_det i),'8105','8105','09', '11000003','00','Request by Mr. reheel malik 23-may-2025');</v>
      </c>
    </row>
    <row r="55" spans="1:8" ht="75" x14ac:dyDescent="0.25">
      <c r="A55" s="22" t="s">
        <v>119</v>
      </c>
      <c r="B55" s="30" t="str">
        <f>VLOOKUP(A55,policy!B:C,2,0)</f>
        <v>040000173552</v>
      </c>
      <c r="C55" s="22">
        <v>8105</v>
      </c>
      <c r="D55" s="31">
        <f t="shared" si="1"/>
        <v>8105</v>
      </c>
      <c r="E55" s="29" t="s">
        <v>1280</v>
      </c>
      <c r="F55" s="32" t="str">
        <f t="shared" si="0"/>
        <v>insert into ins_premium_det (premium_rcv_code,assorted_code, rec_amount,premium_rcv_detail_code,remaining_amt, payrec, mode_code,coinsurance_code,class_cd,it_remarks) values</v>
      </c>
      <c r="G55" s="33" t="str">
        <f t="shared" si="2"/>
        <v>('23May250004','040000173552','8105',(select max(to_number(i.premium_rcv_detail_code))+1
from ins_premium_det i),'8105','8105','09', '11000003','00','Request by Mr. reheel malik 23-may-2025');</v>
      </c>
      <c r="H55" s="34" t="str">
        <f t="shared" si="3"/>
        <v>insert into ins_premium_det (premium_rcv_code,assorted_code, rec_amount,premium_rcv_detail_code,remaining_amt, payrec, mode_code,coinsurance_code,class_cd,it_remarks) values('23May250004','040000173552','8105',(select max(to_number(i.premium_rcv_detail_code))+1
from ins_premium_det i),'8105','8105','09', '11000003','00','Request by Mr. reheel malik 23-may-2025');</v>
      </c>
    </row>
    <row r="56" spans="1:8" ht="75" x14ac:dyDescent="0.25">
      <c r="A56" s="22" t="s">
        <v>120</v>
      </c>
      <c r="B56" s="30" t="str">
        <f>VLOOKUP(A56,policy!B:C,2,0)</f>
        <v>040000173848</v>
      </c>
      <c r="C56" s="22">
        <v>8105</v>
      </c>
      <c r="D56" s="31">
        <f t="shared" si="1"/>
        <v>8105</v>
      </c>
      <c r="E56" s="29" t="s">
        <v>1280</v>
      </c>
      <c r="F56" s="32" t="str">
        <f t="shared" si="0"/>
        <v>insert into ins_premium_det (premium_rcv_code,assorted_code, rec_amount,premium_rcv_detail_code,remaining_amt, payrec, mode_code,coinsurance_code,class_cd,it_remarks) values</v>
      </c>
      <c r="G56" s="33" t="str">
        <f t="shared" si="2"/>
        <v>('23May250004','040000173848','8105',(select max(to_number(i.premium_rcv_detail_code))+1
from ins_premium_det i),'8105','8105','09', '11000003','00','Request by Mr. reheel malik 23-may-2025');</v>
      </c>
      <c r="H56" s="34" t="str">
        <f t="shared" si="3"/>
        <v>insert into ins_premium_det (premium_rcv_code,assorted_code, rec_amount,premium_rcv_detail_code,remaining_amt, payrec, mode_code,coinsurance_code,class_cd,it_remarks) values('23May250004','040000173848','8105',(select max(to_number(i.premium_rcv_detail_code))+1
from ins_premium_det i),'8105','8105','09', '11000003','00','Request by Mr. reheel malik 23-may-2025');</v>
      </c>
    </row>
    <row r="57" spans="1:8" ht="75" x14ac:dyDescent="0.25">
      <c r="A57" s="22" t="s">
        <v>121</v>
      </c>
      <c r="B57" s="30" t="str">
        <f>VLOOKUP(A57,policy!B:C,2,0)</f>
        <v>040000174011</v>
      </c>
      <c r="C57" s="22">
        <v>8105</v>
      </c>
      <c r="D57" s="31">
        <f t="shared" si="1"/>
        <v>8105</v>
      </c>
      <c r="E57" s="29" t="s">
        <v>1280</v>
      </c>
      <c r="F57" s="32" t="str">
        <f t="shared" si="0"/>
        <v>insert into ins_premium_det (premium_rcv_code,assorted_code, rec_amount,premium_rcv_detail_code,remaining_amt, payrec, mode_code,coinsurance_code,class_cd,it_remarks) values</v>
      </c>
      <c r="G57" s="33" t="str">
        <f t="shared" si="2"/>
        <v>('23May250004','040000174011','8105',(select max(to_number(i.premium_rcv_detail_code))+1
from ins_premium_det i),'8105','8105','09', '11000003','00','Request by Mr. reheel malik 23-may-2025');</v>
      </c>
      <c r="H57" s="34" t="str">
        <f t="shared" si="3"/>
        <v>insert into ins_premium_det (premium_rcv_code,assorted_code, rec_amount,premium_rcv_detail_code,remaining_amt, payrec, mode_code,coinsurance_code,class_cd,it_remarks) values('23May250004','040000174011','8105',(select max(to_number(i.premium_rcv_detail_code))+1
from ins_premium_det i),'8105','8105','09', '11000003','00','Request by Mr. reheel malik 23-may-2025');</v>
      </c>
    </row>
    <row r="58" spans="1:8" ht="75" x14ac:dyDescent="0.25">
      <c r="A58" s="22" t="s">
        <v>122</v>
      </c>
      <c r="B58" s="30" t="str">
        <f>VLOOKUP(A58,policy!B:C,2,0)</f>
        <v>040000174215</v>
      </c>
      <c r="C58" s="22">
        <v>8105</v>
      </c>
      <c r="D58" s="31">
        <f t="shared" si="1"/>
        <v>8105</v>
      </c>
      <c r="E58" s="29" t="s">
        <v>1280</v>
      </c>
      <c r="F58" s="32" t="str">
        <f t="shared" si="0"/>
        <v>insert into ins_premium_det (premium_rcv_code,assorted_code, rec_amount,premium_rcv_detail_code,remaining_amt, payrec, mode_code,coinsurance_code,class_cd,it_remarks) values</v>
      </c>
      <c r="G58" s="33" t="str">
        <f t="shared" si="2"/>
        <v>('23May250004','040000174215','8105',(select max(to_number(i.premium_rcv_detail_code))+1
from ins_premium_det i),'8105','8105','09', '11000003','00','Request by Mr. reheel malik 23-may-2025');</v>
      </c>
      <c r="H58" s="34" t="str">
        <f t="shared" si="3"/>
        <v>insert into ins_premium_det (premium_rcv_code,assorted_code, rec_amount,premium_rcv_detail_code,remaining_amt, payrec, mode_code,coinsurance_code,class_cd,it_remarks) values('23May250004','040000174215','8105',(select max(to_number(i.premium_rcv_detail_code))+1
from ins_premium_det i),'8105','8105','09', '11000003','00','Request by Mr. reheel malik 23-may-2025');</v>
      </c>
    </row>
    <row r="59" spans="1:8" ht="75" x14ac:dyDescent="0.25">
      <c r="A59" s="22" t="s">
        <v>123</v>
      </c>
      <c r="B59" s="30" t="str">
        <f>VLOOKUP(A59,policy!B:C,2,0)</f>
        <v>040000174281</v>
      </c>
      <c r="C59" s="22">
        <v>8105</v>
      </c>
      <c r="D59" s="31">
        <f t="shared" si="1"/>
        <v>8105</v>
      </c>
      <c r="E59" s="29" t="s">
        <v>1280</v>
      </c>
      <c r="F59" s="32" t="str">
        <f t="shared" si="0"/>
        <v>insert into ins_premium_det (premium_rcv_code,assorted_code, rec_amount,premium_rcv_detail_code,remaining_amt, payrec, mode_code,coinsurance_code,class_cd,it_remarks) values</v>
      </c>
      <c r="G59" s="33" t="str">
        <f t="shared" si="2"/>
        <v>('23May250004','040000174281','8105',(select max(to_number(i.premium_rcv_detail_code))+1
from ins_premium_det i),'8105','8105','09', '11000003','00','Request by Mr. reheel malik 23-may-2025');</v>
      </c>
      <c r="H59" s="34" t="str">
        <f t="shared" si="3"/>
        <v>insert into ins_premium_det (premium_rcv_code,assorted_code, rec_amount,premium_rcv_detail_code,remaining_amt, payrec, mode_code,coinsurance_code,class_cd,it_remarks) values('23May250004','040000174281','8105',(select max(to_number(i.premium_rcv_detail_code))+1
from ins_premium_det i),'8105','8105','09', '11000003','00','Request by Mr. reheel malik 23-may-2025');</v>
      </c>
    </row>
    <row r="60" spans="1:8" ht="75" x14ac:dyDescent="0.25">
      <c r="A60" s="22" t="s">
        <v>124</v>
      </c>
      <c r="B60" s="30" t="str">
        <f>VLOOKUP(A60,policy!B:C,2,0)</f>
        <v>040000174347</v>
      </c>
      <c r="C60" s="22">
        <v>8105</v>
      </c>
      <c r="D60" s="31">
        <f t="shared" si="1"/>
        <v>8105</v>
      </c>
      <c r="E60" s="29" t="s">
        <v>1280</v>
      </c>
      <c r="F60" s="32" t="str">
        <f t="shared" si="0"/>
        <v>insert into ins_premium_det (premium_rcv_code,assorted_code, rec_amount,premium_rcv_detail_code,remaining_amt, payrec, mode_code,coinsurance_code,class_cd,it_remarks) values</v>
      </c>
      <c r="G60" s="33" t="str">
        <f t="shared" si="2"/>
        <v>('23May250004','040000174347','8105',(select max(to_number(i.premium_rcv_detail_code))+1
from ins_premium_det i),'8105','8105','09', '11000003','00','Request by Mr. reheel malik 23-may-2025');</v>
      </c>
      <c r="H60" s="34" t="str">
        <f t="shared" si="3"/>
        <v>insert into ins_premium_det (premium_rcv_code,assorted_code, rec_amount,premium_rcv_detail_code,remaining_amt, payrec, mode_code,coinsurance_code,class_cd,it_remarks) values('23May250004','040000174347','8105',(select max(to_number(i.premium_rcv_detail_code))+1
from ins_premium_det i),'8105','8105','09', '11000003','00','Request by Mr. reheel malik 23-may-2025');</v>
      </c>
    </row>
    <row r="61" spans="1:8" ht="75" x14ac:dyDescent="0.25">
      <c r="A61" s="22" t="s">
        <v>125</v>
      </c>
      <c r="B61" s="30" t="str">
        <f>VLOOKUP(A61,policy!B:C,2,0)</f>
        <v>040000174359</v>
      </c>
      <c r="C61" s="22">
        <v>8105</v>
      </c>
      <c r="D61" s="31">
        <f t="shared" si="1"/>
        <v>8105</v>
      </c>
      <c r="E61" s="29" t="s">
        <v>1280</v>
      </c>
      <c r="F61" s="32" t="str">
        <f t="shared" si="0"/>
        <v>insert into ins_premium_det (premium_rcv_code,assorted_code, rec_amount,premium_rcv_detail_code,remaining_amt, payrec, mode_code,coinsurance_code,class_cd,it_remarks) values</v>
      </c>
      <c r="G61" s="33" t="str">
        <f t="shared" si="2"/>
        <v>('23May250004','040000174359','8105',(select max(to_number(i.premium_rcv_detail_code))+1
from ins_premium_det i),'8105','8105','09', '11000003','00','Request by Mr. reheel malik 23-may-2025');</v>
      </c>
      <c r="H61" s="34" t="str">
        <f t="shared" si="3"/>
        <v>insert into ins_premium_det (premium_rcv_code,assorted_code, rec_amount,premium_rcv_detail_code,remaining_amt, payrec, mode_code,coinsurance_code,class_cd,it_remarks) values('23May250004','040000174359','8105',(select max(to_number(i.premium_rcv_detail_code))+1
from ins_premium_det i),'8105','8105','09', '11000003','00','Request by Mr. reheel malik 23-may-2025');</v>
      </c>
    </row>
    <row r="62" spans="1:8" ht="75" x14ac:dyDescent="0.25">
      <c r="A62" s="22" t="s">
        <v>126</v>
      </c>
      <c r="B62" s="30" t="str">
        <f>VLOOKUP(A62,policy!B:C,2,0)</f>
        <v>040000174715</v>
      </c>
      <c r="C62" s="22">
        <v>8105</v>
      </c>
      <c r="D62" s="31">
        <f t="shared" si="1"/>
        <v>8105</v>
      </c>
      <c r="E62" s="29" t="s">
        <v>1280</v>
      </c>
      <c r="F62" s="32" t="str">
        <f t="shared" si="0"/>
        <v>insert into ins_premium_det (premium_rcv_code,assorted_code, rec_amount,premium_rcv_detail_code,remaining_amt, payrec, mode_code,coinsurance_code,class_cd,it_remarks) values</v>
      </c>
      <c r="G62" s="33" t="str">
        <f t="shared" si="2"/>
        <v>('23May250004','040000174715','8105',(select max(to_number(i.premium_rcv_detail_code))+1
from ins_premium_det i),'8105','8105','09', '11000003','00','Request by Mr. reheel malik 23-may-2025');</v>
      </c>
      <c r="H62" s="34" t="str">
        <f t="shared" si="3"/>
        <v>insert into ins_premium_det (premium_rcv_code,assorted_code, rec_amount,premium_rcv_detail_code,remaining_amt, payrec, mode_code,coinsurance_code,class_cd,it_remarks) values('23May250004','040000174715','8105',(select max(to_number(i.premium_rcv_detail_code))+1
from ins_premium_det i),'8105','8105','09', '11000003','00','Request by Mr. reheel malik 23-may-2025');</v>
      </c>
    </row>
    <row r="63" spans="1:8" ht="75" x14ac:dyDescent="0.25">
      <c r="A63" s="22" t="s">
        <v>127</v>
      </c>
      <c r="B63" s="30" t="str">
        <f>VLOOKUP(A63,policy!B:C,2,0)</f>
        <v>040000174980</v>
      </c>
      <c r="C63" s="22">
        <v>8105</v>
      </c>
      <c r="D63" s="31">
        <f t="shared" si="1"/>
        <v>8105</v>
      </c>
      <c r="E63" s="29" t="s">
        <v>1280</v>
      </c>
      <c r="F63" s="32" t="str">
        <f t="shared" si="0"/>
        <v>insert into ins_premium_det (premium_rcv_code,assorted_code, rec_amount,premium_rcv_detail_code,remaining_amt, payrec, mode_code,coinsurance_code,class_cd,it_remarks) values</v>
      </c>
      <c r="G63" s="33" t="str">
        <f t="shared" si="2"/>
        <v>('23May250004','040000174980','8105',(select max(to_number(i.premium_rcv_detail_code))+1
from ins_premium_det i),'8105','8105','09', '11000003','00','Request by Mr. reheel malik 23-may-2025');</v>
      </c>
      <c r="H63" s="34" t="str">
        <f t="shared" si="3"/>
        <v>insert into ins_premium_det (premium_rcv_code,assorted_code, rec_amount,premium_rcv_detail_code,remaining_amt, payrec, mode_code,coinsurance_code,class_cd,it_remarks) values('23May250004','040000174980','8105',(select max(to_number(i.premium_rcv_detail_code))+1
from ins_premium_det i),'8105','8105','09', '11000003','00','Request by Mr. reheel malik 23-may-2025');</v>
      </c>
    </row>
    <row r="64" spans="1:8" ht="75" x14ac:dyDescent="0.25">
      <c r="A64" s="22" t="s">
        <v>128</v>
      </c>
      <c r="B64" s="30" t="str">
        <f>VLOOKUP(A64,policy!B:C,2,0)</f>
        <v>040000175615</v>
      </c>
      <c r="C64" s="22">
        <v>8105</v>
      </c>
      <c r="D64" s="31">
        <f t="shared" si="1"/>
        <v>8105</v>
      </c>
      <c r="E64" s="29" t="s">
        <v>1280</v>
      </c>
      <c r="F64" s="32" t="str">
        <f t="shared" si="0"/>
        <v>insert into ins_premium_det (premium_rcv_code,assorted_code, rec_amount,premium_rcv_detail_code,remaining_amt, payrec, mode_code,coinsurance_code,class_cd,it_remarks) values</v>
      </c>
      <c r="G64" s="33" t="str">
        <f t="shared" si="2"/>
        <v>('23May250004','040000175615','8105',(select max(to_number(i.premium_rcv_detail_code))+1
from ins_premium_det i),'8105','8105','09', '11000003','00','Request by Mr. reheel malik 23-may-2025');</v>
      </c>
      <c r="H64" s="34" t="str">
        <f t="shared" si="3"/>
        <v>insert into ins_premium_det (premium_rcv_code,assorted_code, rec_amount,premium_rcv_detail_code,remaining_amt, payrec, mode_code,coinsurance_code,class_cd,it_remarks) values('23May250004','040000175615','8105',(select max(to_number(i.premium_rcv_detail_code))+1
from ins_premium_det i),'8105','8105','09', '11000003','00','Request by Mr. reheel malik 23-may-2025');</v>
      </c>
    </row>
    <row r="65" spans="1:8" ht="75" x14ac:dyDescent="0.25">
      <c r="A65" s="22" t="s">
        <v>129</v>
      </c>
      <c r="B65" s="30" t="str">
        <f>VLOOKUP(A65,policy!B:C,2,0)</f>
        <v>040000176528</v>
      </c>
      <c r="C65" s="22">
        <v>8105</v>
      </c>
      <c r="D65" s="31">
        <f t="shared" si="1"/>
        <v>8105</v>
      </c>
      <c r="E65" s="29" t="s">
        <v>1280</v>
      </c>
      <c r="F65" s="32" t="str">
        <f t="shared" si="0"/>
        <v>insert into ins_premium_det (premium_rcv_code,assorted_code, rec_amount,premium_rcv_detail_code,remaining_amt, payrec, mode_code,coinsurance_code,class_cd,it_remarks) values</v>
      </c>
      <c r="G65" s="33" t="str">
        <f t="shared" si="2"/>
        <v>('23May250004','040000176528','8105',(select max(to_number(i.premium_rcv_detail_code))+1
from ins_premium_det i),'8105','8105','09', '11000003','00','Request by Mr. reheel malik 23-may-2025');</v>
      </c>
      <c r="H65" s="34" t="str">
        <f t="shared" si="3"/>
        <v>insert into ins_premium_det (premium_rcv_code,assorted_code, rec_amount,premium_rcv_detail_code,remaining_amt, payrec, mode_code,coinsurance_code,class_cd,it_remarks) values('23May250004','040000176528','8105',(select max(to_number(i.premium_rcv_detail_code))+1
from ins_premium_det i),'8105','8105','09', '11000003','00','Request by Mr. reheel malik 23-may-2025');</v>
      </c>
    </row>
    <row r="66" spans="1:8" ht="75" x14ac:dyDescent="0.25">
      <c r="A66" s="22" t="s">
        <v>130</v>
      </c>
      <c r="B66" s="30" t="str">
        <f>VLOOKUP(A66,policy!B:C,2,0)</f>
        <v>040000177442</v>
      </c>
      <c r="C66" s="22">
        <v>8105</v>
      </c>
      <c r="D66" s="31">
        <f t="shared" si="1"/>
        <v>8105</v>
      </c>
      <c r="E66" s="29" t="s">
        <v>1280</v>
      </c>
      <c r="F66" s="32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33" t="str">
        <f t="shared" si="2"/>
        <v>('23May250004','040000177442','8105',(select max(to_number(i.premium_rcv_detail_code))+1
from ins_premium_det i),'8105','8105','09', '11000003','00','Request by Mr. reheel malik 23-may-2025');</v>
      </c>
      <c r="H66" s="34" t="str">
        <f t="shared" si="3"/>
        <v>insert into ins_premium_det (premium_rcv_code,assorted_code, rec_amount,premium_rcv_detail_code,remaining_amt, payrec, mode_code,coinsurance_code,class_cd,it_remarks) values('23May250004','040000177442','8105',(select max(to_number(i.premium_rcv_detail_code))+1
from ins_premium_det i),'8105','8105','09', '11000003','00','Request by Mr. reheel malik 23-may-2025');</v>
      </c>
    </row>
    <row r="67" spans="1:8" ht="75" x14ac:dyDescent="0.25">
      <c r="A67" s="22" t="s">
        <v>131</v>
      </c>
      <c r="B67" s="30" t="str">
        <f>VLOOKUP(A67,policy!B:C,2,0)</f>
        <v>040000177946</v>
      </c>
      <c r="C67" s="22">
        <v>8105</v>
      </c>
      <c r="D67" s="31">
        <f t="shared" ref="D67:D130" si="5">ROUND(C67,0)</f>
        <v>8105</v>
      </c>
      <c r="E67" s="29" t="s">
        <v>1280</v>
      </c>
      <c r="F67" s="32" t="str">
        <f t="shared" si="4"/>
        <v>insert into ins_premium_det (premium_rcv_code,assorted_code, rec_amount,premium_rcv_detail_code,remaining_amt, payrec, mode_code,coinsurance_code,class_cd,it_remarks) values</v>
      </c>
      <c r="G67" s="33" t="str">
        <f t="shared" ref="G67:G130" si="6">"('"&amp;E67&amp;"','"&amp;B67&amp;"','"&amp;C67&amp;"',(select max(to_number(i.premium_rcv_detail_code))+1
from ins_premium_det i),'"&amp;C67&amp;"','"&amp;C67&amp;"','09', '11000003','00','Request by Mr. reheel malik 23-may-2025');"</f>
        <v>('23May250004','040000177946','8105',(select max(to_number(i.premium_rcv_detail_code))+1
from ins_premium_det i),'8105','8105','09', '11000003','00','Request by Mr. reheel malik 23-may-2025');</v>
      </c>
      <c r="H67" s="34" t="str">
        <f t="shared" ref="H67:H130" si="7">F67&amp;G67</f>
        <v>insert into ins_premium_det (premium_rcv_code,assorted_code, rec_amount,premium_rcv_detail_code,remaining_amt, payrec, mode_code,coinsurance_code,class_cd,it_remarks) values('23May250004','040000177946','8105',(select max(to_number(i.premium_rcv_detail_code))+1
from ins_premium_det i),'8105','8105','09', '11000003','00','Request by Mr. reheel malik 23-may-2025');</v>
      </c>
    </row>
    <row r="68" spans="1:8" ht="75" x14ac:dyDescent="0.25">
      <c r="A68" s="22" t="s">
        <v>132</v>
      </c>
      <c r="B68" s="30" t="str">
        <f>VLOOKUP(A68,policy!B:C,2,0)</f>
        <v>040000177997</v>
      </c>
      <c r="C68" s="22">
        <v>8105</v>
      </c>
      <c r="D68" s="31">
        <f t="shared" si="5"/>
        <v>8105</v>
      </c>
      <c r="E68" s="29" t="s">
        <v>1280</v>
      </c>
      <c r="F68" s="32" t="str">
        <f t="shared" si="4"/>
        <v>insert into ins_premium_det (premium_rcv_code,assorted_code, rec_amount,premium_rcv_detail_code,remaining_amt, payrec, mode_code,coinsurance_code,class_cd,it_remarks) values</v>
      </c>
      <c r="G68" s="33" t="str">
        <f t="shared" si="6"/>
        <v>('23May250004','040000177997','8105',(select max(to_number(i.premium_rcv_detail_code))+1
from ins_premium_det i),'8105','8105','09', '11000003','00','Request by Mr. reheel malik 23-may-2025');</v>
      </c>
      <c r="H68" s="34" t="str">
        <f t="shared" si="7"/>
        <v>insert into ins_premium_det (premium_rcv_code,assorted_code, rec_amount,premium_rcv_detail_code,remaining_amt, payrec, mode_code,coinsurance_code,class_cd,it_remarks) values('23May250004','040000177997','8105',(select max(to_number(i.premium_rcv_detail_code))+1
from ins_premium_det i),'8105','8105','09', '11000003','00','Request by Mr. reheel malik 23-may-2025');</v>
      </c>
    </row>
    <row r="69" spans="1:8" ht="75" x14ac:dyDescent="0.25">
      <c r="A69" s="22" t="s">
        <v>133</v>
      </c>
      <c r="B69" s="30" t="str">
        <f>VLOOKUP(A69,policy!B:C,2,0)</f>
        <v>040000178555</v>
      </c>
      <c r="C69" s="22">
        <v>8105</v>
      </c>
      <c r="D69" s="31">
        <f t="shared" si="5"/>
        <v>8105</v>
      </c>
      <c r="E69" s="29" t="s">
        <v>1280</v>
      </c>
      <c r="F69" s="32" t="str">
        <f t="shared" si="4"/>
        <v>insert into ins_premium_det (premium_rcv_code,assorted_code, rec_amount,premium_rcv_detail_code,remaining_amt, payrec, mode_code,coinsurance_code,class_cd,it_remarks) values</v>
      </c>
      <c r="G69" s="33" t="str">
        <f t="shared" si="6"/>
        <v>('23May250004','040000178555','8105',(select max(to_number(i.premium_rcv_detail_code))+1
from ins_premium_det i),'8105','8105','09', '11000003','00','Request by Mr. reheel malik 23-may-2025');</v>
      </c>
      <c r="H69" s="34" t="str">
        <f t="shared" si="7"/>
        <v>insert into ins_premium_det (premium_rcv_code,assorted_code, rec_amount,premium_rcv_detail_code,remaining_amt, payrec, mode_code,coinsurance_code,class_cd,it_remarks) values('23May250004','040000178555','8105',(select max(to_number(i.premium_rcv_detail_code))+1
from ins_premium_det i),'8105','8105','09', '11000003','00','Request by Mr. reheel malik 23-may-2025');</v>
      </c>
    </row>
    <row r="70" spans="1:8" ht="75" x14ac:dyDescent="0.25">
      <c r="A70" s="22" t="s">
        <v>134</v>
      </c>
      <c r="B70" s="30" t="str">
        <f>VLOOKUP(A70,policy!B:C,2,0)</f>
        <v>040000178663</v>
      </c>
      <c r="C70" s="22">
        <v>8105</v>
      </c>
      <c r="D70" s="31">
        <f t="shared" si="5"/>
        <v>8105</v>
      </c>
      <c r="E70" s="29" t="s">
        <v>1280</v>
      </c>
      <c r="F70" s="32" t="str">
        <f t="shared" si="4"/>
        <v>insert into ins_premium_det (premium_rcv_code,assorted_code, rec_amount,premium_rcv_detail_code,remaining_amt, payrec, mode_code,coinsurance_code,class_cd,it_remarks) values</v>
      </c>
      <c r="G70" s="33" t="str">
        <f t="shared" si="6"/>
        <v>('23May250004','040000178663','8105',(select max(to_number(i.premium_rcv_detail_code))+1
from ins_premium_det i),'8105','8105','09', '11000003','00','Request by Mr. reheel malik 23-may-2025');</v>
      </c>
      <c r="H70" s="34" t="str">
        <f t="shared" si="7"/>
        <v>insert into ins_premium_det (premium_rcv_code,assorted_code, rec_amount,premium_rcv_detail_code,remaining_amt, payrec, mode_code,coinsurance_code,class_cd,it_remarks) values('23May250004','040000178663','8105',(select max(to_number(i.premium_rcv_detail_code))+1
from ins_premium_det i),'8105','8105','09', '11000003','00','Request by Mr. reheel malik 23-may-2025');</v>
      </c>
    </row>
    <row r="71" spans="1:8" ht="75" x14ac:dyDescent="0.25">
      <c r="A71" s="22" t="s">
        <v>135</v>
      </c>
      <c r="B71" s="30" t="str">
        <f>VLOOKUP(A71,policy!B:C,2,0)</f>
        <v>040000179081</v>
      </c>
      <c r="C71" s="22">
        <v>8105</v>
      </c>
      <c r="D71" s="31">
        <f t="shared" si="5"/>
        <v>8105</v>
      </c>
      <c r="E71" s="29" t="s">
        <v>1280</v>
      </c>
      <c r="F71" s="32" t="str">
        <f t="shared" si="4"/>
        <v>insert into ins_premium_det (premium_rcv_code,assorted_code, rec_amount,premium_rcv_detail_code,remaining_amt, payrec, mode_code,coinsurance_code,class_cd,it_remarks) values</v>
      </c>
      <c r="G71" s="33" t="str">
        <f t="shared" si="6"/>
        <v>('23May250004','040000179081','8105',(select max(to_number(i.premium_rcv_detail_code))+1
from ins_premium_det i),'8105','8105','09', '11000003','00','Request by Mr. reheel malik 23-may-2025');</v>
      </c>
      <c r="H71" s="34" t="str">
        <f t="shared" si="7"/>
        <v>insert into ins_premium_det (premium_rcv_code,assorted_code, rec_amount,premium_rcv_detail_code,remaining_amt, payrec, mode_code,coinsurance_code,class_cd,it_remarks) values('23May250004','040000179081','8105',(select max(to_number(i.premium_rcv_detail_code))+1
from ins_premium_det i),'8105','8105','09', '11000003','00','Request by Mr. reheel malik 23-may-2025');</v>
      </c>
    </row>
    <row r="72" spans="1:8" ht="75" x14ac:dyDescent="0.25">
      <c r="A72" s="22" t="s">
        <v>136</v>
      </c>
      <c r="B72" s="30" t="str">
        <f>VLOOKUP(A72,policy!B:C,2,0)</f>
        <v>040000179083</v>
      </c>
      <c r="C72" s="22">
        <v>8105</v>
      </c>
      <c r="D72" s="31">
        <f t="shared" si="5"/>
        <v>8105</v>
      </c>
      <c r="E72" s="29" t="s">
        <v>1280</v>
      </c>
      <c r="F72" s="32" t="str">
        <f t="shared" si="4"/>
        <v>insert into ins_premium_det (premium_rcv_code,assorted_code, rec_amount,premium_rcv_detail_code,remaining_amt, payrec, mode_code,coinsurance_code,class_cd,it_remarks) values</v>
      </c>
      <c r="G72" s="33" t="str">
        <f t="shared" si="6"/>
        <v>('23May250004','040000179083','8105',(select max(to_number(i.premium_rcv_detail_code))+1
from ins_premium_det i),'8105','8105','09', '11000003','00','Request by Mr. reheel malik 23-may-2025');</v>
      </c>
      <c r="H72" s="34" t="str">
        <f t="shared" si="7"/>
        <v>insert into ins_premium_det (premium_rcv_code,assorted_code, rec_amount,premium_rcv_detail_code,remaining_amt, payrec, mode_code,coinsurance_code,class_cd,it_remarks) values('23May250004','040000179083','8105',(select max(to_number(i.premium_rcv_detail_code))+1
from ins_premium_det i),'8105','8105','09', '11000003','00','Request by Mr. reheel malik 23-may-2025');</v>
      </c>
    </row>
    <row r="73" spans="1:8" ht="75" x14ac:dyDescent="0.25">
      <c r="A73" s="22" t="s">
        <v>137</v>
      </c>
      <c r="B73" s="30" t="str">
        <f>VLOOKUP(A73,policy!B:C,2,0)</f>
        <v>040000179140</v>
      </c>
      <c r="C73" s="22">
        <v>8105</v>
      </c>
      <c r="D73" s="31">
        <f t="shared" si="5"/>
        <v>8105</v>
      </c>
      <c r="E73" s="29" t="s">
        <v>1280</v>
      </c>
      <c r="F73" s="32" t="str">
        <f t="shared" si="4"/>
        <v>insert into ins_premium_det (premium_rcv_code,assorted_code, rec_amount,premium_rcv_detail_code,remaining_amt, payrec, mode_code,coinsurance_code,class_cd,it_remarks) values</v>
      </c>
      <c r="G73" s="33" t="str">
        <f t="shared" si="6"/>
        <v>('23May250004','040000179140','8105',(select max(to_number(i.premium_rcv_detail_code))+1
from ins_premium_det i),'8105','8105','09', '11000003','00','Request by Mr. reheel malik 23-may-2025');</v>
      </c>
      <c r="H73" s="34" t="str">
        <f t="shared" si="7"/>
        <v>insert into ins_premium_det (premium_rcv_code,assorted_code, rec_amount,premium_rcv_detail_code,remaining_amt, payrec, mode_code,coinsurance_code,class_cd,it_remarks) values('23May250004','040000179140','8105',(select max(to_number(i.premium_rcv_detail_code))+1
from ins_premium_det i),'8105','8105','09', '11000003','00','Request by Mr. reheel malik 23-may-2025');</v>
      </c>
    </row>
    <row r="74" spans="1:8" ht="75" x14ac:dyDescent="0.25">
      <c r="A74" s="22" t="s">
        <v>138</v>
      </c>
      <c r="B74" s="30" t="str">
        <f>VLOOKUP(A74,policy!B:C,2,0)</f>
        <v>040000179174</v>
      </c>
      <c r="C74" s="22">
        <v>8105</v>
      </c>
      <c r="D74" s="31">
        <f t="shared" si="5"/>
        <v>8105</v>
      </c>
      <c r="E74" s="29" t="s">
        <v>1280</v>
      </c>
      <c r="F74" s="32" t="str">
        <f t="shared" si="4"/>
        <v>insert into ins_premium_det (premium_rcv_code,assorted_code, rec_amount,premium_rcv_detail_code,remaining_amt, payrec, mode_code,coinsurance_code,class_cd,it_remarks) values</v>
      </c>
      <c r="G74" s="33" t="str">
        <f t="shared" si="6"/>
        <v>('23May250004','040000179174','8105',(select max(to_number(i.premium_rcv_detail_code))+1
from ins_premium_det i),'8105','8105','09', '11000003','00','Request by Mr. reheel malik 23-may-2025');</v>
      </c>
      <c r="H74" s="34" t="str">
        <f t="shared" si="7"/>
        <v>insert into ins_premium_det (premium_rcv_code,assorted_code, rec_amount,premium_rcv_detail_code,remaining_amt, payrec, mode_code,coinsurance_code,class_cd,it_remarks) values('23May250004','040000179174','8105',(select max(to_number(i.premium_rcv_detail_code))+1
from ins_premium_det i),'8105','8105','09', '11000003','00','Request by Mr. reheel malik 23-may-2025');</v>
      </c>
    </row>
    <row r="75" spans="1:8" ht="75" x14ac:dyDescent="0.25">
      <c r="A75" s="22" t="s">
        <v>139</v>
      </c>
      <c r="B75" s="30" t="str">
        <f>VLOOKUP(A75,policy!B:C,2,0)</f>
        <v>040000179283</v>
      </c>
      <c r="C75" s="22">
        <v>8105</v>
      </c>
      <c r="D75" s="31">
        <f t="shared" si="5"/>
        <v>8105</v>
      </c>
      <c r="E75" s="29" t="s">
        <v>1280</v>
      </c>
      <c r="F75" s="32" t="str">
        <f t="shared" si="4"/>
        <v>insert into ins_premium_det (premium_rcv_code,assorted_code, rec_amount,premium_rcv_detail_code,remaining_amt, payrec, mode_code,coinsurance_code,class_cd,it_remarks) values</v>
      </c>
      <c r="G75" s="33" t="str">
        <f t="shared" si="6"/>
        <v>('23May250004','040000179283','8105',(select max(to_number(i.premium_rcv_detail_code))+1
from ins_premium_det i),'8105','8105','09', '11000003','00','Request by Mr. reheel malik 23-may-2025');</v>
      </c>
      <c r="H75" s="34" t="str">
        <f t="shared" si="7"/>
        <v>insert into ins_premium_det (premium_rcv_code,assorted_code, rec_amount,premium_rcv_detail_code,remaining_amt, payrec, mode_code,coinsurance_code,class_cd,it_remarks) values('23May250004','040000179283','8105',(select max(to_number(i.premium_rcv_detail_code))+1
from ins_premium_det i),'8105','8105','09', '11000003','00','Request by Mr. reheel malik 23-may-2025');</v>
      </c>
    </row>
    <row r="76" spans="1:8" ht="75" x14ac:dyDescent="0.25">
      <c r="A76" s="22" t="s">
        <v>140</v>
      </c>
      <c r="B76" s="30" t="str">
        <f>VLOOKUP(A76,policy!B:C,2,0)</f>
        <v>040000179341</v>
      </c>
      <c r="C76" s="22">
        <v>8105</v>
      </c>
      <c r="D76" s="31">
        <f t="shared" si="5"/>
        <v>8105</v>
      </c>
      <c r="E76" s="29" t="s">
        <v>1280</v>
      </c>
      <c r="F76" s="32" t="str">
        <f t="shared" si="4"/>
        <v>insert into ins_premium_det (premium_rcv_code,assorted_code, rec_amount,premium_rcv_detail_code,remaining_amt, payrec, mode_code,coinsurance_code,class_cd,it_remarks) values</v>
      </c>
      <c r="G76" s="33" t="str">
        <f t="shared" si="6"/>
        <v>('23May250004','040000179341','8105',(select max(to_number(i.premium_rcv_detail_code))+1
from ins_premium_det i),'8105','8105','09', '11000003','00','Request by Mr. reheel malik 23-may-2025');</v>
      </c>
      <c r="H76" s="34" t="str">
        <f t="shared" si="7"/>
        <v>insert into ins_premium_det (premium_rcv_code,assorted_code, rec_amount,premium_rcv_detail_code,remaining_amt, payrec, mode_code,coinsurance_code,class_cd,it_remarks) values('23May250004','040000179341','8105',(select max(to_number(i.premium_rcv_detail_code))+1
from ins_premium_det i),'8105','8105','09', '11000003','00','Request by Mr. reheel malik 23-may-2025');</v>
      </c>
    </row>
    <row r="77" spans="1:8" ht="75" x14ac:dyDescent="0.25">
      <c r="A77" s="22" t="s">
        <v>141</v>
      </c>
      <c r="B77" s="30" t="str">
        <f>VLOOKUP(A77,policy!B:C,2,0)</f>
        <v>040000179529</v>
      </c>
      <c r="C77" s="22">
        <v>8105</v>
      </c>
      <c r="D77" s="31">
        <f t="shared" si="5"/>
        <v>8105</v>
      </c>
      <c r="E77" s="29" t="s">
        <v>1280</v>
      </c>
      <c r="F77" s="32" t="str">
        <f t="shared" si="4"/>
        <v>insert into ins_premium_det (premium_rcv_code,assorted_code, rec_amount,premium_rcv_detail_code,remaining_amt, payrec, mode_code,coinsurance_code,class_cd,it_remarks) values</v>
      </c>
      <c r="G77" s="33" t="str">
        <f t="shared" si="6"/>
        <v>('23May250004','040000179529','8105',(select max(to_number(i.premium_rcv_detail_code))+1
from ins_premium_det i),'8105','8105','09', '11000003','00','Request by Mr. reheel malik 23-may-2025');</v>
      </c>
      <c r="H77" s="34" t="str">
        <f t="shared" si="7"/>
        <v>insert into ins_premium_det (premium_rcv_code,assorted_code, rec_amount,premium_rcv_detail_code,remaining_amt, payrec, mode_code,coinsurance_code,class_cd,it_remarks) values('23May250004','040000179529','8105',(select max(to_number(i.premium_rcv_detail_code))+1
from ins_premium_det i),'8105','8105','09', '11000003','00','Request by Mr. reheel malik 23-may-2025');</v>
      </c>
    </row>
    <row r="78" spans="1:8" ht="75" x14ac:dyDescent="0.25">
      <c r="A78" s="22" t="s">
        <v>142</v>
      </c>
      <c r="B78" s="30" t="str">
        <f>VLOOKUP(A78,policy!B:C,2,0)</f>
        <v>040000179574</v>
      </c>
      <c r="C78" s="22">
        <v>8105</v>
      </c>
      <c r="D78" s="31">
        <f t="shared" si="5"/>
        <v>8105</v>
      </c>
      <c r="E78" s="29" t="s">
        <v>1280</v>
      </c>
      <c r="F78" s="32" t="str">
        <f t="shared" si="4"/>
        <v>insert into ins_premium_det (premium_rcv_code,assorted_code, rec_amount,premium_rcv_detail_code,remaining_amt, payrec, mode_code,coinsurance_code,class_cd,it_remarks) values</v>
      </c>
      <c r="G78" s="33" t="str">
        <f t="shared" si="6"/>
        <v>('23May250004','040000179574','8105',(select max(to_number(i.premium_rcv_detail_code))+1
from ins_premium_det i),'8105','8105','09', '11000003','00','Request by Mr. reheel malik 23-may-2025');</v>
      </c>
      <c r="H78" s="34" t="str">
        <f t="shared" si="7"/>
        <v>insert into ins_premium_det (premium_rcv_code,assorted_code, rec_amount,premium_rcv_detail_code,remaining_amt, payrec, mode_code,coinsurance_code,class_cd,it_remarks) values('23May250004','040000179574','8105',(select max(to_number(i.premium_rcv_detail_code))+1
from ins_premium_det i),'8105','8105','09', '11000003','00','Request by Mr. reheel malik 23-may-2025');</v>
      </c>
    </row>
    <row r="79" spans="1:8" ht="75" x14ac:dyDescent="0.25">
      <c r="A79" s="22" t="s">
        <v>143</v>
      </c>
      <c r="B79" s="30" t="str">
        <f>VLOOKUP(A79,policy!B:C,2,0)</f>
        <v>040000179606</v>
      </c>
      <c r="C79" s="22">
        <v>8105</v>
      </c>
      <c r="D79" s="31">
        <f t="shared" si="5"/>
        <v>8105</v>
      </c>
      <c r="E79" s="29" t="s">
        <v>1280</v>
      </c>
      <c r="F79" s="32" t="str">
        <f t="shared" si="4"/>
        <v>insert into ins_premium_det (premium_rcv_code,assorted_code, rec_amount,premium_rcv_detail_code,remaining_amt, payrec, mode_code,coinsurance_code,class_cd,it_remarks) values</v>
      </c>
      <c r="G79" s="33" t="str">
        <f t="shared" si="6"/>
        <v>('23May250004','040000179606','8105',(select max(to_number(i.premium_rcv_detail_code))+1
from ins_premium_det i),'8105','8105','09', '11000003','00','Request by Mr. reheel malik 23-may-2025');</v>
      </c>
      <c r="H79" s="34" t="str">
        <f t="shared" si="7"/>
        <v>insert into ins_premium_det (premium_rcv_code,assorted_code, rec_amount,premium_rcv_detail_code,remaining_amt, payrec, mode_code,coinsurance_code,class_cd,it_remarks) values('23May250004','040000179606','8105',(select max(to_number(i.premium_rcv_detail_code))+1
from ins_premium_det i),'8105','8105','09', '11000003','00','Request by Mr. reheel malik 23-may-2025');</v>
      </c>
    </row>
    <row r="80" spans="1:8" ht="75" x14ac:dyDescent="0.25">
      <c r="A80" s="22" t="s">
        <v>144</v>
      </c>
      <c r="B80" s="30" t="str">
        <f>VLOOKUP(A80,policy!B:C,2,0)</f>
        <v>040000179880</v>
      </c>
      <c r="C80" s="22">
        <v>8105</v>
      </c>
      <c r="D80" s="31">
        <f t="shared" si="5"/>
        <v>8105</v>
      </c>
      <c r="E80" s="29" t="s">
        <v>1280</v>
      </c>
      <c r="F80" s="32" t="str">
        <f t="shared" si="4"/>
        <v>insert into ins_premium_det (premium_rcv_code,assorted_code, rec_amount,premium_rcv_detail_code,remaining_amt, payrec, mode_code,coinsurance_code,class_cd,it_remarks) values</v>
      </c>
      <c r="G80" s="33" t="str">
        <f t="shared" si="6"/>
        <v>('23May250004','040000179880','8105',(select max(to_number(i.premium_rcv_detail_code))+1
from ins_premium_det i),'8105','8105','09', '11000003','00','Request by Mr. reheel malik 23-may-2025');</v>
      </c>
      <c r="H80" s="34" t="str">
        <f t="shared" si="7"/>
        <v>insert into ins_premium_det (premium_rcv_code,assorted_code, rec_amount,premium_rcv_detail_code,remaining_amt, payrec, mode_code,coinsurance_code,class_cd,it_remarks) values('23May250004','040000179880','8105',(select max(to_number(i.premium_rcv_detail_code))+1
from ins_premium_det i),'8105','8105','09', '11000003','00','Request by Mr. reheel malik 23-may-2025');</v>
      </c>
    </row>
    <row r="81" spans="1:8" ht="75" x14ac:dyDescent="0.25">
      <c r="A81" s="22" t="s">
        <v>145</v>
      </c>
      <c r="B81" s="30" t="str">
        <f>VLOOKUP(A81,policy!B:C,2,0)</f>
        <v>040000179970</v>
      </c>
      <c r="C81" s="22">
        <v>8105</v>
      </c>
      <c r="D81" s="31">
        <f t="shared" si="5"/>
        <v>8105</v>
      </c>
      <c r="E81" s="29" t="s">
        <v>1280</v>
      </c>
      <c r="F81" s="32" t="str">
        <f t="shared" si="4"/>
        <v>insert into ins_premium_det (premium_rcv_code,assorted_code, rec_amount,premium_rcv_detail_code,remaining_amt, payrec, mode_code,coinsurance_code,class_cd,it_remarks) values</v>
      </c>
      <c r="G81" s="33" t="str">
        <f t="shared" si="6"/>
        <v>('23May250004','040000179970','8105',(select max(to_number(i.premium_rcv_detail_code))+1
from ins_premium_det i),'8105','8105','09', '11000003','00','Request by Mr. reheel malik 23-may-2025');</v>
      </c>
      <c r="H81" s="34" t="str">
        <f t="shared" si="7"/>
        <v>insert into ins_premium_det (premium_rcv_code,assorted_code, rec_amount,premium_rcv_detail_code,remaining_amt, payrec, mode_code,coinsurance_code,class_cd,it_remarks) values('23May250004','040000179970','8105',(select max(to_number(i.premium_rcv_detail_code))+1
from ins_premium_det i),'8105','8105','09', '11000003','00','Request by Mr. reheel malik 23-may-2025');</v>
      </c>
    </row>
    <row r="82" spans="1:8" ht="75" x14ac:dyDescent="0.25">
      <c r="A82" s="22" t="s">
        <v>146</v>
      </c>
      <c r="B82" s="30" t="str">
        <f>VLOOKUP(A82,policy!B:C,2,0)</f>
        <v>040000179972</v>
      </c>
      <c r="C82" s="22">
        <v>8105</v>
      </c>
      <c r="D82" s="31">
        <f t="shared" si="5"/>
        <v>8105</v>
      </c>
      <c r="E82" s="29" t="s">
        <v>1280</v>
      </c>
      <c r="F82" s="32" t="str">
        <f t="shared" si="4"/>
        <v>insert into ins_premium_det (premium_rcv_code,assorted_code, rec_amount,premium_rcv_detail_code,remaining_amt, payrec, mode_code,coinsurance_code,class_cd,it_remarks) values</v>
      </c>
      <c r="G82" s="33" t="str">
        <f t="shared" si="6"/>
        <v>('23May250004','040000179972','8105',(select max(to_number(i.premium_rcv_detail_code))+1
from ins_premium_det i),'8105','8105','09', '11000003','00','Request by Mr. reheel malik 23-may-2025');</v>
      </c>
      <c r="H82" s="34" t="str">
        <f t="shared" si="7"/>
        <v>insert into ins_premium_det (premium_rcv_code,assorted_code, rec_amount,premium_rcv_detail_code,remaining_amt, payrec, mode_code,coinsurance_code,class_cd,it_remarks) values('23May250004','040000179972','8105',(select max(to_number(i.premium_rcv_detail_code))+1
from ins_premium_det i),'8105','8105','09', '11000003','00','Request by Mr. reheel malik 23-may-2025');</v>
      </c>
    </row>
    <row r="83" spans="1:8" ht="75" x14ac:dyDescent="0.25">
      <c r="A83" s="22" t="s">
        <v>147</v>
      </c>
      <c r="B83" s="30" t="str">
        <f>VLOOKUP(A83,policy!B:C,2,0)</f>
        <v>040000180054</v>
      </c>
      <c r="C83" s="22">
        <v>8105</v>
      </c>
      <c r="D83" s="31">
        <f t="shared" si="5"/>
        <v>8105</v>
      </c>
      <c r="E83" s="29" t="s">
        <v>1280</v>
      </c>
      <c r="F83" s="32" t="str">
        <f t="shared" si="4"/>
        <v>insert into ins_premium_det (premium_rcv_code,assorted_code, rec_amount,premium_rcv_detail_code,remaining_amt, payrec, mode_code,coinsurance_code,class_cd,it_remarks) values</v>
      </c>
      <c r="G83" s="33" t="str">
        <f t="shared" si="6"/>
        <v>('23May250004','040000180054','8105',(select max(to_number(i.premium_rcv_detail_code))+1
from ins_premium_det i),'8105','8105','09', '11000003','00','Request by Mr. reheel malik 23-may-2025');</v>
      </c>
      <c r="H83" s="34" t="str">
        <f t="shared" si="7"/>
        <v>insert into ins_premium_det (premium_rcv_code,assorted_code, rec_amount,premium_rcv_detail_code,remaining_amt, payrec, mode_code,coinsurance_code,class_cd,it_remarks) values('23May250004','040000180054','8105',(select max(to_number(i.premium_rcv_detail_code))+1
from ins_premium_det i),'8105','8105','09', '11000003','00','Request by Mr. reheel malik 23-may-2025');</v>
      </c>
    </row>
    <row r="84" spans="1:8" ht="75" x14ac:dyDescent="0.25">
      <c r="A84" s="22" t="s">
        <v>148</v>
      </c>
      <c r="B84" s="30" t="str">
        <f>VLOOKUP(A84,policy!B:C,2,0)</f>
        <v>040000180058</v>
      </c>
      <c r="C84" s="22">
        <v>8105</v>
      </c>
      <c r="D84" s="31">
        <f t="shared" si="5"/>
        <v>8105</v>
      </c>
      <c r="E84" s="29" t="s">
        <v>1280</v>
      </c>
      <c r="F84" s="32" t="str">
        <f t="shared" si="4"/>
        <v>insert into ins_premium_det (premium_rcv_code,assorted_code, rec_amount,premium_rcv_detail_code,remaining_amt, payrec, mode_code,coinsurance_code,class_cd,it_remarks) values</v>
      </c>
      <c r="G84" s="33" t="str">
        <f t="shared" si="6"/>
        <v>('23May250004','040000180058','8105',(select max(to_number(i.premium_rcv_detail_code))+1
from ins_premium_det i),'8105','8105','09', '11000003','00','Request by Mr. reheel malik 23-may-2025');</v>
      </c>
      <c r="H84" s="34" t="str">
        <f t="shared" si="7"/>
        <v>insert into ins_premium_det (premium_rcv_code,assorted_code, rec_amount,premium_rcv_detail_code,remaining_amt, payrec, mode_code,coinsurance_code,class_cd,it_remarks) values('23May250004','040000180058','8105',(select max(to_number(i.premium_rcv_detail_code))+1
from ins_premium_det i),'8105','8105','09', '11000003','00','Request by Mr. reheel malik 23-may-2025');</v>
      </c>
    </row>
    <row r="85" spans="1:8" ht="75" x14ac:dyDescent="0.25">
      <c r="A85" s="22" t="s">
        <v>149</v>
      </c>
      <c r="B85" s="30" t="str">
        <f>VLOOKUP(A85,policy!B:C,2,0)</f>
        <v>040000180313</v>
      </c>
      <c r="C85" s="22">
        <v>8105</v>
      </c>
      <c r="D85" s="31">
        <f t="shared" si="5"/>
        <v>8105</v>
      </c>
      <c r="E85" s="29" t="s">
        <v>1280</v>
      </c>
      <c r="F85" s="32" t="str">
        <f t="shared" si="4"/>
        <v>insert into ins_premium_det (premium_rcv_code,assorted_code, rec_amount,premium_rcv_detail_code,remaining_amt, payrec, mode_code,coinsurance_code,class_cd,it_remarks) values</v>
      </c>
      <c r="G85" s="33" t="str">
        <f t="shared" si="6"/>
        <v>('23May250004','040000180313','8105',(select max(to_number(i.premium_rcv_detail_code))+1
from ins_premium_det i),'8105','8105','09', '11000003','00','Request by Mr. reheel malik 23-may-2025');</v>
      </c>
      <c r="H85" s="34" t="str">
        <f t="shared" si="7"/>
        <v>insert into ins_premium_det (premium_rcv_code,assorted_code, rec_amount,premium_rcv_detail_code,remaining_amt, payrec, mode_code,coinsurance_code,class_cd,it_remarks) values('23May250004','040000180313','8105',(select max(to_number(i.premium_rcv_detail_code))+1
from ins_premium_det i),'8105','8105','09', '11000003','00','Request by Mr. reheel malik 23-may-2025');</v>
      </c>
    </row>
    <row r="86" spans="1:8" ht="75" x14ac:dyDescent="0.25">
      <c r="A86" s="22" t="s">
        <v>150</v>
      </c>
      <c r="B86" s="30" t="str">
        <f>VLOOKUP(A86,policy!B:C,2,0)</f>
        <v>040000180399</v>
      </c>
      <c r="C86" s="22">
        <v>8105</v>
      </c>
      <c r="D86" s="31">
        <f t="shared" si="5"/>
        <v>8105</v>
      </c>
      <c r="E86" s="29" t="s">
        <v>1280</v>
      </c>
      <c r="F86" s="32" t="str">
        <f t="shared" si="4"/>
        <v>insert into ins_premium_det (premium_rcv_code,assorted_code, rec_amount,premium_rcv_detail_code,remaining_amt, payrec, mode_code,coinsurance_code,class_cd,it_remarks) values</v>
      </c>
      <c r="G86" s="33" t="str">
        <f t="shared" si="6"/>
        <v>('23May250004','040000180399','8105',(select max(to_number(i.premium_rcv_detail_code))+1
from ins_premium_det i),'8105','8105','09', '11000003','00','Request by Mr. reheel malik 23-may-2025');</v>
      </c>
      <c r="H86" s="34" t="str">
        <f t="shared" si="7"/>
        <v>insert into ins_premium_det (premium_rcv_code,assorted_code, rec_amount,premium_rcv_detail_code,remaining_amt, payrec, mode_code,coinsurance_code,class_cd,it_remarks) values('23May250004','040000180399','8105',(select max(to_number(i.premium_rcv_detail_code))+1
from ins_premium_det i),'8105','8105','09', '11000003','00','Request by Mr. reheel malik 23-may-2025');</v>
      </c>
    </row>
    <row r="87" spans="1:8" ht="75" x14ac:dyDescent="0.25">
      <c r="A87" s="22" t="s">
        <v>151</v>
      </c>
      <c r="B87" s="30" t="str">
        <f>VLOOKUP(A87,policy!B:C,2,0)</f>
        <v>040000180414</v>
      </c>
      <c r="C87" s="22">
        <v>8105</v>
      </c>
      <c r="D87" s="31">
        <f t="shared" si="5"/>
        <v>8105</v>
      </c>
      <c r="E87" s="29" t="s">
        <v>1280</v>
      </c>
      <c r="F87" s="32" t="str">
        <f t="shared" si="4"/>
        <v>insert into ins_premium_det (premium_rcv_code,assorted_code, rec_amount,premium_rcv_detail_code,remaining_amt, payrec, mode_code,coinsurance_code,class_cd,it_remarks) values</v>
      </c>
      <c r="G87" s="33" t="str">
        <f t="shared" si="6"/>
        <v>('23May250004','040000180414','8105',(select max(to_number(i.premium_rcv_detail_code))+1
from ins_premium_det i),'8105','8105','09', '11000003','00','Request by Mr. reheel malik 23-may-2025');</v>
      </c>
      <c r="H87" s="34" t="str">
        <f t="shared" si="7"/>
        <v>insert into ins_premium_det (premium_rcv_code,assorted_code, rec_amount,premium_rcv_detail_code,remaining_amt, payrec, mode_code,coinsurance_code,class_cd,it_remarks) values('23May250004','040000180414','8105',(select max(to_number(i.premium_rcv_detail_code))+1
from ins_premium_det i),'8105','8105','09', '11000003','00','Request by Mr. reheel malik 23-may-2025');</v>
      </c>
    </row>
    <row r="88" spans="1:8" ht="75" x14ac:dyDescent="0.25">
      <c r="A88" s="22" t="s">
        <v>152</v>
      </c>
      <c r="B88" s="30" t="str">
        <f>VLOOKUP(A88,policy!B:C,2,0)</f>
        <v>040000180447</v>
      </c>
      <c r="C88" s="22">
        <v>8105</v>
      </c>
      <c r="D88" s="31">
        <f t="shared" si="5"/>
        <v>8105</v>
      </c>
      <c r="E88" s="29" t="s">
        <v>1280</v>
      </c>
      <c r="F88" s="32" t="str">
        <f t="shared" si="4"/>
        <v>insert into ins_premium_det (premium_rcv_code,assorted_code, rec_amount,premium_rcv_detail_code,remaining_amt, payrec, mode_code,coinsurance_code,class_cd,it_remarks) values</v>
      </c>
      <c r="G88" s="33" t="str">
        <f t="shared" si="6"/>
        <v>('23May250004','040000180447','8105',(select max(to_number(i.premium_rcv_detail_code))+1
from ins_premium_det i),'8105','8105','09', '11000003','00','Request by Mr. reheel malik 23-may-2025');</v>
      </c>
      <c r="H88" s="34" t="str">
        <f t="shared" si="7"/>
        <v>insert into ins_premium_det (premium_rcv_code,assorted_code, rec_amount,premium_rcv_detail_code,remaining_amt, payrec, mode_code,coinsurance_code,class_cd,it_remarks) values('23May250004','040000180447','8105',(select max(to_number(i.premium_rcv_detail_code))+1
from ins_premium_det i),'8105','8105','09', '11000003','00','Request by Mr. reheel malik 23-may-2025');</v>
      </c>
    </row>
    <row r="89" spans="1:8" ht="75" x14ac:dyDescent="0.25">
      <c r="A89" s="22" t="s">
        <v>153</v>
      </c>
      <c r="B89" s="30" t="str">
        <f>VLOOKUP(A89,policy!B:C,2,0)</f>
        <v>040000180470</v>
      </c>
      <c r="C89" s="22">
        <v>8105</v>
      </c>
      <c r="D89" s="31">
        <f t="shared" si="5"/>
        <v>8105</v>
      </c>
      <c r="E89" s="29" t="s">
        <v>1280</v>
      </c>
      <c r="F89" s="32" t="str">
        <f t="shared" si="4"/>
        <v>insert into ins_premium_det (premium_rcv_code,assorted_code, rec_amount,premium_rcv_detail_code,remaining_amt, payrec, mode_code,coinsurance_code,class_cd,it_remarks) values</v>
      </c>
      <c r="G89" s="33" t="str">
        <f t="shared" si="6"/>
        <v>('23May250004','040000180470','8105',(select max(to_number(i.premium_rcv_detail_code))+1
from ins_premium_det i),'8105','8105','09', '11000003','00','Request by Mr. reheel malik 23-may-2025');</v>
      </c>
      <c r="H89" s="34" t="str">
        <f t="shared" si="7"/>
        <v>insert into ins_premium_det (premium_rcv_code,assorted_code, rec_amount,premium_rcv_detail_code,remaining_amt, payrec, mode_code,coinsurance_code,class_cd,it_remarks) values('23May250004','040000180470','8105',(select max(to_number(i.premium_rcv_detail_code))+1
from ins_premium_det i),'8105','8105','09', '11000003','00','Request by Mr. reheel malik 23-may-2025');</v>
      </c>
    </row>
    <row r="90" spans="1:8" ht="75" x14ac:dyDescent="0.25">
      <c r="A90" s="22" t="s">
        <v>154</v>
      </c>
      <c r="B90" s="30" t="str">
        <f>VLOOKUP(A90,policy!B:C,2,0)</f>
        <v>040000181004</v>
      </c>
      <c r="C90" s="22">
        <v>8105</v>
      </c>
      <c r="D90" s="31">
        <f t="shared" si="5"/>
        <v>8105</v>
      </c>
      <c r="E90" s="29" t="s">
        <v>1280</v>
      </c>
      <c r="F90" s="32" t="str">
        <f t="shared" si="4"/>
        <v>insert into ins_premium_det (premium_rcv_code,assorted_code, rec_amount,premium_rcv_detail_code,remaining_amt, payrec, mode_code,coinsurance_code,class_cd,it_remarks) values</v>
      </c>
      <c r="G90" s="33" t="str">
        <f t="shared" si="6"/>
        <v>('23May250004','040000181004','8105',(select max(to_number(i.premium_rcv_detail_code))+1
from ins_premium_det i),'8105','8105','09', '11000003','00','Request by Mr. reheel malik 23-may-2025');</v>
      </c>
      <c r="H90" s="34" t="str">
        <f t="shared" si="7"/>
        <v>insert into ins_premium_det (premium_rcv_code,assorted_code, rec_amount,premium_rcv_detail_code,remaining_amt, payrec, mode_code,coinsurance_code,class_cd,it_remarks) values('23May250004','040000181004','8105',(select max(to_number(i.premium_rcv_detail_code))+1
from ins_premium_det i),'8105','8105','09', '11000003','00','Request by Mr. reheel malik 23-may-2025');</v>
      </c>
    </row>
    <row r="91" spans="1:8" ht="75" x14ac:dyDescent="0.25">
      <c r="A91" s="22" t="s">
        <v>155</v>
      </c>
      <c r="B91" s="30" t="str">
        <f>VLOOKUP(A91,policy!B:C,2,0)</f>
        <v>040000181010</v>
      </c>
      <c r="C91" s="22">
        <v>8105</v>
      </c>
      <c r="D91" s="31">
        <f t="shared" si="5"/>
        <v>8105</v>
      </c>
      <c r="E91" s="29" t="s">
        <v>1280</v>
      </c>
      <c r="F91" s="32" t="str">
        <f t="shared" si="4"/>
        <v>insert into ins_premium_det (premium_rcv_code,assorted_code, rec_amount,premium_rcv_detail_code,remaining_amt, payrec, mode_code,coinsurance_code,class_cd,it_remarks) values</v>
      </c>
      <c r="G91" s="33" t="str">
        <f t="shared" si="6"/>
        <v>('23May250004','040000181010','8105',(select max(to_number(i.premium_rcv_detail_code))+1
from ins_premium_det i),'8105','8105','09', '11000003','00','Request by Mr. reheel malik 23-may-2025');</v>
      </c>
      <c r="H91" s="34" t="str">
        <f t="shared" si="7"/>
        <v>insert into ins_premium_det (premium_rcv_code,assorted_code, rec_amount,premium_rcv_detail_code,remaining_amt, payrec, mode_code,coinsurance_code,class_cd,it_remarks) values('23May250004','040000181010','8105',(select max(to_number(i.premium_rcv_detail_code))+1
from ins_premium_det i),'8105','8105','09', '11000003','00','Request by Mr. reheel malik 23-may-2025');</v>
      </c>
    </row>
    <row r="92" spans="1:8" ht="75" x14ac:dyDescent="0.25">
      <c r="A92" s="22" t="s">
        <v>156</v>
      </c>
      <c r="B92" s="30" t="str">
        <f>VLOOKUP(A92,policy!B:C,2,0)</f>
        <v>040000182015</v>
      </c>
      <c r="C92" s="22">
        <v>8105</v>
      </c>
      <c r="D92" s="31">
        <f t="shared" si="5"/>
        <v>8105</v>
      </c>
      <c r="E92" s="29" t="s">
        <v>1280</v>
      </c>
      <c r="F92" s="32" t="str">
        <f t="shared" si="4"/>
        <v>insert into ins_premium_det (premium_rcv_code,assorted_code, rec_amount,premium_rcv_detail_code,remaining_amt, payrec, mode_code,coinsurance_code,class_cd,it_remarks) values</v>
      </c>
      <c r="G92" s="33" t="str">
        <f t="shared" si="6"/>
        <v>('23May250004','040000182015','8105',(select max(to_number(i.premium_rcv_detail_code))+1
from ins_premium_det i),'8105','8105','09', '11000003','00','Request by Mr. reheel malik 23-may-2025');</v>
      </c>
      <c r="H92" s="34" t="str">
        <f t="shared" si="7"/>
        <v>insert into ins_premium_det (premium_rcv_code,assorted_code, rec_amount,premium_rcv_detail_code,remaining_amt, payrec, mode_code,coinsurance_code,class_cd,it_remarks) values('23May250004','040000182015','8105',(select max(to_number(i.premium_rcv_detail_code))+1
from ins_premium_det i),'8105','8105','09', '11000003','00','Request by Mr. reheel malik 23-may-2025');</v>
      </c>
    </row>
    <row r="93" spans="1:8" ht="75" x14ac:dyDescent="0.25">
      <c r="A93" s="22" t="s">
        <v>157</v>
      </c>
      <c r="B93" s="30" t="str">
        <f>VLOOKUP(A93,policy!B:C,2,0)</f>
        <v>040000182234</v>
      </c>
      <c r="C93" s="22">
        <v>8105</v>
      </c>
      <c r="D93" s="31">
        <f t="shared" si="5"/>
        <v>8105</v>
      </c>
      <c r="E93" s="29" t="s">
        <v>1280</v>
      </c>
      <c r="F93" s="32" t="str">
        <f t="shared" si="4"/>
        <v>insert into ins_premium_det (premium_rcv_code,assorted_code, rec_amount,premium_rcv_detail_code,remaining_amt, payrec, mode_code,coinsurance_code,class_cd,it_remarks) values</v>
      </c>
      <c r="G93" s="33" t="str">
        <f t="shared" si="6"/>
        <v>('23May250004','040000182234','8105',(select max(to_number(i.premium_rcv_detail_code))+1
from ins_premium_det i),'8105','8105','09', '11000003','00','Request by Mr. reheel malik 23-may-2025');</v>
      </c>
      <c r="H93" s="34" t="str">
        <f t="shared" si="7"/>
        <v>insert into ins_premium_det (premium_rcv_code,assorted_code, rec_amount,premium_rcv_detail_code,remaining_amt, payrec, mode_code,coinsurance_code,class_cd,it_remarks) values('23May250004','040000182234','8105',(select max(to_number(i.premium_rcv_detail_code))+1
from ins_premium_det i),'8105','8105','09', '11000003','00','Request by Mr. reheel malik 23-may-2025');</v>
      </c>
    </row>
    <row r="94" spans="1:8" ht="75" x14ac:dyDescent="0.25">
      <c r="A94" s="22" t="s">
        <v>158</v>
      </c>
      <c r="B94" s="30" t="str">
        <f>VLOOKUP(A94,policy!B:C,2,0)</f>
        <v>040000183463</v>
      </c>
      <c r="C94" s="22">
        <v>8105</v>
      </c>
      <c r="D94" s="31">
        <f t="shared" si="5"/>
        <v>8105</v>
      </c>
      <c r="E94" s="29" t="s">
        <v>1280</v>
      </c>
      <c r="F94" s="32" t="str">
        <f t="shared" si="4"/>
        <v>insert into ins_premium_det (premium_rcv_code,assorted_code, rec_amount,premium_rcv_detail_code,remaining_amt, payrec, mode_code,coinsurance_code,class_cd,it_remarks) values</v>
      </c>
      <c r="G94" s="33" t="str">
        <f t="shared" si="6"/>
        <v>('23May250004','040000183463','8105',(select max(to_number(i.premium_rcv_detail_code))+1
from ins_premium_det i),'8105','8105','09', '11000003','00','Request by Mr. reheel malik 23-may-2025');</v>
      </c>
      <c r="H94" s="34" t="str">
        <f t="shared" si="7"/>
        <v>insert into ins_premium_det (premium_rcv_code,assorted_code, rec_amount,premium_rcv_detail_code,remaining_amt, payrec, mode_code,coinsurance_code,class_cd,it_remarks) values('23May250004','040000183463','8105',(select max(to_number(i.premium_rcv_detail_code))+1
from ins_premium_det i),'8105','8105','09', '11000003','00','Request by Mr. reheel malik 23-may-2025');</v>
      </c>
    </row>
    <row r="95" spans="1:8" ht="75" x14ac:dyDescent="0.25">
      <c r="A95" s="22" t="s">
        <v>159</v>
      </c>
      <c r="B95" s="30" t="str">
        <f>VLOOKUP(A95,policy!B:C,2,0)</f>
        <v>040000183706</v>
      </c>
      <c r="C95" s="22">
        <v>8105</v>
      </c>
      <c r="D95" s="31">
        <f t="shared" si="5"/>
        <v>8105</v>
      </c>
      <c r="E95" s="29" t="s">
        <v>1280</v>
      </c>
      <c r="F95" s="32" t="str">
        <f t="shared" si="4"/>
        <v>insert into ins_premium_det (premium_rcv_code,assorted_code, rec_amount,premium_rcv_detail_code,remaining_amt, payrec, mode_code,coinsurance_code,class_cd,it_remarks) values</v>
      </c>
      <c r="G95" s="33" t="str">
        <f t="shared" si="6"/>
        <v>('23May250004','040000183706','8105',(select max(to_number(i.premium_rcv_detail_code))+1
from ins_premium_det i),'8105','8105','09', '11000003','00','Request by Mr. reheel malik 23-may-2025');</v>
      </c>
      <c r="H95" s="34" t="str">
        <f t="shared" si="7"/>
        <v>insert into ins_premium_det (premium_rcv_code,assorted_code, rec_amount,premium_rcv_detail_code,remaining_amt, payrec, mode_code,coinsurance_code,class_cd,it_remarks) values('23May250004','040000183706','8105',(select max(to_number(i.premium_rcv_detail_code))+1
from ins_premium_det i),'8105','8105','09', '11000003','00','Request by Mr. reheel malik 23-may-2025');</v>
      </c>
    </row>
    <row r="96" spans="1:8" ht="75" x14ac:dyDescent="0.25">
      <c r="A96" s="22" t="s">
        <v>160</v>
      </c>
      <c r="B96" s="30" t="str">
        <f>VLOOKUP(A96,policy!B:C,2,0)</f>
        <v>040000183986</v>
      </c>
      <c r="C96" s="22">
        <v>8105</v>
      </c>
      <c r="D96" s="31">
        <f t="shared" si="5"/>
        <v>8105</v>
      </c>
      <c r="E96" s="29" t="s">
        <v>1280</v>
      </c>
      <c r="F96" s="32" t="str">
        <f t="shared" si="4"/>
        <v>insert into ins_premium_det (premium_rcv_code,assorted_code, rec_amount,premium_rcv_detail_code,remaining_amt, payrec, mode_code,coinsurance_code,class_cd,it_remarks) values</v>
      </c>
      <c r="G96" s="33" t="str">
        <f t="shared" si="6"/>
        <v>('23May250004','040000183986','8105',(select max(to_number(i.premium_rcv_detail_code))+1
from ins_premium_det i),'8105','8105','09', '11000003','00','Request by Mr. reheel malik 23-may-2025');</v>
      </c>
      <c r="H96" s="34" t="str">
        <f t="shared" si="7"/>
        <v>insert into ins_premium_det (premium_rcv_code,assorted_code, rec_amount,premium_rcv_detail_code,remaining_amt, payrec, mode_code,coinsurance_code,class_cd,it_remarks) values('23May250004','040000183986','8105',(select max(to_number(i.premium_rcv_detail_code))+1
from ins_premium_det i),'8105','8105','09', '11000003','00','Request by Mr. reheel malik 23-may-2025');</v>
      </c>
    </row>
    <row r="97" spans="1:8" ht="75" x14ac:dyDescent="0.25">
      <c r="A97" s="22" t="s">
        <v>161</v>
      </c>
      <c r="B97" s="30" t="str">
        <f>VLOOKUP(A97,policy!B:C,2,0)</f>
        <v>040000184260</v>
      </c>
      <c r="C97" s="22">
        <v>8105</v>
      </c>
      <c r="D97" s="31">
        <f t="shared" si="5"/>
        <v>8105</v>
      </c>
      <c r="E97" s="29" t="s">
        <v>1280</v>
      </c>
      <c r="F97" s="32" t="str">
        <f t="shared" si="4"/>
        <v>insert into ins_premium_det (premium_rcv_code,assorted_code, rec_amount,premium_rcv_detail_code,remaining_amt, payrec, mode_code,coinsurance_code,class_cd,it_remarks) values</v>
      </c>
      <c r="G97" s="33" t="str">
        <f t="shared" si="6"/>
        <v>('23May250004','040000184260','8105',(select max(to_number(i.premium_rcv_detail_code))+1
from ins_premium_det i),'8105','8105','09', '11000003','00','Request by Mr. reheel malik 23-may-2025');</v>
      </c>
      <c r="H97" s="34" t="str">
        <f t="shared" si="7"/>
        <v>insert into ins_premium_det (premium_rcv_code,assorted_code, rec_amount,premium_rcv_detail_code,remaining_amt, payrec, mode_code,coinsurance_code,class_cd,it_remarks) values('23May250004','040000184260','8105',(select max(to_number(i.premium_rcv_detail_code))+1
from ins_premium_det i),'8105','8105','09', '11000003','00','Request by Mr. reheel malik 23-may-2025');</v>
      </c>
    </row>
    <row r="98" spans="1:8" ht="75" x14ac:dyDescent="0.25">
      <c r="A98" s="22" t="s">
        <v>162</v>
      </c>
      <c r="B98" s="30" t="str">
        <f>VLOOKUP(A98,policy!B:C,2,0)</f>
        <v>040000184553</v>
      </c>
      <c r="C98" s="22">
        <v>8105</v>
      </c>
      <c r="D98" s="31">
        <f t="shared" si="5"/>
        <v>8105</v>
      </c>
      <c r="E98" s="29" t="s">
        <v>1280</v>
      </c>
      <c r="F98" s="32" t="str">
        <f t="shared" si="4"/>
        <v>insert into ins_premium_det (premium_rcv_code,assorted_code, rec_amount,premium_rcv_detail_code,remaining_amt, payrec, mode_code,coinsurance_code,class_cd,it_remarks) values</v>
      </c>
      <c r="G98" s="33" t="str">
        <f t="shared" si="6"/>
        <v>('23May250004','040000184553','8105',(select max(to_number(i.premium_rcv_detail_code))+1
from ins_premium_det i),'8105','8105','09', '11000003','00','Request by Mr. reheel malik 23-may-2025');</v>
      </c>
      <c r="H98" s="34" t="str">
        <f t="shared" si="7"/>
        <v>insert into ins_premium_det (premium_rcv_code,assorted_code, rec_amount,premium_rcv_detail_code,remaining_amt, payrec, mode_code,coinsurance_code,class_cd,it_remarks) values('23May250004','040000184553','8105',(select max(to_number(i.premium_rcv_detail_code))+1
from ins_premium_det i),'8105','8105','09', '11000003','00','Request by Mr. reheel malik 23-may-2025');</v>
      </c>
    </row>
    <row r="99" spans="1:8" ht="75" x14ac:dyDescent="0.25">
      <c r="A99" s="22" t="s">
        <v>163</v>
      </c>
      <c r="B99" s="30" t="str">
        <f>VLOOKUP(A99,policy!B:C,2,0)</f>
        <v>040000184559</v>
      </c>
      <c r="C99" s="22">
        <v>8105</v>
      </c>
      <c r="D99" s="31">
        <f t="shared" si="5"/>
        <v>8105</v>
      </c>
      <c r="E99" s="29" t="s">
        <v>1280</v>
      </c>
      <c r="F99" s="32" t="str">
        <f t="shared" si="4"/>
        <v>insert into ins_premium_det (premium_rcv_code,assorted_code, rec_amount,premium_rcv_detail_code,remaining_amt, payrec, mode_code,coinsurance_code,class_cd,it_remarks) values</v>
      </c>
      <c r="G99" s="33" t="str">
        <f t="shared" si="6"/>
        <v>('23May250004','040000184559','8105',(select max(to_number(i.premium_rcv_detail_code))+1
from ins_premium_det i),'8105','8105','09', '11000003','00','Request by Mr. reheel malik 23-may-2025');</v>
      </c>
      <c r="H99" s="34" t="str">
        <f t="shared" si="7"/>
        <v>insert into ins_premium_det (premium_rcv_code,assorted_code, rec_amount,premium_rcv_detail_code,remaining_amt, payrec, mode_code,coinsurance_code,class_cd,it_remarks) values('23May250004','040000184559','8105',(select max(to_number(i.premium_rcv_detail_code))+1
from ins_premium_det i),'8105','8105','09', '11000003','00','Request by Mr. reheel malik 23-may-2025');</v>
      </c>
    </row>
    <row r="100" spans="1:8" ht="75" x14ac:dyDescent="0.25">
      <c r="A100" s="22" t="s">
        <v>164</v>
      </c>
      <c r="B100" s="30" t="str">
        <f>VLOOKUP(A100,policy!B:C,2,0)</f>
        <v>040000184584</v>
      </c>
      <c r="C100" s="22">
        <v>8105</v>
      </c>
      <c r="D100" s="31">
        <f t="shared" si="5"/>
        <v>8105</v>
      </c>
      <c r="E100" s="29" t="s">
        <v>1280</v>
      </c>
      <c r="F100" s="32" t="str">
        <f t="shared" si="4"/>
        <v>insert into ins_premium_det (premium_rcv_code,assorted_code, rec_amount,premium_rcv_detail_code,remaining_amt, payrec, mode_code,coinsurance_code,class_cd,it_remarks) values</v>
      </c>
      <c r="G100" s="33" t="str">
        <f t="shared" si="6"/>
        <v>('23May250004','040000184584','8105',(select max(to_number(i.premium_rcv_detail_code))+1
from ins_premium_det i),'8105','8105','09', '11000003','00','Request by Mr. reheel malik 23-may-2025');</v>
      </c>
      <c r="H100" s="34" t="str">
        <f t="shared" si="7"/>
        <v>insert into ins_premium_det (premium_rcv_code,assorted_code, rec_amount,premium_rcv_detail_code,remaining_amt, payrec, mode_code,coinsurance_code,class_cd,it_remarks) values('23May250004','040000184584','8105',(select max(to_number(i.premium_rcv_detail_code))+1
from ins_premium_det i),'8105','8105','09', '11000003','00','Request by Mr. reheel malik 23-may-2025');</v>
      </c>
    </row>
    <row r="101" spans="1:8" ht="75" x14ac:dyDescent="0.25">
      <c r="A101" s="22" t="s">
        <v>165</v>
      </c>
      <c r="B101" s="30" t="str">
        <f>VLOOKUP(A101,policy!B:C,2,0)</f>
        <v>040000184586</v>
      </c>
      <c r="C101" s="22">
        <v>8105</v>
      </c>
      <c r="D101" s="31">
        <f t="shared" si="5"/>
        <v>8105</v>
      </c>
      <c r="E101" s="29" t="s">
        <v>1280</v>
      </c>
      <c r="F101" s="32" t="str">
        <f t="shared" si="4"/>
        <v>insert into ins_premium_det (premium_rcv_code,assorted_code, rec_amount,premium_rcv_detail_code,remaining_amt, payrec, mode_code,coinsurance_code,class_cd,it_remarks) values</v>
      </c>
      <c r="G101" s="33" t="str">
        <f t="shared" si="6"/>
        <v>('23May250004','040000184586','8105',(select max(to_number(i.premium_rcv_detail_code))+1
from ins_premium_det i),'8105','8105','09', '11000003','00','Request by Mr. reheel malik 23-may-2025');</v>
      </c>
      <c r="H101" s="34" t="str">
        <f t="shared" si="7"/>
        <v>insert into ins_premium_det (premium_rcv_code,assorted_code, rec_amount,premium_rcv_detail_code,remaining_amt, payrec, mode_code,coinsurance_code,class_cd,it_remarks) values('23May250004','040000184586','8105',(select max(to_number(i.premium_rcv_detail_code))+1
from ins_premium_det i),'8105','8105','09', '11000003','00','Request by Mr. reheel malik 23-may-2025');</v>
      </c>
    </row>
    <row r="102" spans="1:8" ht="75" x14ac:dyDescent="0.25">
      <c r="A102" s="22" t="s">
        <v>166</v>
      </c>
      <c r="B102" s="30" t="str">
        <f>VLOOKUP(A102,policy!B:C,2,0)</f>
        <v>040000185686</v>
      </c>
      <c r="C102" s="22">
        <v>8105</v>
      </c>
      <c r="D102" s="31">
        <f t="shared" si="5"/>
        <v>8105</v>
      </c>
      <c r="E102" s="29" t="s">
        <v>1280</v>
      </c>
      <c r="F102" s="32" t="str">
        <f t="shared" si="4"/>
        <v>insert into ins_premium_det (premium_rcv_code,assorted_code, rec_amount,premium_rcv_detail_code,remaining_amt, payrec, mode_code,coinsurance_code,class_cd,it_remarks) values</v>
      </c>
      <c r="G102" s="33" t="str">
        <f t="shared" si="6"/>
        <v>('23May250004','040000185686','8105',(select max(to_number(i.premium_rcv_detail_code))+1
from ins_premium_det i),'8105','8105','09', '11000003','00','Request by Mr. reheel malik 23-may-2025');</v>
      </c>
      <c r="H102" s="34" t="str">
        <f t="shared" si="7"/>
        <v>insert into ins_premium_det (premium_rcv_code,assorted_code, rec_amount,premium_rcv_detail_code,remaining_amt, payrec, mode_code,coinsurance_code,class_cd,it_remarks) values('23May250004','040000185686','8105',(select max(to_number(i.premium_rcv_detail_code))+1
from ins_premium_det i),'8105','8105','09', '11000003','00','Request by Mr. reheel malik 23-may-2025');</v>
      </c>
    </row>
    <row r="103" spans="1:8" ht="75" x14ac:dyDescent="0.25">
      <c r="A103" s="22" t="s">
        <v>167</v>
      </c>
      <c r="B103" s="30" t="str">
        <f>VLOOKUP(A103,policy!B:C,2,0)</f>
        <v>040000185983</v>
      </c>
      <c r="C103" s="22">
        <v>8105</v>
      </c>
      <c r="D103" s="31">
        <f t="shared" si="5"/>
        <v>8105</v>
      </c>
      <c r="E103" s="29" t="s">
        <v>1280</v>
      </c>
      <c r="F103" s="32" t="str">
        <f t="shared" si="4"/>
        <v>insert into ins_premium_det (premium_rcv_code,assorted_code, rec_amount,premium_rcv_detail_code,remaining_amt, payrec, mode_code,coinsurance_code,class_cd,it_remarks) values</v>
      </c>
      <c r="G103" s="33" t="str">
        <f t="shared" si="6"/>
        <v>('23May250004','040000185983','8105',(select max(to_number(i.premium_rcv_detail_code))+1
from ins_premium_det i),'8105','8105','09', '11000003','00','Request by Mr. reheel malik 23-may-2025');</v>
      </c>
      <c r="H103" s="34" t="str">
        <f t="shared" si="7"/>
        <v>insert into ins_premium_det (premium_rcv_code,assorted_code, rec_amount,premium_rcv_detail_code,remaining_amt, payrec, mode_code,coinsurance_code,class_cd,it_remarks) values('23May250004','040000185983','8105',(select max(to_number(i.premium_rcv_detail_code))+1
from ins_premium_det i),'8105','8105','09', '11000003','00','Request by Mr. reheel malik 23-may-2025');</v>
      </c>
    </row>
    <row r="104" spans="1:8" ht="75" x14ac:dyDescent="0.25">
      <c r="A104" s="22" t="s">
        <v>168</v>
      </c>
      <c r="B104" s="30" t="str">
        <f>VLOOKUP(A104,policy!B:C,2,0)</f>
        <v>040000186111</v>
      </c>
      <c r="C104" s="22">
        <v>8105</v>
      </c>
      <c r="D104" s="31">
        <f t="shared" si="5"/>
        <v>8105</v>
      </c>
      <c r="E104" s="29" t="s">
        <v>1280</v>
      </c>
      <c r="F104" s="32" t="str">
        <f t="shared" si="4"/>
        <v>insert into ins_premium_det (premium_rcv_code,assorted_code, rec_amount,premium_rcv_detail_code,remaining_amt, payrec, mode_code,coinsurance_code,class_cd,it_remarks) values</v>
      </c>
      <c r="G104" s="33" t="str">
        <f t="shared" si="6"/>
        <v>('23May250004','040000186111','8105',(select max(to_number(i.premium_rcv_detail_code))+1
from ins_premium_det i),'8105','8105','09', '11000003','00','Request by Mr. reheel malik 23-may-2025');</v>
      </c>
      <c r="H104" s="34" t="str">
        <f t="shared" si="7"/>
        <v>insert into ins_premium_det (premium_rcv_code,assorted_code, rec_amount,premium_rcv_detail_code,remaining_amt, payrec, mode_code,coinsurance_code,class_cd,it_remarks) values('23May250004','040000186111','8105',(select max(to_number(i.premium_rcv_detail_code))+1
from ins_premium_det i),'8105','8105','09', '11000003','00','Request by Mr. reheel malik 23-may-2025');</v>
      </c>
    </row>
    <row r="105" spans="1:8" ht="75" x14ac:dyDescent="0.25">
      <c r="A105" s="22" t="s">
        <v>169</v>
      </c>
      <c r="B105" s="30" t="str">
        <f>VLOOKUP(A105,policy!B:C,2,0)</f>
        <v>040000186514</v>
      </c>
      <c r="C105" s="22">
        <v>8105</v>
      </c>
      <c r="D105" s="31">
        <f t="shared" si="5"/>
        <v>8105</v>
      </c>
      <c r="E105" s="29" t="s">
        <v>1280</v>
      </c>
      <c r="F105" s="32" t="str">
        <f t="shared" si="4"/>
        <v>insert into ins_premium_det (premium_rcv_code,assorted_code, rec_amount,premium_rcv_detail_code,remaining_amt, payrec, mode_code,coinsurance_code,class_cd,it_remarks) values</v>
      </c>
      <c r="G105" s="33" t="str">
        <f t="shared" si="6"/>
        <v>('23May250004','040000186514','8105',(select max(to_number(i.premium_rcv_detail_code))+1
from ins_premium_det i),'8105','8105','09', '11000003','00','Request by Mr. reheel malik 23-may-2025');</v>
      </c>
      <c r="H105" s="34" t="str">
        <f t="shared" si="7"/>
        <v>insert into ins_premium_det (premium_rcv_code,assorted_code, rec_amount,premium_rcv_detail_code,remaining_amt, payrec, mode_code,coinsurance_code,class_cd,it_remarks) values('23May250004','040000186514','8105',(select max(to_number(i.premium_rcv_detail_code))+1
from ins_premium_det i),'8105','8105','09', '11000003','00','Request by Mr. reheel malik 23-may-2025');</v>
      </c>
    </row>
    <row r="106" spans="1:8" ht="75" x14ac:dyDescent="0.25">
      <c r="A106" s="22" t="s">
        <v>170</v>
      </c>
      <c r="B106" s="30" t="str">
        <f>VLOOKUP(A106,policy!B:C,2,0)</f>
        <v>040000186619</v>
      </c>
      <c r="C106" s="22">
        <v>8105</v>
      </c>
      <c r="D106" s="31">
        <f t="shared" si="5"/>
        <v>8105</v>
      </c>
      <c r="E106" s="29" t="s">
        <v>1280</v>
      </c>
      <c r="F106" s="32" t="str">
        <f t="shared" si="4"/>
        <v>insert into ins_premium_det (premium_rcv_code,assorted_code, rec_amount,premium_rcv_detail_code,remaining_amt, payrec, mode_code,coinsurance_code,class_cd,it_remarks) values</v>
      </c>
      <c r="G106" s="33" t="str">
        <f t="shared" si="6"/>
        <v>('23May250004','040000186619','8105',(select max(to_number(i.premium_rcv_detail_code))+1
from ins_premium_det i),'8105','8105','09', '11000003','00','Request by Mr. reheel malik 23-may-2025');</v>
      </c>
      <c r="H106" s="34" t="str">
        <f t="shared" si="7"/>
        <v>insert into ins_premium_det (premium_rcv_code,assorted_code, rec_amount,premium_rcv_detail_code,remaining_amt, payrec, mode_code,coinsurance_code,class_cd,it_remarks) values('23May250004','040000186619','8105',(select max(to_number(i.premium_rcv_detail_code))+1
from ins_premium_det i),'8105','8105','09', '11000003','00','Request by Mr. reheel malik 23-may-2025');</v>
      </c>
    </row>
    <row r="107" spans="1:8" ht="75" x14ac:dyDescent="0.25">
      <c r="A107" s="22" t="s">
        <v>171</v>
      </c>
      <c r="B107" s="30" t="str">
        <f>VLOOKUP(A107,policy!B:C,2,0)</f>
        <v>040000187147</v>
      </c>
      <c r="C107" s="22">
        <v>8105</v>
      </c>
      <c r="D107" s="31">
        <f t="shared" si="5"/>
        <v>8105</v>
      </c>
      <c r="E107" s="29" t="s">
        <v>1280</v>
      </c>
      <c r="F107" s="32" t="str">
        <f t="shared" si="4"/>
        <v>insert into ins_premium_det (premium_rcv_code,assorted_code, rec_amount,premium_rcv_detail_code,remaining_amt, payrec, mode_code,coinsurance_code,class_cd,it_remarks) values</v>
      </c>
      <c r="G107" s="33" t="str">
        <f t="shared" si="6"/>
        <v>('23May250004','040000187147','8105',(select max(to_number(i.premium_rcv_detail_code))+1
from ins_premium_det i),'8105','8105','09', '11000003','00','Request by Mr. reheel malik 23-may-2025');</v>
      </c>
      <c r="H107" s="34" t="str">
        <f t="shared" si="7"/>
        <v>insert into ins_premium_det (premium_rcv_code,assorted_code, rec_amount,premium_rcv_detail_code,remaining_amt, payrec, mode_code,coinsurance_code,class_cd,it_remarks) values('23May250004','040000187147','8105',(select max(to_number(i.premium_rcv_detail_code))+1
from ins_premium_det i),'8105','8105','09', '11000003','00','Request by Mr. reheel malik 23-may-2025');</v>
      </c>
    </row>
    <row r="108" spans="1:8" ht="75" x14ac:dyDescent="0.25">
      <c r="A108" s="22" t="s">
        <v>172</v>
      </c>
      <c r="B108" s="30" t="str">
        <f>VLOOKUP(A108,policy!B:C,2,0)</f>
        <v>040000188400</v>
      </c>
      <c r="C108" s="22">
        <v>8105</v>
      </c>
      <c r="D108" s="31">
        <f t="shared" si="5"/>
        <v>8105</v>
      </c>
      <c r="E108" s="29" t="s">
        <v>1280</v>
      </c>
      <c r="F108" s="32" t="str">
        <f t="shared" si="4"/>
        <v>insert into ins_premium_det (premium_rcv_code,assorted_code, rec_amount,premium_rcv_detail_code,remaining_amt, payrec, mode_code,coinsurance_code,class_cd,it_remarks) values</v>
      </c>
      <c r="G108" s="33" t="str">
        <f t="shared" si="6"/>
        <v>('23May250004','040000188400','8105',(select max(to_number(i.premium_rcv_detail_code))+1
from ins_premium_det i),'8105','8105','09', '11000003','00','Request by Mr. reheel malik 23-may-2025');</v>
      </c>
      <c r="H108" s="34" t="str">
        <f t="shared" si="7"/>
        <v>insert into ins_premium_det (premium_rcv_code,assorted_code, rec_amount,premium_rcv_detail_code,remaining_amt, payrec, mode_code,coinsurance_code,class_cd,it_remarks) values('23May250004','040000188400','8105',(select max(to_number(i.premium_rcv_detail_code))+1
from ins_premium_det i),'8105','8105','09', '11000003','00','Request by Mr. reheel malik 23-may-2025');</v>
      </c>
    </row>
    <row r="109" spans="1:8" ht="75" x14ac:dyDescent="0.25">
      <c r="A109" s="22" t="s">
        <v>173</v>
      </c>
      <c r="B109" s="30" t="str">
        <f>VLOOKUP(A109,policy!B:C,2,0)</f>
        <v>040000188667</v>
      </c>
      <c r="C109" s="22">
        <v>8105</v>
      </c>
      <c r="D109" s="31">
        <f t="shared" si="5"/>
        <v>8105</v>
      </c>
      <c r="E109" s="29" t="s">
        <v>1280</v>
      </c>
      <c r="F109" s="32" t="str">
        <f t="shared" si="4"/>
        <v>insert into ins_premium_det (premium_rcv_code,assorted_code, rec_amount,premium_rcv_detail_code,remaining_amt, payrec, mode_code,coinsurance_code,class_cd,it_remarks) values</v>
      </c>
      <c r="G109" s="33" t="str">
        <f t="shared" si="6"/>
        <v>('23May250004','040000188667','8105',(select max(to_number(i.premium_rcv_detail_code))+1
from ins_premium_det i),'8105','8105','09', '11000003','00','Request by Mr. reheel malik 23-may-2025');</v>
      </c>
      <c r="H109" s="34" t="str">
        <f t="shared" si="7"/>
        <v>insert into ins_premium_det (premium_rcv_code,assorted_code, rec_amount,premium_rcv_detail_code,remaining_amt, payrec, mode_code,coinsurance_code,class_cd,it_remarks) values('23May250004','040000188667','8105',(select max(to_number(i.premium_rcv_detail_code))+1
from ins_premium_det i),'8105','8105','09', '11000003','00','Request by Mr. reheel malik 23-may-2025');</v>
      </c>
    </row>
    <row r="110" spans="1:8" ht="75" x14ac:dyDescent="0.25">
      <c r="A110" s="22" t="s">
        <v>174</v>
      </c>
      <c r="B110" s="30" t="str">
        <f>VLOOKUP(A110,policy!B:C,2,0)</f>
        <v>040000189091</v>
      </c>
      <c r="C110" s="22">
        <v>8105</v>
      </c>
      <c r="D110" s="31">
        <f t="shared" si="5"/>
        <v>8105</v>
      </c>
      <c r="E110" s="29" t="s">
        <v>1280</v>
      </c>
      <c r="F110" s="32" t="str">
        <f t="shared" si="4"/>
        <v>insert into ins_premium_det (premium_rcv_code,assorted_code, rec_amount,premium_rcv_detail_code,remaining_amt, payrec, mode_code,coinsurance_code,class_cd,it_remarks) values</v>
      </c>
      <c r="G110" s="33" t="str">
        <f t="shared" si="6"/>
        <v>('23May250004','040000189091','8105',(select max(to_number(i.premium_rcv_detail_code))+1
from ins_premium_det i),'8105','8105','09', '11000003','00','Request by Mr. reheel malik 23-may-2025');</v>
      </c>
      <c r="H110" s="34" t="str">
        <f t="shared" si="7"/>
        <v>insert into ins_premium_det (premium_rcv_code,assorted_code, rec_amount,premium_rcv_detail_code,remaining_amt, payrec, mode_code,coinsurance_code,class_cd,it_remarks) values('23May250004','040000189091','8105',(select max(to_number(i.premium_rcv_detail_code))+1
from ins_premium_det i),'8105','8105','09', '11000003','00','Request by Mr. reheel malik 23-may-2025');</v>
      </c>
    </row>
    <row r="111" spans="1:8" ht="75" x14ac:dyDescent="0.25">
      <c r="A111" s="22" t="s">
        <v>175</v>
      </c>
      <c r="B111" s="30" t="str">
        <f>VLOOKUP(A111,policy!B:C,2,0)</f>
        <v>040000189311</v>
      </c>
      <c r="C111" s="22">
        <v>8105</v>
      </c>
      <c r="D111" s="31">
        <f t="shared" si="5"/>
        <v>8105</v>
      </c>
      <c r="E111" s="29" t="s">
        <v>1280</v>
      </c>
      <c r="F111" s="32" t="str">
        <f t="shared" si="4"/>
        <v>insert into ins_premium_det (premium_rcv_code,assorted_code, rec_amount,premium_rcv_detail_code,remaining_amt, payrec, mode_code,coinsurance_code,class_cd,it_remarks) values</v>
      </c>
      <c r="G111" s="33" t="str">
        <f t="shared" si="6"/>
        <v>('23May250004','040000189311','8105',(select max(to_number(i.premium_rcv_detail_code))+1
from ins_premium_det i),'8105','8105','09', '11000003','00','Request by Mr. reheel malik 23-may-2025');</v>
      </c>
      <c r="H111" s="34" t="str">
        <f t="shared" si="7"/>
        <v>insert into ins_premium_det (premium_rcv_code,assorted_code, rec_amount,premium_rcv_detail_code,remaining_amt, payrec, mode_code,coinsurance_code,class_cd,it_remarks) values('23May250004','040000189311','8105',(select max(to_number(i.premium_rcv_detail_code))+1
from ins_premium_det i),'8105','8105','09', '11000003','00','Request by Mr. reheel malik 23-may-2025');</v>
      </c>
    </row>
    <row r="112" spans="1:8" ht="75" x14ac:dyDescent="0.25">
      <c r="A112" s="22" t="s">
        <v>176</v>
      </c>
      <c r="B112" s="30" t="str">
        <f>VLOOKUP(A112,policy!B:C,2,0)</f>
        <v>040000189795</v>
      </c>
      <c r="C112" s="22">
        <v>8105</v>
      </c>
      <c r="D112" s="31">
        <f t="shared" si="5"/>
        <v>8105</v>
      </c>
      <c r="E112" s="29" t="s">
        <v>1280</v>
      </c>
      <c r="F112" s="32" t="str">
        <f t="shared" si="4"/>
        <v>insert into ins_premium_det (premium_rcv_code,assorted_code, rec_amount,premium_rcv_detail_code,remaining_amt, payrec, mode_code,coinsurance_code,class_cd,it_remarks) values</v>
      </c>
      <c r="G112" s="33" t="str">
        <f t="shared" si="6"/>
        <v>('23May250004','040000189795','8105',(select max(to_number(i.premium_rcv_detail_code))+1
from ins_premium_det i),'8105','8105','09', '11000003','00','Request by Mr. reheel malik 23-may-2025');</v>
      </c>
      <c r="H112" s="34" t="str">
        <f t="shared" si="7"/>
        <v>insert into ins_premium_det (premium_rcv_code,assorted_code, rec_amount,premium_rcv_detail_code,remaining_amt, payrec, mode_code,coinsurance_code,class_cd,it_remarks) values('23May250004','040000189795','8105',(select max(to_number(i.premium_rcv_detail_code))+1
from ins_premium_det i),'8105','8105','09', '11000003','00','Request by Mr. reheel malik 23-may-2025');</v>
      </c>
    </row>
    <row r="113" spans="1:8" ht="75" x14ac:dyDescent="0.25">
      <c r="A113" s="22" t="s">
        <v>177</v>
      </c>
      <c r="B113" s="30" t="str">
        <f>VLOOKUP(A113,policy!B:C,2,0)</f>
        <v>040000190043</v>
      </c>
      <c r="C113" s="22">
        <v>8105</v>
      </c>
      <c r="D113" s="31">
        <f t="shared" si="5"/>
        <v>8105</v>
      </c>
      <c r="E113" s="29" t="s">
        <v>1280</v>
      </c>
      <c r="F113" s="32" t="str">
        <f t="shared" si="4"/>
        <v>insert into ins_premium_det (premium_rcv_code,assorted_code, rec_amount,premium_rcv_detail_code,remaining_amt, payrec, mode_code,coinsurance_code,class_cd,it_remarks) values</v>
      </c>
      <c r="G113" s="33" t="str">
        <f t="shared" si="6"/>
        <v>('23May250004','040000190043','8105',(select max(to_number(i.premium_rcv_detail_code))+1
from ins_premium_det i),'8105','8105','09', '11000003','00','Request by Mr. reheel malik 23-may-2025');</v>
      </c>
      <c r="H113" s="34" t="str">
        <f t="shared" si="7"/>
        <v>insert into ins_premium_det (premium_rcv_code,assorted_code, rec_amount,premium_rcv_detail_code,remaining_amt, payrec, mode_code,coinsurance_code,class_cd,it_remarks) values('23May250004','040000190043','8105',(select max(to_number(i.premium_rcv_detail_code))+1
from ins_premium_det i),'8105','8105','09', '11000003','00','Request by Mr. reheel malik 23-may-2025');</v>
      </c>
    </row>
    <row r="114" spans="1:8" ht="75" x14ac:dyDescent="0.25">
      <c r="A114" s="22" t="s">
        <v>178</v>
      </c>
      <c r="B114" s="30" t="str">
        <f>VLOOKUP(A114,policy!B:C,2,0)</f>
        <v>040000190344</v>
      </c>
      <c r="C114" s="22">
        <v>8105</v>
      </c>
      <c r="D114" s="31">
        <f t="shared" si="5"/>
        <v>8105</v>
      </c>
      <c r="E114" s="29" t="s">
        <v>1280</v>
      </c>
      <c r="F114" s="32" t="str">
        <f t="shared" si="4"/>
        <v>insert into ins_premium_det (premium_rcv_code,assorted_code, rec_amount,premium_rcv_detail_code,remaining_amt, payrec, mode_code,coinsurance_code,class_cd,it_remarks) values</v>
      </c>
      <c r="G114" s="33" t="str">
        <f t="shared" si="6"/>
        <v>('23May250004','040000190344','8105',(select max(to_number(i.premium_rcv_detail_code))+1
from ins_premium_det i),'8105','8105','09', '11000003','00','Request by Mr. reheel malik 23-may-2025');</v>
      </c>
      <c r="H114" s="34" t="str">
        <f t="shared" si="7"/>
        <v>insert into ins_premium_det (premium_rcv_code,assorted_code, rec_amount,premium_rcv_detail_code,remaining_amt, payrec, mode_code,coinsurance_code,class_cd,it_remarks) values('23May250004','040000190344','8105',(select max(to_number(i.premium_rcv_detail_code))+1
from ins_premium_det i),'8105','8105','09', '11000003','00','Request by Mr. reheel malik 23-may-2025');</v>
      </c>
    </row>
    <row r="115" spans="1:8" ht="75" x14ac:dyDescent="0.25">
      <c r="A115" s="22" t="s">
        <v>179</v>
      </c>
      <c r="B115" s="30" t="str">
        <f>VLOOKUP(A115,policy!B:C,2,0)</f>
        <v>040000190346</v>
      </c>
      <c r="C115" s="22">
        <v>8105</v>
      </c>
      <c r="D115" s="31">
        <f t="shared" si="5"/>
        <v>8105</v>
      </c>
      <c r="E115" s="29" t="s">
        <v>1280</v>
      </c>
      <c r="F115" s="32" t="str">
        <f t="shared" si="4"/>
        <v>insert into ins_premium_det (premium_rcv_code,assorted_code, rec_amount,premium_rcv_detail_code,remaining_amt, payrec, mode_code,coinsurance_code,class_cd,it_remarks) values</v>
      </c>
      <c r="G115" s="33" t="str">
        <f t="shared" si="6"/>
        <v>('23May250004','040000190346','8105',(select max(to_number(i.premium_rcv_detail_code))+1
from ins_premium_det i),'8105','8105','09', '11000003','00','Request by Mr. reheel malik 23-may-2025');</v>
      </c>
      <c r="H115" s="34" t="str">
        <f t="shared" si="7"/>
        <v>insert into ins_premium_det (premium_rcv_code,assorted_code, rec_amount,premium_rcv_detail_code,remaining_amt, payrec, mode_code,coinsurance_code,class_cd,it_remarks) values('23May250004','040000190346','8105',(select max(to_number(i.premium_rcv_detail_code))+1
from ins_premium_det i),'8105','8105','09', '11000003','00','Request by Mr. reheel malik 23-may-2025');</v>
      </c>
    </row>
    <row r="116" spans="1:8" ht="75" x14ac:dyDescent="0.25">
      <c r="A116" s="22" t="s">
        <v>180</v>
      </c>
      <c r="B116" s="30" t="str">
        <f>VLOOKUP(A116,policy!B:C,2,0)</f>
        <v>040000190427</v>
      </c>
      <c r="C116" s="22">
        <v>8105</v>
      </c>
      <c r="D116" s="31">
        <f t="shared" si="5"/>
        <v>8105</v>
      </c>
      <c r="E116" s="29" t="s">
        <v>1280</v>
      </c>
      <c r="F116" s="32" t="str">
        <f t="shared" si="4"/>
        <v>insert into ins_premium_det (premium_rcv_code,assorted_code, rec_amount,premium_rcv_detail_code,remaining_amt, payrec, mode_code,coinsurance_code,class_cd,it_remarks) values</v>
      </c>
      <c r="G116" s="33" t="str">
        <f t="shared" si="6"/>
        <v>('23May250004','040000190427','8105',(select max(to_number(i.premium_rcv_detail_code))+1
from ins_premium_det i),'8105','8105','09', '11000003','00','Request by Mr. reheel malik 23-may-2025');</v>
      </c>
      <c r="H116" s="34" t="str">
        <f t="shared" si="7"/>
        <v>insert into ins_premium_det (premium_rcv_code,assorted_code, rec_amount,premium_rcv_detail_code,remaining_amt, payrec, mode_code,coinsurance_code,class_cd,it_remarks) values('23May250004','040000190427','8105',(select max(to_number(i.premium_rcv_detail_code))+1
from ins_premium_det i),'8105','8105','09', '11000003','00','Request by Mr. reheel malik 23-may-2025');</v>
      </c>
    </row>
    <row r="117" spans="1:8" ht="75" x14ac:dyDescent="0.25">
      <c r="A117" s="22" t="s">
        <v>181</v>
      </c>
      <c r="B117" s="30" t="str">
        <f>VLOOKUP(A117,policy!B:C,2,0)</f>
        <v>040000191406</v>
      </c>
      <c r="C117" s="22">
        <v>8105</v>
      </c>
      <c r="D117" s="31">
        <f t="shared" si="5"/>
        <v>8105</v>
      </c>
      <c r="E117" s="29" t="s">
        <v>1280</v>
      </c>
      <c r="F117" s="32" t="str">
        <f t="shared" si="4"/>
        <v>insert into ins_premium_det (premium_rcv_code,assorted_code, rec_amount,premium_rcv_detail_code,remaining_amt, payrec, mode_code,coinsurance_code,class_cd,it_remarks) values</v>
      </c>
      <c r="G117" s="33" t="str">
        <f t="shared" si="6"/>
        <v>('23May250004','040000191406','8105',(select max(to_number(i.premium_rcv_detail_code))+1
from ins_premium_det i),'8105','8105','09', '11000003','00','Request by Mr. reheel malik 23-may-2025');</v>
      </c>
      <c r="H117" s="34" t="str">
        <f t="shared" si="7"/>
        <v>insert into ins_premium_det (premium_rcv_code,assorted_code, rec_amount,premium_rcv_detail_code,remaining_amt, payrec, mode_code,coinsurance_code,class_cd,it_remarks) values('23May250004','040000191406','8105',(select max(to_number(i.premium_rcv_detail_code))+1
from ins_premium_det i),'8105','8105','09', '11000003','00','Request by Mr. reheel malik 23-may-2025');</v>
      </c>
    </row>
    <row r="118" spans="1:8" ht="75" x14ac:dyDescent="0.25">
      <c r="A118" s="22" t="s">
        <v>182</v>
      </c>
      <c r="B118" s="30" t="str">
        <f>VLOOKUP(A118,policy!B:C,2,0)</f>
        <v>040000191804</v>
      </c>
      <c r="C118" s="22">
        <v>8105</v>
      </c>
      <c r="D118" s="31">
        <f t="shared" si="5"/>
        <v>8105</v>
      </c>
      <c r="E118" s="29" t="s">
        <v>1280</v>
      </c>
      <c r="F118" s="32" t="str">
        <f t="shared" si="4"/>
        <v>insert into ins_premium_det (premium_rcv_code,assorted_code, rec_amount,premium_rcv_detail_code,remaining_amt, payrec, mode_code,coinsurance_code,class_cd,it_remarks) values</v>
      </c>
      <c r="G118" s="33" t="str">
        <f t="shared" si="6"/>
        <v>('23May250004','040000191804','8105',(select max(to_number(i.premium_rcv_detail_code))+1
from ins_premium_det i),'8105','8105','09', '11000003','00','Request by Mr. reheel malik 23-may-2025');</v>
      </c>
      <c r="H118" s="34" t="str">
        <f t="shared" si="7"/>
        <v>insert into ins_premium_det (premium_rcv_code,assorted_code, rec_amount,premium_rcv_detail_code,remaining_amt, payrec, mode_code,coinsurance_code,class_cd,it_remarks) values('23May250004','040000191804','8105',(select max(to_number(i.premium_rcv_detail_code))+1
from ins_premium_det i),'8105','8105','09', '11000003','00','Request by Mr. reheel malik 23-may-2025');</v>
      </c>
    </row>
    <row r="119" spans="1:8" ht="75" x14ac:dyDescent="0.25">
      <c r="A119" s="22" t="s">
        <v>183</v>
      </c>
      <c r="B119" s="30" t="str">
        <f>VLOOKUP(A119,policy!B:C,2,0)</f>
        <v>040000192366</v>
      </c>
      <c r="C119" s="22">
        <v>8105</v>
      </c>
      <c r="D119" s="31">
        <f t="shared" si="5"/>
        <v>8105</v>
      </c>
      <c r="E119" s="29" t="s">
        <v>1280</v>
      </c>
      <c r="F119" s="32" t="str">
        <f t="shared" si="4"/>
        <v>insert into ins_premium_det (premium_rcv_code,assorted_code, rec_amount,premium_rcv_detail_code,remaining_amt, payrec, mode_code,coinsurance_code,class_cd,it_remarks) values</v>
      </c>
      <c r="G119" s="33" t="str">
        <f t="shared" si="6"/>
        <v>('23May250004','040000192366','8105',(select max(to_number(i.premium_rcv_detail_code))+1
from ins_premium_det i),'8105','8105','09', '11000003','00','Request by Mr. reheel malik 23-may-2025');</v>
      </c>
      <c r="H119" s="34" t="str">
        <f t="shared" si="7"/>
        <v>insert into ins_premium_det (premium_rcv_code,assorted_code, rec_amount,premium_rcv_detail_code,remaining_amt, payrec, mode_code,coinsurance_code,class_cd,it_remarks) values('23May250004','040000192366','8105',(select max(to_number(i.premium_rcv_detail_code))+1
from ins_premium_det i),'8105','8105','09', '11000003','00','Request by Mr. reheel malik 23-may-2025');</v>
      </c>
    </row>
    <row r="120" spans="1:8" ht="75" x14ac:dyDescent="0.25">
      <c r="A120" s="22" t="s">
        <v>184</v>
      </c>
      <c r="B120" s="30" t="str">
        <f>VLOOKUP(A120,policy!B:C,2,0)</f>
        <v>040000192377</v>
      </c>
      <c r="C120" s="22">
        <v>8105</v>
      </c>
      <c r="D120" s="31">
        <f t="shared" si="5"/>
        <v>8105</v>
      </c>
      <c r="E120" s="29" t="s">
        <v>1280</v>
      </c>
      <c r="F120" s="32" t="str">
        <f t="shared" si="4"/>
        <v>insert into ins_premium_det (premium_rcv_code,assorted_code, rec_amount,premium_rcv_detail_code,remaining_amt, payrec, mode_code,coinsurance_code,class_cd,it_remarks) values</v>
      </c>
      <c r="G120" s="33" t="str">
        <f t="shared" si="6"/>
        <v>('23May250004','040000192377','8105',(select max(to_number(i.premium_rcv_detail_code))+1
from ins_premium_det i),'8105','8105','09', '11000003','00','Request by Mr. reheel malik 23-may-2025');</v>
      </c>
      <c r="H120" s="34" t="str">
        <f t="shared" si="7"/>
        <v>insert into ins_premium_det (premium_rcv_code,assorted_code, rec_amount,premium_rcv_detail_code,remaining_amt, payrec, mode_code,coinsurance_code,class_cd,it_remarks) values('23May250004','040000192377','8105',(select max(to_number(i.premium_rcv_detail_code))+1
from ins_premium_det i),'8105','8105','09', '11000003','00','Request by Mr. reheel malik 23-may-2025');</v>
      </c>
    </row>
    <row r="121" spans="1:8" ht="75" x14ac:dyDescent="0.25">
      <c r="A121" s="22" t="s">
        <v>185</v>
      </c>
      <c r="B121" s="30" t="str">
        <f>VLOOKUP(A121,policy!B:C,2,0)</f>
        <v>040000192586</v>
      </c>
      <c r="C121" s="22">
        <v>8105</v>
      </c>
      <c r="D121" s="31">
        <f t="shared" si="5"/>
        <v>8105</v>
      </c>
      <c r="E121" s="29" t="s">
        <v>1280</v>
      </c>
      <c r="F121" s="32" t="str">
        <f t="shared" si="4"/>
        <v>insert into ins_premium_det (premium_rcv_code,assorted_code, rec_amount,premium_rcv_detail_code,remaining_amt, payrec, mode_code,coinsurance_code,class_cd,it_remarks) values</v>
      </c>
      <c r="G121" s="33" t="str">
        <f t="shared" si="6"/>
        <v>('23May250004','040000192586','8105',(select max(to_number(i.premium_rcv_detail_code))+1
from ins_premium_det i),'8105','8105','09', '11000003','00','Request by Mr. reheel malik 23-may-2025');</v>
      </c>
      <c r="H121" s="34" t="str">
        <f t="shared" si="7"/>
        <v>insert into ins_premium_det (premium_rcv_code,assorted_code, rec_amount,premium_rcv_detail_code,remaining_amt, payrec, mode_code,coinsurance_code,class_cd,it_remarks) values('23May250004','040000192586','8105',(select max(to_number(i.premium_rcv_detail_code))+1
from ins_premium_det i),'8105','8105','09', '11000003','00','Request by Mr. reheel malik 23-may-2025');</v>
      </c>
    </row>
    <row r="122" spans="1:8" ht="75" x14ac:dyDescent="0.25">
      <c r="A122" s="22" t="s">
        <v>186</v>
      </c>
      <c r="B122" s="30" t="str">
        <f>VLOOKUP(A122,policy!B:C,2,0)</f>
        <v>040000192690</v>
      </c>
      <c r="C122" s="22">
        <v>8105</v>
      </c>
      <c r="D122" s="31">
        <f t="shared" si="5"/>
        <v>8105</v>
      </c>
      <c r="E122" s="29" t="s">
        <v>1280</v>
      </c>
      <c r="F122" s="32" t="str">
        <f t="shared" si="4"/>
        <v>insert into ins_premium_det (premium_rcv_code,assorted_code, rec_amount,premium_rcv_detail_code,remaining_amt, payrec, mode_code,coinsurance_code,class_cd,it_remarks) values</v>
      </c>
      <c r="G122" s="33" t="str">
        <f t="shared" si="6"/>
        <v>('23May250004','040000192690','8105',(select max(to_number(i.premium_rcv_detail_code))+1
from ins_premium_det i),'8105','8105','09', '11000003','00','Request by Mr. reheel malik 23-may-2025');</v>
      </c>
      <c r="H122" s="34" t="str">
        <f t="shared" si="7"/>
        <v>insert into ins_premium_det (premium_rcv_code,assorted_code, rec_amount,premium_rcv_detail_code,remaining_amt, payrec, mode_code,coinsurance_code,class_cd,it_remarks) values('23May250004','040000192690','8105',(select max(to_number(i.premium_rcv_detail_code))+1
from ins_premium_det i),'8105','8105','09', '11000003','00','Request by Mr. reheel malik 23-may-2025');</v>
      </c>
    </row>
    <row r="123" spans="1:8" ht="75" x14ac:dyDescent="0.25">
      <c r="A123" s="22" t="s">
        <v>187</v>
      </c>
      <c r="B123" s="30" t="str">
        <f>VLOOKUP(A123,policy!B:C,2,0)</f>
        <v>040000193077</v>
      </c>
      <c r="C123" s="22">
        <v>8105</v>
      </c>
      <c r="D123" s="31">
        <f t="shared" si="5"/>
        <v>8105</v>
      </c>
      <c r="E123" s="29" t="s">
        <v>1280</v>
      </c>
      <c r="F123" s="32" t="str">
        <f t="shared" si="4"/>
        <v>insert into ins_premium_det (premium_rcv_code,assorted_code, rec_amount,premium_rcv_detail_code,remaining_amt, payrec, mode_code,coinsurance_code,class_cd,it_remarks) values</v>
      </c>
      <c r="G123" s="33" t="str">
        <f t="shared" si="6"/>
        <v>('23May250004','040000193077','8105',(select max(to_number(i.premium_rcv_detail_code))+1
from ins_premium_det i),'8105','8105','09', '11000003','00','Request by Mr. reheel malik 23-may-2025');</v>
      </c>
      <c r="H123" s="34" t="str">
        <f t="shared" si="7"/>
        <v>insert into ins_premium_det (premium_rcv_code,assorted_code, rec_amount,premium_rcv_detail_code,remaining_amt, payrec, mode_code,coinsurance_code,class_cd,it_remarks) values('23May250004','040000193077','8105',(select max(to_number(i.premium_rcv_detail_code))+1
from ins_premium_det i),'8105','8105','09', '11000003','00','Request by Mr. reheel malik 23-may-2025');</v>
      </c>
    </row>
    <row r="124" spans="1:8" ht="75" x14ac:dyDescent="0.25">
      <c r="A124" s="22" t="s">
        <v>188</v>
      </c>
      <c r="B124" s="30" t="str">
        <f>VLOOKUP(A124,policy!B:C,2,0)</f>
        <v>040000193124</v>
      </c>
      <c r="C124" s="22">
        <v>8105</v>
      </c>
      <c r="D124" s="31">
        <f t="shared" si="5"/>
        <v>8105</v>
      </c>
      <c r="E124" s="29" t="s">
        <v>1280</v>
      </c>
      <c r="F124" s="32" t="str">
        <f t="shared" si="4"/>
        <v>insert into ins_premium_det (premium_rcv_code,assorted_code, rec_amount,premium_rcv_detail_code,remaining_amt, payrec, mode_code,coinsurance_code,class_cd,it_remarks) values</v>
      </c>
      <c r="G124" s="33" t="str">
        <f t="shared" si="6"/>
        <v>('23May250004','040000193124','8105',(select max(to_number(i.premium_rcv_detail_code))+1
from ins_premium_det i),'8105','8105','09', '11000003','00','Request by Mr. reheel malik 23-may-2025');</v>
      </c>
      <c r="H124" s="34" t="str">
        <f t="shared" si="7"/>
        <v>insert into ins_premium_det (premium_rcv_code,assorted_code, rec_amount,premium_rcv_detail_code,remaining_amt, payrec, mode_code,coinsurance_code,class_cd,it_remarks) values('23May250004','040000193124','8105',(select max(to_number(i.premium_rcv_detail_code))+1
from ins_premium_det i),'8105','8105','09', '11000003','00','Request by Mr. reheel malik 23-may-2025');</v>
      </c>
    </row>
    <row r="125" spans="1:8" ht="75" x14ac:dyDescent="0.25">
      <c r="A125" s="22" t="s">
        <v>189</v>
      </c>
      <c r="B125" s="30" t="str">
        <f>VLOOKUP(A125,policy!B:C,2,0)</f>
        <v>040000193216</v>
      </c>
      <c r="C125" s="22">
        <v>8105</v>
      </c>
      <c r="D125" s="31">
        <f t="shared" si="5"/>
        <v>8105</v>
      </c>
      <c r="E125" s="29" t="s">
        <v>1280</v>
      </c>
      <c r="F125" s="32" t="str">
        <f t="shared" si="4"/>
        <v>insert into ins_premium_det (premium_rcv_code,assorted_code, rec_amount,premium_rcv_detail_code,remaining_amt, payrec, mode_code,coinsurance_code,class_cd,it_remarks) values</v>
      </c>
      <c r="G125" s="33" t="str">
        <f t="shared" si="6"/>
        <v>('23May250004','040000193216','8105',(select max(to_number(i.premium_rcv_detail_code))+1
from ins_premium_det i),'8105','8105','09', '11000003','00','Request by Mr. reheel malik 23-may-2025');</v>
      </c>
      <c r="H125" s="34" t="str">
        <f t="shared" si="7"/>
        <v>insert into ins_premium_det (premium_rcv_code,assorted_code, rec_amount,premium_rcv_detail_code,remaining_amt, payrec, mode_code,coinsurance_code,class_cd,it_remarks) values('23May250004','040000193216','8105',(select max(to_number(i.premium_rcv_detail_code))+1
from ins_premium_det i),'8105','8105','09', '11000003','00','Request by Mr. reheel malik 23-may-2025');</v>
      </c>
    </row>
    <row r="126" spans="1:8" ht="75" x14ac:dyDescent="0.25">
      <c r="A126" s="22" t="s">
        <v>190</v>
      </c>
      <c r="B126" s="30" t="str">
        <f>VLOOKUP(A126,policy!B:C,2,0)</f>
        <v>040000193526</v>
      </c>
      <c r="C126" s="22">
        <v>8105</v>
      </c>
      <c r="D126" s="31">
        <f t="shared" si="5"/>
        <v>8105</v>
      </c>
      <c r="E126" s="29" t="s">
        <v>1280</v>
      </c>
      <c r="F126" s="32" t="str">
        <f t="shared" si="4"/>
        <v>insert into ins_premium_det (premium_rcv_code,assorted_code, rec_amount,premium_rcv_detail_code,remaining_amt, payrec, mode_code,coinsurance_code,class_cd,it_remarks) values</v>
      </c>
      <c r="G126" s="33" t="str">
        <f t="shared" si="6"/>
        <v>('23May250004','040000193526','8105',(select max(to_number(i.premium_rcv_detail_code))+1
from ins_premium_det i),'8105','8105','09', '11000003','00','Request by Mr. reheel malik 23-may-2025');</v>
      </c>
      <c r="H126" s="34" t="str">
        <f t="shared" si="7"/>
        <v>insert into ins_premium_det (premium_rcv_code,assorted_code, rec_amount,premium_rcv_detail_code,remaining_amt, payrec, mode_code,coinsurance_code,class_cd,it_remarks) values('23May250004','040000193526','8105',(select max(to_number(i.premium_rcv_detail_code))+1
from ins_premium_det i),'8105','8105','09', '11000003','00','Request by Mr. reheel malik 23-may-2025');</v>
      </c>
    </row>
    <row r="127" spans="1:8" ht="75" x14ac:dyDescent="0.25">
      <c r="A127" s="22" t="s">
        <v>191</v>
      </c>
      <c r="B127" s="30" t="str">
        <f>VLOOKUP(A127,policy!B:C,2,0)</f>
        <v>040000193913</v>
      </c>
      <c r="C127" s="22">
        <v>8105</v>
      </c>
      <c r="D127" s="31">
        <f t="shared" si="5"/>
        <v>8105</v>
      </c>
      <c r="E127" s="29" t="s">
        <v>1280</v>
      </c>
      <c r="F127" s="32" t="str">
        <f t="shared" si="4"/>
        <v>insert into ins_premium_det (premium_rcv_code,assorted_code, rec_amount,premium_rcv_detail_code,remaining_amt, payrec, mode_code,coinsurance_code,class_cd,it_remarks) values</v>
      </c>
      <c r="G127" s="33" t="str">
        <f t="shared" si="6"/>
        <v>('23May250004','040000193913','8105',(select max(to_number(i.premium_rcv_detail_code))+1
from ins_premium_det i),'8105','8105','09', '11000003','00','Request by Mr. reheel malik 23-may-2025');</v>
      </c>
      <c r="H127" s="34" t="str">
        <f t="shared" si="7"/>
        <v>insert into ins_premium_det (premium_rcv_code,assorted_code, rec_amount,premium_rcv_detail_code,remaining_amt, payrec, mode_code,coinsurance_code,class_cd,it_remarks) values('23May250004','040000193913','8105',(select max(to_number(i.premium_rcv_detail_code))+1
from ins_premium_det i),'8105','8105','09', '11000003','00','Request by Mr. reheel malik 23-may-2025');</v>
      </c>
    </row>
    <row r="128" spans="1:8" ht="75" x14ac:dyDescent="0.25">
      <c r="A128" s="22" t="s">
        <v>192</v>
      </c>
      <c r="B128" s="30" t="str">
        <f>VLOOKUP(A128,policy!B:C,2,0)</f>
        <v>040000194036</v>
      </c>
      <c r="C128" s="22">
        <v>8105</v>
      </c>
      <c r="D128" s="31">
        <f t="shared" si="5"/>
        <v>8105</v>
      </c>
      <c r="E128" s="29" t="s">
        <v>1280</v>
      </c>
      <c r="F128" s="32" t="str">
        <f t="shared" si="4"/>
        <v>insert into ins_premium_det (premium_rcv_code,assorted_code, rec_amount,premium_rcv_detail_code,remaining_amt, payrec, mode_code,coinsurance_code,class_cd,it_remarks) values</v>
      </c>
      <c r="G128" s="33" t="str">
        <f t="shared" si="6"/>
        <v>('23May250004','040000194036','8105',(select max(to_number(i.premium_rcv_detail_code))+1
from ins_premium_det i),'8105','8105','09', '11000003','00','Request by Mr. reheel malik 23-may-2025');</v>
      </c>
      <c r="H128" s="34" t="str">
        <f t="shared" si="7"/>
        <v>insert into ins_premium_det (premium_rcv_code,assorted_code, rec_amount,premium_rcv_detail_code,remaining_amt, payrec, mode_code,coinsurance_code,class_cd,it_remarks) values('23May250004','040000194036','8105',(select max(to_number(i.premium_rcv_detail_code))+1
from ins_premium_det i),'8105','8105','09', '11000003','00','Request by Mr. reheel malik 23-may-2025');</v>
      </c>
    </row>
    <row r="129" spans="1:8" ht="75" x14ac:dyDescent="0.25">
      <c r="A129" s="22" t="s">
        <v>193</v>
      </c>
      <c r="B129" s="30" t="str">
        <f>VLOOKUP(A129,policy!B:C,2,0)</f>
        <v>040000194516</v>
      </c>
      <c r="C129" s="22">
        <v>8105</v>
      </c>
      <c r="D129" s="31">
        <f t="shared" si="5"/>
        <v>8105</v>
      </c>
      <c r="E129" s="29" t="s">
        <v>1280</v>
      </c>
      <c r="F129" s="32" t="str">
        <f t="shared" si="4"/>
        <v>insert into ins_premium_det (premium_rcv_code,assorted_code, rec_amount,premium_rcv_detail_code,remaining_amt, payrec, mode_code,coinsurance_code,class_cd,it_remarks) values</v>
      </c>
      <c r="G129" s="33" t="str">
        <f t="shared" si="6"/>
        <v>('23May250004','040000194516','8105',(select max(to_number(i.premium_rcv_detail_code))+1
from ins_premium_det i),'8105','8105','09', '11000003','00','Request by Mr. reheel malik 23-may-2025');</v>
      </c>
      <c r="H129" s="34" t="str">
        <f t="shared" si="7"/>
        <v>insert into ins_premium_det (premium_rcv_code,assorted_code, rec_amount,premium_rcv_detail_code,remaining_amt, payrec, mode_code,coinsurance_code,class_cd,it_remarks) values('23May250004','040000194516','8105',(select max(to_number(i.premium_rcv_detail_code))+1
from ins_premium_det i),'8105','8105','09', '11000003','00','Request by Mr. reheel malik 23-may-2025');</v>
      </c>
    </row>
    <row r="130" spans="1:8" ht="75" x14ac:dyDescent="0.25">
      <c r="A130" s="22" t="s">
        <v>194</v>
      </c>
      <c r="B130" s="30" t="str">
        <f>VLOOKUP(A130,policy!B:C,2,0)</f>
        <v>040000194701</v>
      </c>
      <c r="C130" s="22">
        <v>8105</v>
      </c>
      <c r="D130" s="31">
        <f t="shared" si="5"/>
        <v>8105</v>
      </c>
      <c r="E130" s="29" t="s">
        <v>1280</v>
      </c>
      <c r="F130" s="32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33" t="str">
        <f t="shared" si="6"/>
        <v>('23May250004','040000194701','8105',(select max(to_number(i.premium_rcv_detail_code))+1
from ins_premium_det i),'8105','8105','09', '11000003','00','Request by Mr. reheel malik 23-may-2025');</v>
      </c>
      <c r="H130" s="34" t="str">
        <f t="shared" si="7"/>
        <v>insert into ins_premium_det (premium_rcv_code,assorted_code, rec_amount,premium_rcv_detail_code,remaining_amt, payrec, mode_code,coinsurance_code,class_cd,it_remarks) values('23May250004','040000194701','8105',(select max(to_number(i.premium_rcv_detail_code))+1
from ins_premium_det i),'8105','8105','09', '11000003','00','Request by Mr. reheel malik 23-may-2025');</v>
      </c>
    </row>
    <row r="131" spans="1:8" ht="75" x14ac:dyDescent="0.25">
      <c r="A131" s="22" t="s">
        <v>195</v>
      </c>
      <c r="B131" s="30" t="str">
        <f>VLOOKUP(A131,policy!B:C,2,0)</f>
        <v>040000195318</v>
      </c>
      <c r="C131" s="22">
        <v>8105</v>
      </c>
      <c r="D131" s="31">
        <f t="shared" ref="D131:D194" si="9">ROUND(C131,0)</f>
        <v>8105</v>
      </c>
      <c r="E131" s="29" t="s">
        <v>1280</v>
      </c>
      <c r="F131" s="32" t="str">
        <f t="shared" si="8"/>
        <v>insert into ins_premium_det (premium_rcv_code,assorted_code, rec_amount,premium_rcv_detail_code,remaining_amt, payrec, mode_code,coinsurance_code,class_cd,it_remarks) values</v>
      </c>
      <c r="G131" s="33" t="str">
        <f t="shared" ref="G131:G194" si="10">"('"&amp;E131&amp;"','"&amp;B131&amp;"','"&amp;C131&amp;"',(select max(to_number(i.premium_rcv_detail_code))+1
from ins_premium_det i),'"&amp;C131&amp;"','"&amp;C131&amp;"','09', '11000003','00','Request by Mr. reheel malik 23-may-2025');"</f>
        <v>('23May250004','040000195318','8105',(select max(to_number(i.premium_rcv_detail_code))+1
from ins_premium_det i),'8105','8105','09', '11000003','00','Request by Mr. reheel malik 23-may-2025');</v>
      </c>
      <c r="H131" s="34" t="str">
        <f t="shared" ref="H131:H194" si="11">F131&amp;G131</f>
        <v>insert into ins_premium_det (premium_rcv_code,assorted_code, rec_amount,premium_rcv_detail_code,remaining_amt, payrec, mode_code,coinsurance_code,class_cd,it_remarks) values('23May250004','040000195318','8105',(select max(to_number(i.premium_rcv_detail_code))+1
from ins_premium_det i),'8105','8105','09', '11000003','00','Request by Mr. reheel malik 23-may-2025');</v>
      </c>
    </row>
    <row r="132" spans="1:8" ht="75" x14ac:dyDescent="0.25">
      <c r="A132" s="22" t="s">
        <v>196</v>
      </c>
      <c r="B132" s="30" t="str">
        <f>VLOOKUP(A132,policy!B:C,2,0)</f>
        <v>040000195364</v>
      </c>
      <c r="C132" s="22">
        <v>8105</v>
      </c>
      <c r="D132" s="31">
        <f t="shared" si="9"/>
        <v>8105</v>
      </c>
      <c r="E132" s="29" t="s">
        <v>1280</v>
      </c>
      <c r="F132" s="32" t="str">
        <f t="shared" si="8"/>
        <v>insert into ins_premium_det (premium_rcv_code,assorted_code, rec_amount,premium_rcv_detail_code,remaining_amt, payrec, mode_code,coinsurance_code,class_cd,it_remarks) values</v>
      </c>
      <c r="G132" s="33" t="str">
        <f t="shared" si="10"/>
        <v>('23May250004','040000195364','8105',(select max(to_number(i.premium_rcv_detail_code))+1
from ins_premium_det i),'8105','8105','09', '11000003','00','Request by Mr. reheel malik 23-may-2025');</v>
      </c>
      <c r="H132" s="34" t="str">
        <f t="shared" si="11"/>
        <v>insert into ins_premium_det (premium_rcv_code,assorted_code, rec_amount,premium_rcv_detail_code,remaining_amt, payrec, mode_code,coinsurance_code,class_cd,it_remarks) values('23May250004','040000195364','8105',(select max(to_number(i.premium_rcv_detail_code))+1
from ins_premium_det i),'8105','8105','09', '11000003','00','Request by Mr. reheel malik 23-may-2025');</v>
      </c>
    </row>
    <row r="133" spans="1:8" ht="75" x14ac:dyDescent="0.25">
      <c r="A133" s="22" t="s">
        <v>197</v>
      </c>
      <c r="B133" s="30" t="str">
        <f>VLOOKUP(A133,policy!B:C,2,0)</f>
        <v>040000195390</v>
      </c>
      <c r="C133" s="22">
        <v>8105</v>
      </c>
      <c r="D133" s="31">
        <f t="shared" si="9"/>
        <v>8105</v>
      </c>
      <c r="E133" s="29" t="s">
        <v>1280</v>
      </c>
      <c r="F133" s="32" t="str">
        <f t="shared" si="8"/>
        <v>insert into ins_premium_det (premium_rcv_code,assorted_code, rec_amount,premium_rcv_detail_code,remaining_amt, payrec, mode_code,coinsurance_code,class_cd,it_remarks) values</v>
      </c>
      <c r="G133" s="33" t="str">
        <f t="shared" si="10"/>
        <v>('23May250004','040000195390','8105',(select max(to_number(i.premium_rcv_detail_code))+1
from ins_premium_det i),'8105','8105','09', '11000003','00','Request by Mr. reheel malik 23-may-2025');</v>
      </c>
      <c r="H133" s="34" t="str">
        <f t="shared" si="11"/>
        <v>insert into ins_premium_det (premium_rcv_code,assorted_code, rec_amount,premium_rcv_detail_code,remaining_amt, payrec, mode_code,coinsurance_code,class_cd,it_remarks) values('23May250004','040000195390','8105',(select max(to_number(i.premium_rcv_detail_code))+1
from ins_premium_det i),'8105','8105','09', '11000003','00','Request by Mr. reheel malik 23-may-2025');</v>
      </c>
    </row>
    <row r="134" spans="1:8" ht="75" x14ac:dyDescent="0.25">
      <c r="A134" s="22" t="s">
        <v>198</v>
      </c>
      <c r="B134" s="30" t="str">
        <f>VLOOKUP(A134,policy!B:C,2,0)</f>
        <v>040000196062</v>
      </c>
      <c r="C134" s="22">
        <v>8105</v>
      </c>
      <c r="D134" s="31">
        <f t="shared" si="9"/>
        <v>8105</v>
      </c>
      <c r="E134" s="29" t="s">
        <v>1280</v>
      </c>
      <c r="F134" s="32" t="str">
        <f t="shared" si="8"/>
        <v>insert into ins_premium_det (premium_rcv_code,assorted_code, rec_amount,premium_rcv_detail_code,remaining_amt, payrec, mode_code,coinsurance_code,class_cd,it_remarks) values</v>
      </c>
      <c r="G134" s="33" t="str">
        <f t="shared" si="10"/>
        <v>('23May250004','040000196062','8105',(select max(to_number(i.premium_rcv_detail_code))+1
from ins_premium_det i),'8105','8105','09', '11000003','00','Request by Mr. reheel malik 23-may-2025');</v>
      </c>
      <c r="H134" s="34" t="str">
        <f t="shared" si="11"/>
        <v>insert into ins_premium_det (premium_rcv_code,assorted_code, rec_amount,premium_rcv_detail_code,remaining_amt, payrec, mode_code,coinsurance_code,class_cd,it_remarks) values('23May250004','040000196062','8105',(select max(to_number(i.premium_rcv_detail_code))+1
from ins_premium_det i),'8105','8105','09', '11000003','00','Request by Mr. reheel malik 23-may-2025');</v>
      </c>
    </row>
    <row r="135" spans="1:8" ht="75" x14ac:dyDescent="0.25">
      <c r="A135" s="22" t="s">
        <v>199</v>
      </c>
      <c r="B135" s="30" t="str">
        <f>VLOOKUP(A135,policy!B:C,2,0)</f>
        <v>050000735412</v>
      </c>
      <c r="C135" s="22">
        <v>8105</v>
      </c>
      <c r="D135" s="31">
        <f t="shared" si="9"/>
        <v>8105</v>
      </c>
      <c r="E135" s="29" t="s">
        <v>1280</v>
      </c>
      <c r="F135" s="32" t="str">
        <f t="shared" si="8"/>
        <v>insert into ins_premium_det (premium_rcv_code,assorted_code, rec_amount,premium_rcv_detail_code,remaining_amt, payrec, mode_code,coinsurance_code,class_cd,it_remarks) values</v>
      </c>
      <c r="G135" s="33" t="str">
        <f t="shared" si="10"/>
        <v>('23May250004','050000735412','8105',(select max(to_number(i.premium_rcv_detail_code))+1
from ins_premium_det i),'8105','8105','09', '11000003','00','Request by Mr. reheel malik 23-may-2025');</v>
      </c>
      <c r="H135" s="34" t="str">
        <f t="shared" si="11"/>
        <v>insert into ins_premium_det (premium_rcv_code,assorted_code, rec_amount,premium_rcv_detail_code,remaining_amt, payrec, mode_code,coinsurance_code,class_cd,it_remarks) values('23May250004','050000735412','8105',(select max(to_number(i.premium_rcv_detail_code))+1
from ins_premium_det i),'8105','8105','09', '11000003','00','Request by Mr. reheel malik 23-may-2025');</v>
      </c>
    </row>
    <row r="136" spans="1:8" ht="75" x14ac:dyDescent="0.25">
      <c r="A136" s="22" t="s">
        <v>200</v>
      </c>
      <c r="B136" s="30" t="str">
        <f>VLOOKUP(A136,policy!B:C,2,0)</f>
        <v>050000759941</v>
      </c>
      <c r="C136" s="22">
        <v>8105</v>
      </c>
      <c r="D136" s="31">
        <f t="shared" si="9"/>
        <v>8105</v>
      </c>
      <c r="E136" s="29" t="s">
        <v>1280</v>
      </c>
      <c r="F136" s="32" t="str">
        <f t="shared" si="8"/>
        <v>insert into ins_premium_det (premium_rcv_code,assorted_code, rec_amount,premium_rcv_detail_code,remaining_amt, payrec, mode_code,coinsurance_code,class_cd,it_remarks) values</v>
      </c>
      <c r="G136" s="33" t="str">
        <f t="shared" si="10"/>
        <v>('23May250004','050000759941','8105',(select max(to_number(i.premium_rcv_detail_code))+1
from ins_premium_det i),'8105','8105','09', '11000003','00','Request by Mr. reheel malik 23-may-2025');</v>
      </c>
      <c r="H136" s="34" t="str">
        <f t="shared" si="11"/>
        <v>insert into ins_premium_det (premium_rcv_code,assorted_code, rec_amount,premium_rcv_detail_code,remaining_amt, payrec, mode_code,coinsurance_code,class_cd,it_remarks) values('23May250004','050000759941','8105',(select max(to_number(i.premium_rcv_detail_code))+1
from ins_premium_det i),'8105','8105','09', '11000003','00','Request by Mr. reheel malik 23-may-2025');</v>
      </c>
    </row>
    <row r="137" spans="1:8" ht="75" x14ac:dyDescent="0.25">
      <c r="A137" s="22" t="s">
        <v>201</v>
      </c>
      <c r="B137" s="30" t="str">
        <f>VLOOKUP(A137,policy!B:C,2,0)</f>
        <v>050000834812</v>
      </c>
      <c r="C137" s="22">
        <v>8105</v>
      </c>
      <c r="D137" s="31">
        <f t="shared" si="9"/>
        <v>8105</v>
      </c>
      <c r="E137" s="29" t="s">
        <v>1280</v>
      </c>
      <c r="F137" s="32" t="str">
        <f t="shared" si="8"/>
        <v>insert into ins_premium_det (premium_rcv_code,assorted_code, rec_amount,premium_rcv_detail_code,remaining_amt, payrec, mode_code,coinsurance_code,class_cd,it_remarks) values</v>
      </c>
      <c r="G137" s="33" t="str">
        <f t="shared" si="10"/>
        <v>('23May250004','050000834812','8105',(select max(to_number(i.premium_rcv_detail_code))+1
from ins_premium_det i),'8105','8105','09', '11000003','00','Request by Mr. reheel malik 23-may-2025');</v>
      </c>
      <c r="H137" s="34" t="str">
        <f t="shared" si="11"/>
        <v>insert into ins_premium_det (premium_rcv_code,assorted_code, rec_amount,premium_rcv_detail_code,remaining_amt, payrec, mode_code,coinsurance_code,class_cd,it_remarks) values('23May250004','050000834812','8105',(select max(to_number(i.premium_rcv_detail_code))+1
from ins_premium_det i),'8105','8105','09', '11000003','00','Request by Mr. reheel malik 23-may-2025');</v>
      </c>
    </row>
    <row r="138" spans="1:8" ht="75" x14ac:dyDescent="0.25">
      <c r="A138" s="22" t="s">
        <v>202</v>
      </c>
      <c r="B138" s="30" t="str">
        <f>VLOOKUP(A138,policy!B:C,2,0)</f>
        <v>040000191213</v>
      </c>
      <c r="C138" s="22">
        <v>7540</v>
      </c>
      <c r="D138" s="31">
        <f t="shared" si="9"/>
        <v>7540</v>
      </c>
      <c r="E138" s="29" t="s">
        <v>1280</v>
      </c>
      <c r="F138" s="32" t="str">
        <f t="shared" si="8"/>
        <v>insert into ins_premium_det (premium_rcv_code,assorted_code, rec_amount,premium_rcv_detail_code,remaining_amt, payrec, mode_code,coinsurance_code,class_cd,it_remarks) values</v>
      </c>
      <c r="G138" s="33" t="str">
        <f t="shared" si="10"/>
        <v>('23May250004','040000191213','7540',(select max(to_number(i.premium_rcv_detail_code))+1
from ins_premium_det i),'7540','7540','09', '11000003','00','Request by Mr. reheel malik 23-may-2025');</v>
      </c>
      <c r="H138" s="34" t="str">
        <f t="shared" si="11"/>
        <v>insert into ins_premium_det (premium_rcv_code,assorted_code, rec_amount,premium_rcv_detail_code,remaining_amt, payrec, mode_code,coinsurance_code,class_cd,it_remarks) values('23May250004','040000191213','7540',(select max(to_number(i.premium_rcv_detail_code))+1
from ins_premium_det i),'7540','7540','09', '11000003','00','Request by Mr. reheel malik 23-may-2025');</v>
      </c>
    </row>
    <row r="139" spans="1:8" ht="75" x14ac:dyDescent="0.25">
      <c r="A139" s="22" t="s">
        <v>203</v>
      </c>
      <c r="B139" s="30" t="str">
        <f>VLOOKUP(A139,policy!B:C,2,0)</f>
        <v>050000857488</v>
      </c>
      <c r="C139" s="22">
        <v>7540</v>
      </c>
      <c r="D139" s="31">
        <f t="shared" si="9"/>
        <v>7540</v>
      </c>
      <c r="E139" s="29" t="s">
        <v>1280</v>
      </c>
      <c r="F139" s="32" t="str">
        <f t="shared" si="8"/>
        <v>insert into ins_premium_det (premium_rcv_code,assorted_code, rec_amount,premium_rcv_detail_code,remaining_amt, payrec, mode_code,coinsurance_code,class_cd,it_remarks) values</v>
      </c>
      <c r="G139" s="33" t="str">
        <f t="shared" si="10"/>
        <v>('23May250004','050000857488','7540',(select max(to_number(i.premium_rcv_detail_code))+1
from ins_premium_det i),'7540','7540','09', '11000003','00','Request by Mr. reheel malik 23-may-2025');</v>
      </c>
      <c r="H139" s="34" t="str">
        <f t="shared" si="11"/>
        <v>insert into ins_premium_det (premium_rcv_code,assorted_code, rec_amount,premium_rcv_detail_code,remaining_amt, payrec, mode_code,coinsurance_code,class_cd,it_remarks) values('23May250004','050000857488','7540',(select max(to_number(i.premium_rcv_detail_code))+1
from ins_premium_det i),'7540','7540','09', '11000003','00','Request by Mr. reheel malik 23-may-2025');</v>
      </c>
    </row>
    <row r="140" spans="1:8" ht="75" x14ac:dyDescent="0.25">
      <c r="A140" s="22" t="s">
        <v>204</v>
      </c>
      <c r="B140" s="30" t="str">
        <f>VLOOKUP(A140,policy!B:C,2,0)</f>
        <v>050000857489</v>
      </c>
      <c r="C140" s="22">
        <v>7540</v>
      </c>
      <c r="D140" s="31">
        <f t="shared" si="9"/>
        <v>7540</v>
      </c>
      <c r="E140" s="29" t="s">
        <v>1280</v>
      </c>
      <c r="F140" s="32" t="str">
        <f t="shared" si="8"/>
        <v>insert into ins_premium_det (premium_rcv_code,assorted_code, rec_amount,premium_rcv_detail_code,remaining_amt, payrec, mode_code,coinsurance_code,class_cd,it_remarks) values</v>
      </c>
      <c r="G140" s="33" t="str">
        <f t="shared" si="10"/>
        <v>('23May250004','050000857489','7540',(select max(to_number(i.premium_rcv_detail_code))+1
from ins_premium_det i),'7540','7540','09', '11000003','00','Request by Mr. reheel malik 23-may-2025');</v>
      </c>
      <c r="H140" s="34" t="str">
        <f t="shared" si="11"/>
        <v>insert into ins_premium_det (premium_rcv_code,assorted_code, rec_amount,premium_rcv_detail_code,remaining_amt, payrec, mode_code,coinsurance_code,class_cd,it_remarks) values('23May250004','050000857489','7540',(select max(to_number(i.premium_rcv_detail_code))+1
from ins_premium_det i),'7540','7540','09', '11000003','00','Request by Mr. reheel malik 23-may-2025');</v>
      </c>
    </row>
    <row r="141" spans="1:8" ht="75" x14ac:dyDescent="0.25">
      <c r="A141" s="22" t="s">
        <v>205</v>
      </c>
      <c r="B141" s="30" t="str">
        <f>VLOOKUP(A141,policy!B:C,2,0)</f>
        <v>050000857490</v>
      </c>
      <c r="C141" s="22">
        <v>7540</v>
      </c>
      <c r="D141" s="31">
        <f t="shared" si="9"/>
        <v>7540</v>
      </c>
      <c r="E141" s="29" t="s">
        <v>1280</v>
      </c>
      <c r="F141" s="32" t="str">
        <f t="shared" si="8"/>
        <v>insert into ins_premium_det (premium_rcv_code,assorted_code, rec_amount,premium_rcv_detail_code,remaining_amt, payrec, mode_code,coinsurance_code,class_cd,it_remarks) values</v>
      </c>
      <c r="G141" s="33" t="str">
        <f t="shared" si="10"/>
        <v>('23May250004','050000857490','7540',(select max(to_number(i.premium_rcv_detail_code))+1
from ins_premium_det i),'7540','7540','09', '11000003','00','Request by Mr. reheel malik 23-may-2025');</v>
      </c>
      <c r="H141" s="34" t="str">
        <f t="shared" si="11"/>
        <v>insert into ins_premium_det (premium_rcv_code,assorted_code, rec_amount,premium_rcv_detail_code,remaining_amt, payrec, mode_code,coinsurance_code,class_cd,it_remarks) values('23May250004','050000857490','7540',(select max(to_number(i.premium_rcv_detail_code))+1
from ins_premium_det i),'7540','7540','09', '11000003','00','Request by Mr. reheel malik 23-may-2025');</v>
      </c>
    </row>
    <row r="142" spans="1:8" ht="75" x14ac:dyDescent="0.25">
      <c r="A142" s="22" t="s">
        <v>206</v>
      </c>
      <c r="B142" s="30" t="str">
        <f>VLOOKUP(A142,policy!B:C,2,0)</f>
        <v>040000191305</v>
      </c>
      <c r="C142" s="22">
        <v>7540</v>
      </c>
      <c r="D142" s="31">
        <f t="shared" si="9"/>
        <v>7540</v>
      </c>
      <c r="E142" s="29" t="s">
        <v>1280</v>
      </c>
      <c r="F142" s="32" t="str">
        <f t="shared" si="8"/>
        <v>insert into ins_premium_det (premium_rcv_code,assorted_code, rec_amount,premium_rcv_detail_code,remaining_amt, payrec, mode_code,coinsurance_code,class_cd,it_remarks) values</v>
      </c>
      <c r="G142" s="33" t="str">
        <f t="shared" si="10"/>
        <v>('23May250004','040000191305','7540',(select max(to_number(i.premium_rcv_detail_code))+1
from ins_premium_det i),'7540','7540','09', '11000003','00','Request by Mr. reheel malik 23-may-2025');</v>
      </c>
      <c r="H142" s="34" t="str">
        <f t="shared" si="11"/>
        <v>insert into ins_premium_det (premium_rcv_code,assorted_code, rec_amount,premium_rcv_detail_code,remaining_amt, payrec, mode_code,coinsurance_code,class_cd,it_remarks) values('23May250004','040000191305','7540',(select max(to_number(i.premium_rcv_detail_code))+1
from ins_premium_det i),'7540','7540','09', '11000003','00','Request by Mr. reheel malik 23-may-2025');</v>
      </c>
    </row>
    <row r="143" spans="1:8" ht="75" x14ac:dyDescent="0.25">
      <c r="A143" s="22" t="s">
        <v>207</v>
      </c>
      <c r="B143" s="30" t="str">
        <f>VLOOKUP(A143,policy!B:C,2,0)</f>
        <v>040000191666</v>
      </c>
      <c r="C143" s="22">
        <v>7540</v>
      </c>
      <c r="D143" s="31">
        <f t="shared" si="9"/>
        <v>7540</v>
      </c>
      <c r="E143" s="29" t="s">
        <v>1280</v>
      </c>
      <c r="F143" s="32" t="str">
        <f t="shared" si="8"/>
        <v>insert into ins_premium_det (premium_rcv_code,assorted_code, rec_amount,premium_rcv_detail_code,remaining_amt, payrec, mode_code,coinsurance_code,class_cd,it_remarks) values</v>
      </c>
      <c r="G143" s="33" t="str">
        <f t="shared" si="10"/>
        <v>('23May250004','040000191666','7540',(select max(to_number(i.premium_rcv_detail_code))+1
from ins_premium_det i),'7540','7540','09', '11000003','00','Request by Mr. reheel malik 23-may-2025');</v>
      </c>
      <c r="H143" s="34" t="str">
        <f t="shared" si="11"/>
        <v>insert into ins_premium_det (premium_rcv_code,assorted_code, rec_amount,premium_rcv_detail_code,remaining_amt, payrec, mode_code,coinsurance_code,class_cd,it_remarks) values('23May250004','040000191666','7540',(select max(to_number(i.premium_rcv_detail_code))+1
from ins_premium_det i),'7540','7540','09', '11000003','00','Request by Mr. reheel malik 23-may-2025');</v>
      </c>
    </row>
    <row r="144" spans="1:8" ht="75" x14ac:dyDescent="0.25">
      <c r="A144" s="22" t="s">
        <v>208</v>
      </c>
      <c r="B144" s="30" t="str">
        <f>VLOOKUP(A144,policy!B:C,2,0)</f>
        <v>040000191890</v>
      </c>
      <c r="C144" s="22">
        <v>7540</v>
      </c>
      <c r="D144" s="31">
        <f t="shared" si="9"/>
        <v>7540</v>
      </c>
      <c r="E144" s="29" t="s">
        <v>1280</v>
      </c>
      <c r="F144" s="32" t="str">
        <f t="shared" si="8"/>
        <v>insert into ins_premium_det (premium_rcv_code,assorted_code, rec_amount,premium_rcv_detail_code,remaining_amt, payrec, mode_code,coinsurance_code,class_cd,it_remarks) values</v>
      </c>
      <c r="G144" s="33" t="str">
        <f t="shared" si="10"/>
        <v>('23May250004','040000191890','7540',(select max(to_number(i.premium_rcv_detail_code))+1
from ins_premium_det i),'7540','7540','09', '11000003','00','Request by Mr. reheel malik 23-may-2025');</v>
      </c>
      <c r="H144" s="34" t="str">
        <f t="shared" si="11"/>
        <v>insert into ins_premium_det (premium_rcv_code,assorted_code, rec_amount,premium_rcv_detail_code,remaining_amt, payrec, mode_code,coinsurance_code,class_cd,it_remarks) values('23May250004','040000191890','7540',(select max(to_number(i.premium_rcv_detail_code))+1
from ins_premium_det i),'7540','7540','09', '11000003','00','Request by Mr. reheel malik 23-may-2025');</v>
      </c>
    </row>
    <row r="145" spans="1:8" ht="75" x14ac:dyDescent="0.25">
      <c r="A145" s="22" t="s">
        <v>209</v>
      </c>
      <c r="B145" s="30" t="str">
        <f>VLOOKUP(A145,policy!B:C,2,0)</f>
        <v>040000192806</v>
      </c>
      <c r="C145" s="22">
        <v>7540</v>
      </c>
      <c r="D145" s="31">
        <f t="shared" si="9"/>
        <v>7540</v>
      </c>
      <c r="E145" s="29" t="s">
        <v>1280</v>
      </c>
      <c r="F145" s="32" t="str">
        <f t="shared" si="8"/>
        <v>insert into ins_premium_det (premium_rcv_code,assorted_code, rec_amount,premium_rcv_detail_code,remaining_amt, payrec, mode_code,coinsurance_code,class_cd,it_remarks) values</v>
      </c>
      <c r="G145" s="33" t="str">
        <f t="shared" si="10"/>
        <v>('23May250004','040000192806','7540',(select max(to_number(i.premium_rcv_detail_code))+1
from ins_premium_det i),'7540','7540','09', '11000003','00','Request by Mr. reheel malik 23-may-2025');</v>
      </c>
      <c r="H145" s="34" t="str">
        <f t="shared" si="11"/>
        <v>insert into ins_premium_det (premium_rcv_code,assorted_code, rec_amount,premium_rcv_detail_code,remaining_amt, payrec, mode_code,coinsurance_code,class_cd,it_remarks) values('23May250004','040000192806','7540',(select max(to_number(i.premium_rcv_detail_code))+1
from ins_premium_det i),'7540','7540','09', '11000003','00','Request by Mr. reheel malik 23-may-2025');</v>
      </c>
    </row>
    <row r="146" spans="1:8" ht="75" x14ac:dyDescent="0.25">
      <c r="A146" s="22" t="s">
        <v>210</v>
      </c>
      <c r="B146" s="30" t="str">
        <f>VLOOKUP(A146,policy!B:C,2,0)</f>
        <v>040000193085</v>
      </c>
      <c r="C146" s="22">
        <v>7540</v>
      </c>
      <c r="D146" s="31">
        <f t="shared" si="9"/>
        <v>7540</v>
      </c>
      <c r="E146" s="29" t="s">
        <v>1280</v>
      </c>
      <c r="F146" s="32" t="str">
        <f t="shared" si="8"/>
        <v>insert into ins_premium_det (premium_rcv_code,assorted_code, rec_amount,premium_rcv_detail_code,remaining_amt, payrec, mode_code,coinsurance_code,class_cd,it_remarks) values</v>
      </c>
      <c r="G146" s="33" t="str">
        <f t="shared" si="10"/>
        <v>('23May250004','040000193085','7540',(select max(to_number(i.premium_rcv_detail_code))+1
from ins_premium_det i),'7540','7540','09', '11000003','00','Request by Mr. reheel malik 23-may-2025');</v>
      </c>
      <c r="H146" s="34" t="str">
        <f t="shared" si="11"/>
        <v>insert into ins_premium_det (premium_rcv_code,assorted_code, rec_amount,premium_rcv_detail_code,remaining_amt, payrec, mode_code,coinsurance_code,class_cd,it_remarks) values('23May250004','040000193085','7540',(select max(to_number(i.premium_rcv_detail_code))+1
from ins_premium_det i),'7540','7540','09', '11000003','00','Request by Mr. reheel malik 23-may-2025');</v>
      </c>
    </row>
    <row r="147" spans="1:8" ht="75" x14ac:dyDescent="0.25">
      <c r="A147" s="22" t="s">
        <v>211</v>
      </c>
      <c r="B147" s="30" t="str">
        <f>VLOOKUP(A147,policy!B:C,2,0)</f>
        <v>040000193276</v>
      </c>
      <c r="C147" s="22">
        <v>7540</v>
      </c>
      <c r="D147" s="31">
        <f t="shared" si="9"/>
        <v>7540</v>
      </c>
      <c r="E147" s="29" t="s">
        <v>1280</v>
      </c>
      <c r="F147" s="32" t="str">
        <f t="shared" si="8"/>
        <v>insert into ins_premium_det (premium_rcv_code,assorted_code, rec_amount,premium_rcv_detail_code,remaining_amt, payrec, mode_code,coinsurance_code,class_cd,it_remarks) values</v>
      </c>
      <c r="G147" s="33" t="str">
        <f t="shared" si="10"/>
        <v>('23May250004','040000193276','7540',(select max(to_number(i.premium_rcv_detail_code))+1
from ins_premium_det i),'7540','7540','09', '11000003','00','Request by Mr. reheel malik 23-may-2025');</v>
      </c>
      <c r="H147" s="34" t="str">
        <f t="shared" si="11"/>
        <v>insert into ins_premium_det (premium_rcv_code,assorted_code, rec_amount,premium_rcv_detail_code,remaining_amt, payrec, mode_code,coinsurance_code,class_cd,it_remarks) values('23May250004','040000193276','7540',(select max(to_number(i.premium_rcv_detail_code))+1
from ins_premium_det i),'7540','7540','09', '11000003','00','Request by Mr. reheel malik 23-may-2025');</v>
      </c>
    </row>
    <row r="148" spans="1:8" ht="75" x14ac:dyDescent="0.25">
      <c r="A148" s="22" t="s">
        <v>212</v>
      </c>
      <c r="B148" s="30" t="str">
        <f>VLOOKUP(A148,policy!B:C,2,0)</f>
        <v>040000193568</v>
      </c>
      <c r="C148" s="22">
        <v>7540</v>
      </c>
      <c r="D148" s="31">
        <f t="shared" si="9"/>
        <v>7540</v>
      </c>
      <c r="E148" s="29" t="s">
        <v>1280</v>
      </c>
      <c r="F148" s="32" t="str">
        <f t="shared" si="8"/>
        <v>insert into ins_premium_det (premium_rcv_code,assorted_code, rec_amount,premium_rcv_detail_code,remaining_amt, payrec, mode_code,coinsurance_code,class_cd,it_remarks) values</v>
      </c>
      <c r="G148" s="33" t="str">
        <f t="shared" si="10"/>
        <v>('23May250004','040000193568','7540',(select max(to_number(i.premium_rcv_detail_code))+1
from ins_premium_det i),'7540','7540','09', '11000003','00','Request by Mr. reheel malik 23-may-2025');</v>
      </c>
      <c r="H148" s="34" t="str">
        <f t="shared" si="11"/>
        <v>insert into ins_premium_det (premium_rcv_code,assorted_code, rec_amount,premium_rcv_detail_code,remaining_amt, payrec, mode_code,coinsurance_code,class_cd,it_remarks) values('23May250004','040000193568','7540',(select max(to_number(i.premium_rcv_detail_code))+1
from ins_premium_det i),'7540','7540','09', '11000003','00','Request by Mr. reheel malik 23-may-2025');</v>
      </c>
    </row>
    <row r="149" spans="1:8" ht="75" x14ac:dyDescent="0.25">
      <c r="A149" s="22" t="s">
        <v>213</v>
      </c>
      <c r="B149" s="30" t="str">
        <f>VLOOKUP(A149,policy!B:C,2,0)</f>
        <v>040000193744</v>
      </c>
      <c r="C149" s="22">
        <v>7540</v>
      </c>
      <c r="D149" s="31">
        <f t="shared" si="9"/>
        <v>7540</v>
      </c>
      <c r="E149" s="29" t="s">
        <v>1280</v>
      </c>
      <c r="F149" s="32" t="str">
        <f t="shared" si="8"/>
        <v>insert into ins_premium_det (premium_rcv_code,assorted_code, rec_amount,premium_rcv_detail_code,remaining_amt, payrec, mode_code,coinsurance_code,class_cd,it_remarks) values</v>
      </c>
      <c r="G149" s="33" t="str">
        <f t="shared" si="10"/>
        <v>('23May250004','040000193744','7540',(select max(to_number(i.premium_rcv_detail_code))+1
from ins_premium_det i),'7540','7540','09', '11000003','00','Request by Mr. reheel malik 23-may-2025');</v>
      </c>
      <c r="H149" s="34" t="str">
        <f t="shared" si="11"/>
        <v>insert into ins_premium_det (premium_rcv_code,assorted_code, rec_amount,premium_rcv_detail_code,remaining_amt, payrec, mode_code,coinsurance_code,class_cd,it_remarks) values('23May250004','040000193744','7540',(select max(to_number(i.premium_rcv_detail_code))+1
from ins_premium_det i),'7540','7540','09', '11000003','00','Request by Mr. reheel malik 23-may-2025');</v>
      </c>
    </row>
    <row r="150" spans="1:8" ht="75" x14ac:dyDescent="0.25">
      <c r="A150" s="22" t="s">
        <v>214</v>
      </c>
      <c r="B150" s="30" t="str">
        <f>VLOOKUP(A150,policy!B:C,2,0)</f>
        <v>040000193906</v>
      </c>
      <c r="C150" s="22">
        <v>7540</v>
      </c>
      <c r="D150" s="31">
        <f t="shared" si="9"/>
        <v>7540</v>
      </c>
      <c r="E150" s="29" t="s">
        <v>1280</v>
      </c>
      <c r="F150" s="32" t="str">
        <f t="shared" si="8"/>
        <v>insert into ins_premium_det (premium_rcv_code,assorted_code, rec_amount,premium_rcv_detail_code,remaining_amt, payrec, mode_code,coinsurance_code,class_cd,it_remarks) values</v>
      </c>
      <c r="G150" s="33" t="str">
        <f t="shared" si="10"/>
        <v>('23May250004','040000193906','7540',(select max(to_number(i.premium_rcv_detail_code))+1
from ins_premium_det i),'7540','7540','09', '11000003','00','Request by Mr. reheel malik 23-may-2025');</v>
      </c>
      <c r="H150" s="34" t="str">
        <f t="shared" si="11"/>
        <v>insert into ins_premium_det (premium_rcv_code,assorted_code, rec_amount,premium_rcv_detail_code,remaining_amt, payrec, mode_code,coinsurance_code,class_cd,it_remarks) values('23May250004','040000193906','7540',(select max(to_number(i.premium_rcv_detail_code))+1
from ins_premium_det i),'7540','7540','09', '11000003','00','Request by Mr. reheel malik 23-may-2025');</v>
      </c>
    </row>
    <row r="151" spans="1:8" ht="75" x14ac:dyDescent="0.25">
      <c r="A151" s="22" t="s">
        <v>215</v>
      </c>
      <c r="B151" s="30" t="str">
        <f>VLOOKUP(A151,policy!B:C,2,0)</f>
        <v>040000194003</v>
      </c>
      <c r="C151" s="22">
        <v>7540</v>
      </c>
      <c r="D151" s="31">
        <f t="shared" si="9"/>
        <v>7540</v>
      </c>
      <c r="E151" s="29" t="s">
        <v>1280</v>
      </c>
      <c r="F151" s="32" t="str">
        <f t="shared" si="8"/>
        <v>insert into ins_premium_det (premium_rcv_code,assorted_code, rec_amount,premium_rcv_detail_code,remaining_amt, payrec, mode_code,coinsurance_code,class_cd,it_remarks) values</v>
      </c>
      <c r="G151" s="33" t="str">
        <f t="shared" si="10"/>
        <v>('23May250004','040000194003','7540',(select max(to_number(i.premium_rcv_detail_code))+1
from ins_premium_det i),'7540','7540','09', '11000003','00','Request by Mr. reheel malik 23-may-2025');</v>
      </c>
      <c r="H151" s="34" t="str">
        <f t="shared" si="11"/>
        <v>insert into ins_premium_det (premium_rcv_code,assorted_code, rec_amount,premium_rcv_detail_code,remaining_amt, payrec, mode_code,coinsurance_code,class_cd,it_remarks) values('23May250004','040000194003','7540',(select max(to_number(i.premium_rcv_detail_code))+1
from ins_premium_det i),'7540','7540','09', '11000003','00','Request by Mr. reheel malik 23-may-2025');</v>
      </c>
    </row>
    <row r="152" spans="1:8" ht="75" x14ac:dyDescent="0.25">
      <c r="A152" s="22" t="s">
        <v>216</v>
      </c>
      <c r="B152" s="30" t="str">
        <f>VLOOKUP(A152,policy!B:C,2,0)</f>
        <v>040000194012</v>
      </c>
      <c r="C152" s="22">
        <v>7540</v>
      </c>
      <c r="D152" s="31">
        <f t="shared" si="9"/>
        <v>7540</v>
      </c>
      <c r="E152" s="29" t="s">
        <v>1280</v>
      </c>
      <c r="F152" s="32" t="str">
        <f t="shared" si="8"/>
        <v>insert into ins_premium_det (premium_rcv_code,assorted_code, rec_amount,premium_rcv_detail_code,remaining_amt, payrec, mode_code,coinsurance_code,class_cd,it_remarks) values</v>
      </c>
      <c r="G152" s="33" t="str">
        <f t="shared" si="10"/>
        <v>('23May250004','040000194012','7540',(select max(to_number(i.premium_rcv_detail_code))+1
from ins_premium_det i),'7540','7540','09', '11000003','00','Request by Mr. reheel malik 23-may-2025');</v>
      </c>
      <c r="H152" s="34" t="str">
        <f t="shared" si="11"/>
        <v>insert into ins_premium_det (premium_rcv_code,assorted_code, rec_amount,premium_rcv_detail_code,remaining_amt, payrec, mode_code,coinsurance_code,class_cd,it_remarks) values('23May250004','040000194012','7540',(select max(to_number(i.premium_rcv_detail_code))+1
from ins_premium_det i),'7540','7540','09', '11000003','00','Request by Mr. reheel malik 23-may-2025');</v>
      </c>
    </row>
    <row r="153" spans="1:8" ht="75" x14ac:dyDescent="0.25">
      <c r="A153" s="22" t="s">
        <v>217</v>
      </c>
      <c r="B153" s="30" t="str">
        <f>VLOOKUP(A153,policy!B:C,2,0)</f>
        <v>040000194089</v>
      </c>
      <c r="C153" s="22">
        <v>7540</v>
      </c>
      <c r="D153" s="31">
        <f t="shared" si="9"/>
        <v>7540</v>
      </c>
      <c r="E153" s="29" t="s">
        <v>1280</v>
      </c>
      <c r="F153" s="32" t="str">
        <f t="shared" si="8"/>
        <v>insert into ins_premium_det (premium_rcv_code,assorted_code, rec_amount,premium_rcv_detail_code,remaining_amt, payrec, mode_code,coinsurance_code,class_cd,it_remarks) values</v>
      </c>
      <c r="G153" s="33" t="str">
        <f t="shared" si="10"/>
        <v>('23May250004','040000194089','7540',(select max(to_number(i.premium_rcv_detail_code))+1
from ins_premium_det i),'7540','7540','09', '11000003','00','Request by Mr. reheel malik 23-may-2025');</v>
      </c>
      <c r="H153" s="34" t="str">
        <f t="shared" si="11"/>
        <v>insert into ins_premium_det (premium_rcv_code,assorted_code, rec_amount,premium_rcv_detail_code,remaining_amt, payrec, mode_code,coinsurance_code,class_cd,it_remarks) values('23May250004','040000194089','7540',(select max(to_number(i.premium_rcv_detail_code))+1
from ins_premium_det i),'7540','7540','09', '11000003','00','Request by Mr. reheel malik 23-may-2025');</v>
      </c>
    </row>
    <row r="154" spans="1:8" ht="75" x14ac:dyDescent="0.25">
      <c r="A154" s="22" t="s">
        <v>218</v>
      </c>
      <c r="B154" s="30" t="str">
        <f>VLOOKUP(A154,policy!B:C,2,0)</f>
        <v>040000194110</v>
      </c>
      <c r="C154" s="22">
        <v>7540</v>
      </c>
      <c r="D154" s="31">
        <f t="shared" si="9"/>
        <v>7540</v>
      </c>
      <c r="E154" s="29" t="s">
        <v>1280</v>
      </c>
      <c r="F154" s="32" t="str">
        <f t="shared" si="8"/>
        <v>insert into ins_premium_det (premium_rcv_code,assorted_code, rec_amount,premium_rcv_detail_code,remaining_amt, payrec, mode_code,coinsurance_code,class_cd,it_remarks) values</v>
      </c>
      <c r="G154" s="33" t="str">
        <f t="shared" si="10"/>
        <v>('23May250004','040000194110','7540',(select max(to_number(i.premium_rcv_detail_code))+1
from ins_premium_det i),'7540','7540','09', '11000003','00','Request by Mr. reheel malik 23-may-2025');</v>
      </c>
      <c r="H154" s="34" t="str">
        <f t="shared" si="11"/>
        <v>insert into ins_premium_det (premium_rcv_code,assorted_code, rec_amount,premium_rcv_detail_code,remaining_amt, payrec, mode_code,coinsurance_code,class_cd,it_remarks) values('23May250004','040000194110','7540',(select max(to_number(i.premium_rcv_detail_code))+1
from ins_premium_det i),'7540','7540','09', '11000003','00','Request by Mr. reheel malik 23-may-2025');</v>
      </c>
    </row>
    <row r="155" spans="1:8" ht="75" x14ac:dyDescent="0.25">
      <c r="A155" s="22" t="s">
        <v>219</v>
      </c>
      <c r="B155" s="30" t="str">
        <f>VLOOKUP(A155,policy!B:C,2,0)</f>
        <v>040000194447</v>
      </c>
      <c r="C155" s="22">
        <v>7540</v>
      </c>
      <c r="D155" s="31">
        <f t="shared" si="9"/>
        <v>7540</v>
      </c>
      <c r="E155" s="29" t="s">
        <v>1280</v>
      </c>
      <c r="F155" s="32" t="str">
        <f t="shared" si="8"/>
        <v>insert into ins_premium_det (premium_rcv_code,assorted_code, rec_amount,premium_rcv_detail_code,remaining_amt, payrec, mode_code,coinsurance_code,class_cd,it_remarks) values</v>
      </c>
      <c r="G155" s="33" t="str">
        <f t="shared" si="10"/>
        <v>('23May250004','040000194447','7540',(select max(to_number(i.premium_rcv_detail_code))+1
from ins_premium_det i),'7540','7540','09', '11000003','00','Request by Mr. reheel malik 23-may-2025');</v>
      </c>
      <c r="H155" s="34" t="str">
        <f t="shared" si="11"/>
        <v>insert into ins_premium_det (premium_rcv_code,assorted_code, rec_amount,premium_rcv_detail_code,remaining_amt, payrec, mode_code,coinsurance_code,class_cd,it_remarks) values('23May250004','040000194447','7540',(select max(to_number(i.premium_rcv_detail_code))+1
from ins_premium_det i),'7540','7540','09', '11000003','00','Request by Mr. reheel malik 23-may-2025');</v>
      </c>
    </row>
    <row r="156" spans="1:8" ht="75" x14ac:dyDescent="0.25">
      <c r="A156" s="22" t="s">
        <v>220</v>
      </c>
      <c r="B156" s="30" t="str">
        <f>VLOOKUP(A156,policy!B:C,2,0)</f>
        <v>040000194459</v>
      </c>
      <c r="C156" s="22">
        <v>7540</v>
      </c>
      <c r="D156" s="31">
        <f t="shared" si="9"/>
        <v>7540</v>
      </c>
      <c r="E156" s="29" t="s">
        <v>1280</v>
      </c>
      <c r="F156" s="32" t="str">
        <f t="shared" si="8"/>
        <v>insert into ins_premium_det (premium_rcv_code,assorted_code, rec_amount,premium_rcv_detail_code,remaining_amt, payrec, mode_code,coinsurance_code,class_cd,it_remarks) values</v>
      </c>
      <c r="G156" s="33" t="str">
        <f t="shared" si="10"/>
        <v>('23May250004','040000194459','7540',(select max(to_number(i.premium_rcv_detail_code))+1
from ins_premium_det i),'7540','7540','09', '11000003','00','Request by Mr. reheel malik 23-may-2025');</v>
      </c>
      <c r="H156" s="34" t="str">
        <f t="shared" si="11"/>
        <v>insert into ins_premium_det (premium_rcv_code,assorted_code, rec_amount,premium_rcv_detail_code,remaining_amt, payrec, mode_code,coinsurance_code,class_cd,it_remarks) values('23May250004','040000194459','7540',(select max(to_number(i.premium_rcv_detail_code))+1
from ins_premium_det i),'7540','7540','09', '11000003','00','Request by Mr. reheel malik 23-may-2025');</v>
      </c>
    </row>
    <row r="157" spans="1:8" ht="75" x14ac:dyDescent="0.25">
      <c r="A157" s="22" t="s">
        <v>221</v>
      </c>
      <c r="B157" s="30" t="str">
        <f>VLOOKUP(A157,policy!B:C,2,0)</f>
        <v>040000194574</v>
      </c>
      <c r="C157" s="22">
        <v>7540</v>
      </c>
      <c r="D157" s="31">
        <f t="shared" si="9"/>
        <v>7540</v>
      </c>
      <c r="E157" s="29" t="s">
        <v>1280</v>
      </c>
      <c r="F157" s="32" t="str">
        <f t="shared" si="8"/>
        <v>insert into ins_premium_det (premium_rcv_code,assorted_code, rec_amount,premium_rcv_detail_code,remaining_amt, payrec, mode_code,coinsurance_code,class_cd,it_remarks) values</v>
      </c>
      <c r="G157" s="33" t="str">
        <f t="shared" si="10"/>
        <v>('23May250004','040000194574','7540',(select max(to_number(i.premium_rcv_detail_code))+1
from ins_premium_det i),'7540','7540','09', '11000003','00','Request by Mr. reheel malik 23-may-2025');</v>
      </c>
      <c r="H157" s="34" t="str">
        <f t="shared" si="11"/>
        <v>insert into ins_premium_det (premium_rcv_code,assorted_code, rec_amount,premium_rcv_detail_code,remaining_amt, payrec, mode_code,coinsurance_code,class_cd,it_remarks) values('23May250004','040000194574','7540',(select max(to_number(i.premium_rcv_detail_code))+1
from ins_premium_det i),'7540','7540','09', '11000003','00','Request by Mr. reheel malik 23-may-2025');</v>
      </c>
    </row>
    <row r="158" spans="1:8" ht="75" x14ac:dyDescent="0.25">
      <c r="A158" s="22" t="s">
        <v>222</v>
      </c>
      <c r="B158" s="30" t="str">
        <f>VLOOKUP(A158,policy!B:C,2,0)</f>
        <v>040000194863</v>
      </c>
      <c r="C158" s="22">
        <v>7540</v>
      </c>
      <c r="D158" s="31">
        <f t="shared" si="9"/>
        <v>7540</v>
      </c>
      <c r="E158" s="29" t="s">
        <v>1280</v>
      </c>
      <c r="F158" s="32" t="str">
        <f t="shared" si="8"/>
        <v>insert into ins_premium_det (premium_rcv_code,assorted_code, rec_amount,premium_rcv_detail_code,remaining_amt, payrec, mode_code,coinsurance_code,class_cd,it_remarks) values</v>
      </c>
      <c r="G158" s="33" t="str">
        <f t="shared" si="10"/>
        <v>('23May250004','040000194863','7540',(select max(to_number(i.premium_rcv_detail_code))+1
from ins_premium_det i),'7540','7540','09', '11000003','00','Request by Mr. reheel malik 23-may-2025');</v>
      </c>
      <c r="H158" s="34" t="str">
        <f t="shared" si="11"/>
        <v>insert into ins_premium_det (premium_rcv_code,assorted_code, rec_amount,premium_rcv_detail_code,remaining_amt, payrec, mode_code,coinsurance_code,class_cd,it_remarks) values('23May250004','040000194863','7540',(select max(to_number(i.premium_rcv_detail_code))+1
from ins_premium_det i),'7540','7540','09', '11000003','00','Request by Mr. reheel malik 23-may-2025');</v>
      </c>
    </row>
    <row r="159" spans="1:8" ht="75" x14ac:dyDescent="0.25">
      <c r="A159" s="22" t="s">
        <v>223</v>
      </c>
      <c r="B159" s="30" t="str">
        <f>VLOOKUP(A159,policy!B:C,2,0)</f>
        <v>040000194964</v>
      </c>
      <c r="C159" s="22">
        <v>7540</v>
      </c>
      <c r="D159" s="31">
        <f t="shared" si="9"/>
        <v>7540</v>
      </c>
      <c r="E159" s="29" t="s">
        <v>1280</v>
      </c>
      <c r="F159" s="32" t="str">
        <f t="shared" si="8"/>
        <v>insert into ins_premium_det (premium_rcv_code,assorted_code, rec_amount,premium_rcv_detail_code,remaining_amt, payrec, mode_code,coinsurance_code,class_cd,it_remarks) values</v>
      </c>
      <c r="G159" s="33" t="str">
        <f t="shared" si="10"/>
        <v>('23May250004','040000194964','7540',(select max(to_number(i.premium_rcv_detail_code))+1
from ins_premium_det i),'7540','7540','09', '11000003','00','Request by Mr. reheel malik 23-may-2025');</v>
      </c>
      <c r="H159" s="34" t="str">
        <f t="shared" si="11"/>
        <v>insert into ins_premium_det (premium_rcv_code,assorted_code, rec_amount,premium_rcv_detail_code,remaining_amt, payrec, mode_code,coinsurance_code,class_cd,it_remarks) values('23May250004','040000194964','7540',(select max(to_number(i.premium_rcv_detail_code))+1
from ins_premium_det i),'7540','7540','09', '11000003','00','Request by Mr. reheel malik 23-may-2025');</v>
      </c>
    </row>
    <row r="160" spans="1:8" ht="75" x14ac:dyDescent="0.25">
      <c r="A160" s="22" t="s">
        <v>224</v>
      </c>
      <c r="B160" s="30" t="str">
        <f>VLOOKUP(A160,policy!B:C,2,0)</f>
        <v>040000195141</v>
      </c>
      <c r="C160" s="22">
        <v>7540</v>
      </c>
      <c r="D160" s="31">
        <f t="shared" si="9"/>
        <v>7540</v>
      </c>
      <c r="E160" s="29" t="s">
        <v>1280</v>
      </c>
      <c r="F160" s="32" t="str">
        <f t="shared" si="8"/>
        <v>insert into ins_premium_det (premium_rcv_code,assorted_code, rec_amount,premium_rcv_detail_code,remaining_amt, payrec, mode_code,coinsurance_code,class_cd,it_remarks) values</v>
      </c>
      <c r="G160" s="33" t="str">
        <f t="shared" si="10"/>
        <v>('23May250004','040000195141','7540',(select max(to_number(i.premium_rcv_detail_code))+1
from ins_premium_det i),'7540','7540','09', '11000003','00','Request by Mr. reheel malik 23-may-2025');</v>
      </c>
      <c r="H160" s="34" t="str">
        <f t="shared" si="11"/>
        <v>insert into ins_premium_det (premium_rcv_code,assorted_code, rec_amount,premium_rcv_detail_code,remaining_amt, payrec, mode_code,coinsurance_code,class_cd,it_remarks) values('23May250004','040000195141','7540',(select max(to_number(i.premium_rcv_detail_code))+1
from ins_premium_det i),'7540','7540','09', '11000003','00','Request by Mr. reheel malik 23-may-2025');</v>
      </c>
    </row>
    <row r="161" spans="1:8" ht="75" x14ac:dyDescent="0.25">
      <c r="A161" s="22" t="s">
        <v>225</v>
      </c>
      <c r="B161" s="30" t="str">
        <f>VLOOKUP(A161,policy!B:C,2,0)</f>
        <v>040000195183</v>
      </c>
      <c r="C161" s="22">
        <v>7540</v>
      </c>
      <c r="D161" s="31">
        <f t="shared" si="9"/>
        <v>7540</v>
      </c>
      <c r="E161" s="29" t="s">
        <v>1280</v>
      </c>
      <c r="F161" s="32" t="str">
        <f t="shared" si="8"/>
        <v>insert into ins_premium_det (premium_rcv_code,assorted_code, rec_amount,premium_rcv_detail_code,remaining_amt, payrec, mode_code,coinsurance_code,class_cd,it_remarks) values</v>
      </c>
      <c r="G161" s="33" t="str">
        <f t="shared" si="10"/>
        <v>('23May250004','040000195183','7540',(select max(to_number(i.premium_rcv_detail_code))+1
from ins_premium_det i),'7540','7540','09', '11000003','00','Request by Mr. reheel malik 23-may-2025');</v>
      </c>
      <c r="H161" s="34" t="str">
        <f t="shared" si="11"/>
        <v>insert into ins_premium_det (premium_rcv_code,assorted_code, rec_amount,premium_rcv_detail_code,remaining_amt, payrec, mode_code,coinsurance_code,class_cd,it_remarks) values('23May250004','040000195183','7540',(select max(to_number(i.premium_rcv_detail_code))+1
from ins_premium_det i),'7540','7540','09', '11000003','00','Request by Mr. reheel malik 23-may-2025');</v>
      </c>
    </row>
    <row r="162" spans="1:8" ht="75" x14ac:dyDescent="0.25">
      <c r="A162" s="22" t="s">
        <v>226</v>
      </c>
      <c r="B162" s="30" t="str">
        <f>VLOOKUP(A162,policy!B:C,2,0)</f>
        <v>040000195285</v>
      </c>
      <c r="C162" s="22">
        <v>7540</v>
      </c>
      <c r="D162" s="31">
        <f t="shared" si="9"/>
        <v>7540</v>
      </c>
      <c r="E162" s="29" t="s">
        <v>1280</v>
      </c>
      <c r="F162" s="32" t="str">
        <f t="shared" si="8"/>
        <v>insert into ins_premium_det (premium_rcv_code,assorted_code, rec_amount,premium_rcv_detail_code,remaining_amt, payrec, mode_code,coinsurance_code,class_cd,it_remarks) values</v>
      </c>
      <c r="G162" s="33" t="str">
        <f t="shared" si="10"/>
        <v>('23May250004','040000195285','7540',(select max(to_number(i.premium_rcv_detail_code))+1
from ins_premium_det i),'7540','7540','09', '11000003','00','Request by Mr. reheel malik 23-may-2025');</v>
      </c>
      <c r="H162" s="34" t="str">
        <f t="shared" si="11"/>
        <v>insert into ins_premium_det (premium_rcv_code,assorted_code, rec_amount,premium_rcv_detail_code,remaining_amt, payrec, mode_code,coinsurance_code,class_cd,it_remarks) values('23May250004','040000195285','7540',(select max(to_number(i.premium_rcv_detail_code))+1
from ins_premium_det i),'7540','7540','09', '11000003','00','Request by Mr. reheel malik 23-may-2025');</v>
      </c>
    </row>
    <row r="163" spans="1:8" ht="75" x14ac:dyDescent="0.25">
      <c r="A163" s="22" t="s">
        <v>227</v>
      </c>
      <c r="B163" s="30" t="str">
        <f>VLOOKUP(A163,policy!B:C,2,0)</f>
        <v>040000195392</v>
      </c>
      <c r="C163" s="22">
        <v>7540</v>
      </c>
      <c r="D163" s="31">
        <f t="shared" si="9"/>
        <v>7540</v>
      </c>
      <c r="E163" s="29" t="s">
        <v>1280</v>
      </c>
      <c r="F163" s="32" t="str">
        <f t="shared" si="8"/>
        <v>insert into ins_premium_det (premium_rcv_code,assorted_code, rec_amount,premium_rcv_detail_code,remaining_amt, payrec, mode_code,coinsurance_code,class_cd,it_remarks) values</v>
      </c>
      <c r="G163" s="33" t="str">
        <f t="shared" si="10"/>
        <v>('23May250004','040000195392','7540',(select max(to_number(i.premium_rcv_detail_code))+1
from ins_premium_det i),'7540','7540','09', '11000003','00','Request by Mr. reheel malik 23-may-2025');</v>
      </c>
      <c r="H163" s="34" t="str">
        <f t="shared" si="11"/>
        <v>insert into ins_premium_det (premium_rcv_code,assorted_code, rec_amount,premium_rcv_detail_code,remaining_amt, payrec, mode_code,coinsurance_code,class_cd,it_remarks) values('23May250004','040000195392','7540',(select max(to_number(i.premium_rcv_detail_code))+1
from ins_premium_det i),'7540','7540','09', '11000003','00','Request by Mr. reheel malik 23-may-2025');</v>
      </c>
    </row>
    <row r="164" spans="1:8" ht="75" x14ac:dyDescent="0.25">
      <c r="A164" s="22" t="s">
        <v>228</v>
      </c>
      <c r="B164" s="30" t="str">
        <f>VLOOKUP(A164,policy!B:C,2,0)</f>
        <v>040000195449</v>
      </c>
      <c r="C164" s="22">
        <v>7540</v>
      </c>
      <c r="D164" s="31">
        <f t="shared" si="9"/>
        <v>7540</v>
      </c>
      <c r="E164" s="29" t="s">
        <v>1280</v>
      </c>
      <c r="F164" s="32" t="str">
        <f t="shared" si="8"/>
        <v>insert into ins_premium_det (premium_rcv_code,assorted_code, rec_amount,premium_rcv_detail_code,remaining_amt, payrec, mode_code,coinsurance_code,class_cd,it_remarks) values</v>
      </c>
      <c r="G164" s="33" t="str">
        <f t="shared" si="10"/>
        <v>('23May250004','040000195449','7540',(select max(to_number(i.premium_rcv_detail_code))+1
from ins_premium_det i),'7540','7540','09', '11000003','00','Request by Mr. reheel malik 23-may-2025');</v>
      </c>
      <c r="H164" s="34" t="str">
        <f t="shared" si="11"/>
        <v>insert into ins_premium_det (premium_rcv_code,assorted_code, rec_amount,premium_rcv_detail_code,remaining_amt, payrec, mode_code,coinsurance_code,class_cd,it_remarks) values('23May250004','040000195449','7540',(select max(to_number(i.premium_rcv_detail_code))+1
from ins_premium_det i),'7540','7540','09', '11000003','00','Request by Mr. reheel malik 23-may-2025');</v>
      </c>
    </row>
    <row r="165" spans="1:8" ht="75" x14ac:dyDescent="0.25">
      <c r="A165" s="22" t="s">
        <v>229</v>
      </c>
      <c r="B165" s="30" t="str">
        <f>VLOOKUP(A165,policy!B:C,2,0)</f>
        <v>040000195501</v>
      </c>
      <c r="C165" s="22">
        <v>7540</v>
      </c>
      <c r="D165" s="31">
        <f t="shared" si="9"/>
        <v>7540</v>
      </c>
      <c r="E165" s="29" t="s">
        <v>1280</v>
      </c>
      <c r="F165" s="32" t="str">
        <f t="shared" si="8"/>
        <v>insert into ins_premium_det (premium_rcv_code,assorted_code, rec_amount,premium_rcv_detail_code,remaining_amt, payrec, mode_code,coinsurance_code,class_cd,it_remarks) values</v>
      </c>
      <c r="G165" s="33" t="str">
        <f t="shared" si="10"/>
        <v>('23May250004','040000195501','7540',(select max(to_number(i.premium_rcv_detail_code))+1
from ins_premium_det i),'7540','7540','09', '11000003','00','Request by Mr. reheel malik 23-may-2025');</v>
      </c>
      <c r="H165" s="34" t="str">
        <f t="shared" si="11"/>
        <v>insert into ins_premium_det (premium_rcv_code,assorted_code, rec_amount,premium_rcv_detail_code,remaining_amt, payrec, mode_code,coinsurance_code,class_cd,it_remarks) values('23May250004','040000195501','7540',(select max(to_number(i.premium_rcv_detail_code))+1
from ins_premium_det i),'7540','7540','09', '11000003','00','Request by Mr. reheel malik 23-may-2025');</v>
      </c>
    </row>
    <row r="166" spans="1:8" ht="75" x14ac:dyDescent="0.25">
      <c r="A166" s="22" t="s">
        <v>230</v>
      </c>
      <c r="B166" s="30" t="str">
        <f>VLOOKUP(A166,policy!B:C,2,0)</f>
        <v>040000195562</v>
      </c>
      <c r="C166" s="22">
        <v>7540</v>
      </c>
      <c r="D166" s="31">
        <f t="shared" si="9"/>
        <v>7540</v>
      </c>
      <c r="E166" s="29" t="s">
        <v>1280</v>
      </c>
      <c r="F166" s="32" t="str">
        <f t="shared" si="8"/>
        <v>insert into ins_premium_det (premium_rcv_code,assorted_code, rec_amount,premium_rcv_detail_code,remaining_amt, payrec, mode_code,coinsurance_code,class_cd,it_remarks) values</v>
      </c>
      <c r="G166" s="33" t="str">
        <f t="shared" si="10"/>
        <v>('23May250004','040000195562','7540',(select max(to_number(i.premium_rcv_detail_code))+1
from ins_premium_det i),'7540','7540','09', '11000003','00','Request by Mr. reheel malik 23-may-2025');</v>
      </c>
      <c r="H166" s="34" t="str">
        <f t="shared" si="11"/>
        <v>insert into ins_premium_det (premium_rcv_code,assorted_code, rec_amount,premium_rcv_detail_code,remaining_amt, payrec, mode_code,coinsurance_code,class_cd,it_remarks) values('23May250004','040000195562','7540',(select max(to_number(i.premium_rcv_detail_code))+1
from ins_premium_det i),'7540','7540','09', '11000003','00','Request by Mr. reheel malik 23-may-2025');</v>
      </c>
    </row>
    <row r="167" spans="1:8" ht="75" x14ac:dyDescent="0.25">
      <c r="A167" s="22" t="s">
        <v>231</v>
      </c>
      <c r="B167" s="30" t="str">
        <f>VLOOKUP(A167,policy!B:C,2,0)</f>
        <v>040000195684</v>
      </c>
      <c r="C167" s="22">
        <v>7540</v>
      </c>
      <c r="D167" s="31">
        <f t="shared" si="9"/>
        <v>7540</v>
      </c>
      <c r="E167" s="29" t="s">
        <v>1280</v>
      </c>
      <c r="F167" s="32" t="str">
        <f t="shared" si="8"/>
        <v>insert into ins_premium_det (premium_rcv_code,assorted_code, rec_amount,premium_rcv_detail_code,remaining_amt, payrec, mode_code,coinsurance_code,class_cd,it_remarks) values</v>
      </c>
      <c r="G167" s="33" t="str">
        <f t="shared" si="10"/>
        <v>('23May250004','040000195684','7540',(select max(to_number(i.premium_rcv_detail_code))+1
from ins_premium_det i),'7540','7540','09', '11000003','00','Request by Mr. reheel malik 23-may-2025');</v>
      </c>
      <c r="H167" s="34" t="str">
        <f t="shared" si="11"/>
        <v>insert into ins_premium_det (premium_rcv_code,assorted_code, rec_amount,premium_rcv_detail_code,remaining_amt, payrec, mode_code,coinsurance_code,class_cd,it_remarks) values('23May250004','040000195684','7540',(select max(to_number(i.premium_rcv_detail_code))+1
from ins_premium_det i),'7540','7540','09', '11000003','00','Request by Mr. reheel malik 23-may-2025');</v>
      </c>
    </row>
    <row r="168" spans="1:8" ht="75" x14ac:dyDescent="0.25">
      <c r="A168" s="22" t="s">
        <v>232</v>
      </c>
      <c r="B168" s="30" t="str">
        <f>VLOOKUP(A168,policy!B:C,2,0)</f>
        <v>040000195742</v>
      </c>
      <c r="C168" s="22">
        <v>7540</v>
      </c>
      <c r="D168" s="31">
        <f t="shared" si="9"/>
        <v>7540</v>
      </c>
      <c r="E168" s="29" t="s">
        <v>1280</v>
      </c>
      <c r="F168" s="32" t="str">
        <f t="shared" si="8"/>
        <v>insert into ins_premium_det (premium_rcv_code,assorted_code, rec_amount,premium_rcv_detail_code,remaining_amt, payrec, mode_code,coinsurance_code,class_cd,it_remarks) values</v>
      </c>
      <c r="G168" s="33" t="str">
        <f t="shared" si="10"/>
        <v>('23May250004','040000195742','7540',(select max(to_number(i.premium_rcv_detail_code))+1
from ins_premium_det i),'7540','7540','09', '11000003','00','Request by Mr. reheel malik 23-may-2025');</v>
      </c>
      <c r="H168" s="34" t="str">
        <f t="shared" si="11"/>
        <v>insert into ins_premium_det (premium_rcv_code,assorted_code, rec_amount,premium_rcv_detail_code,remaining_amt, payrec, mode_code,coinsurance_code,class_cd,it_remarks) values('23May250004','040000195742','7540',(select max(to_number(i.premium_rcv_detail_code))+1
from ins_premium_det i),'7540','7540','09', '11000003','00','Request by Mr. reheel malik 23-may-2025');</v>
      </c>
    </row>
    <row r="169" spans="1:8" ht="75" x14ac:dyDescent="0.25">
      <c r="A169" s="22" t="s">
        <v>233</v>
      </c>
      <c r="B169" s="30" t="str">
        <f>VLOOKUP(A169,policy!B:C,2,0)</f>
        <v>040000195958</v>
      </c>
      <c r="C169" s="22">
        <v>7540</v>
      </c>
      <c r="D169" s="31">
        <f t="shared" si="9"/>
        <v>7540</v>
      </c>
      <c r="E169" s="29" t="s">
        <v>1280</v>
      </c>
      <c r="F169" s="32" t="str">
        <f t="shared" si="8"/>
        <v>insert into ins_premium_det (premium_rcv_code,assorted_code, rec_amount,premium_rcv_detail_code,remaining_amt, payrec, mode_code,coinsurance_code,class_cd,it_remarks) values</v>
      </c>
      <c r="G169" s="33" t="str">
        <f t="shared" si="10"/>
        <v>('23May250004','040000195958','7540',(select max(to_number(i.premium_rcv_detail_code))+1
from ins_premium_det i),'7540','7540','09', '11000003','00','Request by Mr. reheel malik 23-may-2025');</v>
      </c>
      <c r="H169" s="34" t="str">
        <f t="shared" si="11"/>
        <v>insert into ins_premium_det (premium_rcv_code,assorted_code, rec_amount,premium_rcv_detail_code,remaining_amt, payrec, mode_code,coinsurance_code,class_cd,it_remarks) values('23May250004','040000195958','7540',(select max(to_number(i.premium_rcv_detail_code))+1
from ins_premium_det i),'7540','7540','09', '11000003','00','Request by Mr. reheel malik 23-may-2025');</v>
      </c>
    </row>
    <row r="170" spans="1:8" ht="75" x14ac:dyDescent="0.25">
      <c r="A170" s="22" t="s">
        <v>234</v>
      </c>
      <c r="B170" s="30" t="str">
        <f>VLOOKUP(A170,policy!B:C,2,0)</f>
        <v>040000196189</v>
      </c>
      <c r="C170" s="22">
        <v>7540</v>
      </c>
      <c r="D170" s="31">
        <f t="shared" si="9"/>
        <v>7540</v>
      </c>
      <c r="E170" s="29" t="s">
        <v>1280</v>
      </c>
      <c r="F170" s="32" t="str">
        <f t="shared" si="8"/>
        <v>insert into ins_premium_det (premium_rcv_code,assorted_code, rec_amount,premium_rcv_detail_code,remaining_amt, payrec, mode_code,coinsurance_code,class_cd,it_remarks) values</v>
      </c>
      <c r="G170" s="33" t="str">
        <f t="shared" si="10"/>
        <v>('23May250004','040000196189','7540',(select max(to_number(i.premium_rcv_detail_code))+1
from ins_premium_det i),'7540','7540','09', '11000003','00','Request by Mr. reheel malik 23-may-2025');</v>
      </c>
      <c r="H170" s="34" t="str">
        <f t="shared" si="11"/>
        <v>insert into ins_premium_det (premium_rcv_code,assorted_code, rec_amount,premium_rcv_detail_code,remaining_amt, payrec, mode_code,coinsurance_code,class_cd,it_remarks) values('23May250004','040000196189','7540',(select max(to_number(i.premium_rcv_detail_code))+1
from ins_premium_det i),'7540','7540','09', '11000003','00','Request by Mr. reheel malik 23-may-2025');</v>
      </c>
    </row>
    <row r="171" spans="1:8" ht="75" x14ac:dyDescent="0.25">
      <c r="A171" s="22" t="s">
        <v>235</v>
      </c>
      <c r="B171" s="30" t="str">
        <f>VLOOKUP(A171,policy!B:C,2,0)</f>
        <v>040000196196</v>
      </c>
      <c r="C171" s="22">
        <v>7540</v>
      </c>
      <c r="D171" s="31">
        <f t="shared" si="9"/>
        <v>7540</v>
      </c>
      <c r="E171" s="29" t="s">
        <v>1280</v>
      </c>
      <c r="F171" s="32" t="str">
        <f t="shared" si="8"/>
        <v>insert into ins_premium_det (premium_rcv_code,assorted_code, rec_amount,premium_rcv_detail_code,remaining_amt, payrec, mode_code,coinsurance_code,class_cd,it_remarks) values</v>
      </c>
      <c r="G171" s="33" t="str">
        <f t="shared" si="10"/>
        <v>('23May250004','040000196196','7540',(select max(to_number(i.premium_rcv_detail_code))+1
from ins_premium_det i),'7540','7540','09', '11000003','00','Request by Mr. reheel malik 23-may-2025');</v>
      </c>
      <c r="H171" s="34" t="str">
        <f t="shared" si="11"/>
        <v>insert into ins_premium_det (premium_rcv_code,assorted_code, rec_amount,premium_rcv_detail_code,remaining_amt, payrec, mode_code,coinsurance_code,class_cd,it_remarks) values('23May250004','040000196196','7540',(select max(to_number(i.premium_rcv_detail_code))+1
from ins_premium_det i),'7540','7540','09', '11000003','00','Request by Mr. reheel malik 23-may-2025');</v>
      </c>
    </row>
    <row r="172" spans="1:8" ht="75" x14ac:dyDescent="0.25">
      <c r="A172" s="22" t="s">
        <v>236</v>
      </c>
      <c r="B172" s="30" t="str">
        <f>VLOOKUP(A172,policy!B:C,2,0)</f>
        <v>040000196197</v>
      </c>
      <c r="C172" s="22">
        <v>7540</v>
      </c>
      <c r="D172" s="31">
        <f t="shared" si="9"/>
        <v>7540</v>
      </c>
      <c r="E172" s="29" t="s">
        <v>1280</v>
      </c>
      <c r="F172" s="32" t="str">
        <f t="shared" si="8"/>
        <v>insert into ins_premium_det (premium_rcv_code,assorted_code, rec_amount,premium_rcv_detail_code,remaining_amt, payrec, mode_code,coinsurance_code,class_cd,it_remarks) values</v>
      </c>
      <c r="G172" s="33" t="str">
        <f t="shared" si="10"/>
        <v>('23May250004','040000196197','7540',(select max(to_number(i.premium_rcv_detail_code))+1
from ins_premium_det i),'7540','7540','09', '11000003','00','Request by Mr. reheel malik 23-may-2025');</v>
      </c>
      <c r="H172" s="34" t="str">
        <f t="shared" si="11"/>
        <v>insert into ins_premium_det (premium_rcv_code,assorted_code, rec_amount,premium_rcv_detail_code,remaining_amt, payrec, mode_code,coinsurance_code,class_cd,it_remarks) values('23May250004','040000196197','7540',(select max(to_number(i.premium_rcv_detail_code))+1
from ins_premium_det i),'7540','7540','09', '11000003','00','Request by Mr. reheel malik 23-may-2025');</v>
      </c>
    </row>
    <row r="173" spans="1:8" ht="75" x14ac:dyDescent="0.25">
      <c r="A173" s="22" t="s">
        <v>237</v>
      </c>
      <c r="B173" s="30" t="str">
        <f>VLOOKUP(A173,policy!B:C,2,0)</f>
        <v>040000196246</v>
      </c>
      <c r="C173" s="22">
        <v>7540</v>
      </c>
      <c r="D173" s="31">
        <f t="shared" si="9"/>
        <v>7540</v>
      </c>
      <c r="E173" s="29" t="s">
        <v>1280</v>
      </c>
      <c r="F173" s="32" t="str">
        <f t="shared" si="8"/>
        <v>insert into ins_premium_det (premium_rcv_code,assorted_code, rec_amount,premium_rcv_detail_code,remaining_amt, payrec, mode_code,coinsurance_code,class_cd,it_remarks) values</v>
      </c>
      <c r="G173" s="33" t="str">
        <f t="shared" si="10"/>
        <v>('23May250004','040000196246','7540',(select max(to_number(i.premium_rcv_detail_code))+1
from ins_premium_det i),'7540','7540','09', '11000003','00','Request by Mr. reheel malik 23-may-2025');</v>
      </c>
      <c r="H173" s="34" t="str">
        <f t="shared" si="11"/>
        <v>insert into ins_premium_det (premium_rcv_code,assorted_code, rec_amount,premium_rcv_detail_code,remaining_amt, payrec, mode_code,coinsurance_code,class_cd,it_remarks) values('23May250004','040000196246','7540',(select max(to_number(i.premium_rcv_detail_code))+1
from ins_premium_det i),'7540','7540','09', '11000003','00','Request by Mr. reheel malik 23-may-2025');</v>
      </c>
    </row>
    <row r="174" spans="1:8" ht="75" x14ac:dyDescent="0.25">
      <c r="A174" s="22" t="s">
        <v>238</v>
      </c>
      <c r="B174" s="30" t="str">
        <f>VLOOKUP(A174,policy!B:C,2,0)</f>
        <v>040000196378</v>
      </c>
      <c r="C174" s="22">
        <v>7540</v>
      </c>
      <c r="D174" s="31">
        <f t="shared" si="9"/>
        <v>7540</v>
      </c>
      <c r="E174" s="29" t="s">
        <v>1280</v>
      </c>
      <c r="F174" s="32" t="str">
        <f t="shared" si="8"/>
        <v>insert into ins_premium_det (premium_rcv_code,assorted_code, rec_amount,premium_rcv_detail_code,remaining_amt, payrec, mode_code,coinsurance_code,class_cd,it_remarks) values</v>
      </c>
      <c r="G174" s="33" t="str">
        <f t="shared" si="10"/>
        <v>('23May250004','040000196378','7540',(select max(to_number(i.premium_rcv_detail_code))+1
from ins_premium_det i),'7540','7540','09', '11000003','00','Request by Mr. reheel malik 23-may-2025');</v>
      </c>
      <c r="H174" s="34" t="str">
        <f t="shared" si="11"/>
        <v>insert into ins_premium_det (premium_rcv_code,assorted_code, rec_amount,premium_rcv_detail_code,remaining_amt, payrec, mode_code,coinsurance_code,class_cd,it_remarks) values('23May250004','040000196378','7540',(select max(to_number(i.premium_rcv_detail_code))+1
from ins_premium_det i),'7540','7540','09', '11000003','00','Request by Mr. reheel malik 23-may-2025');</v>
      </c>
    </row>
    <row r="175" spans="1:8" ht="75" x14ac:dyDescent="0.25">
      <c r="A175" s="22" t="s">
        <v>239</v>
      </c>
      <c r="B175" s="30" t="str">
        <f>VLOOKUP(A175,policy!B:C,2,0)</f>
        <v>040000196674</v>
      </c>
      <c r="C175" s="22">
        <v>7540</v>
      </c>
      <c r="D175" s="31">
        <f t="shared" si="9"/>
        <v>7540</v>
      </c>
      <c r="E175" s="29" t="s">
        <v>1280</v>
      </c>
      <c r="F175" s="32" t="str">
        <f t="shared" si="8"/>
        <v>insert into ins_premium_det (premium_rcv_code,assorted_code, rec_amount,premium_rcv_detail_code,remaining_amt, payrec, mode_code,coinsurance_code,class_cd,it_remarks) values</v>
      </c>
      <c r="G175" s="33" t="str">
        <f t="shared" si="10"/>
        <v>('23May250004','040000196674','7540',(select max(to_number(i.premium_rcv_detail_code))+1
from ins_premium_det i),'7540','7540','09', '11000003','00','Request by Mr. reheel malik 23-may-2025');</v>
      </c>
      <c r="H175" s="34" t="str">
        <f t="shared" si="11"/>
        <v>insert into ins_premium_det (premium_rcv_code,assorted_code, rec_amount,premium_rcv_detail_code,remaining_amt, payrec, mode_code,coinsurance_code,class_cd,it_remarks) values('23May250004','040000196674','7540',(select max(to_number(i.premium_rcv_detail_code))+1
from ins_premium_det i),'7540','7540','09', '11000003','00','Request by Mr. reheel malik 23-may-2025');</v>
      </c>
    </row>
    <row r="176" spans="1:8" ht="75" x14ac:dyDescent="0.25">
      <c r="A176" s="22" t="s">
        <v>240</v>
      </c>
      <c r="B176" s="30" t="str">
        <f>VLOOKUP(A176,policy!B:C,2,0)</f>
        <v>040000197231</v>
      </c>
      <c r="C176" s="22">
        <v>7540</v>
      </c>
      <c r="D176" s="31">
        <f t="shared" si="9"/>
        <v>7540</v>
      </c>
      <c r="E176" s="29" t="s">
        <v>1280</v>
      </c>
      <c r="F176" s="32" t="str">
        <f t="shared" si="8"/>
        <v>insert into ins_premium_det (premium_rcv_code,assorted_code, rec_amount,premium_rcv_detail_code,remaining_amt, payrec, mode_code,coinsurance_code,class_cd,it_remarks) values</v>
      </c>
      <c r="G176" s="33" t="str">
        <f t="shared" si="10"/>
        <v>('23May250004','040000197231','7540',(select max(to_number(i.premium_rcv_detail_code))+1
from ins_premium_det i),'7540','7540','09', '11000003','00','Request by Mr. reheel malik 23-may-2025');</v>
      </c>
      <c r="H176" s="34" t="str">
        <f t="shared" si="11"/>
        <v>insert into ins_premium_det (premium_rcv_code,assorted_code, rec_amount,premium_rcv_detail_code,remaining_amt, payrec, mode_code,coinsurance_code,class_cd,it_remarks) values('23May250004','040000197231','7540',(select max(to_number(i.premium_rcv_detail_code))+1
from ins_premium_det i),'7540','7540','09', '11000003','00','Request by Mr. reheel malik 23-may-2025');</v>
      </c>
    </row>
    <row r="177" spans="1:8" ht="75" x14ac:dyDescent="0.25">
      <c r="A177" s="22" t="s">
        <v>241</v>
      </c>
      <c r="B177" s="30" t="str">
        <f>VLOOKUP(A177,policy!B:C,2,0)</f>
        <v>050000871502</v>
      </c>
      <c r="C177" s="22">
        <v>7540</v>
      </c>
      <c r="D177" s="31">
        <f t="shared" si="9"/>
        <v>7540</v>
      </c>
      <c r="E177" s="29" t="s">
        <v>1280</v>
      </c>
      <c r="F177" s="32" t="str">
        <f t="shared" si="8"/>
        <v>insert into ins_premium_det (premium_rcv_code,assorted_code, rec_amount,premium_rcv_detail_code,remaining_amt, payrec, mode_code,coinsurance_code,class_cd,it_remarks) values</v>
      </c>
      <c r="G177" s="33" t="str">
        <f t="shared" si="10"/>
        <v>('23May250004','050000871502','7540',(select max(to_number(i.premium_rcv_detail_code))+1
from ins_premium_det i),'7540','7540','09', '11000003','00','Request by Mr. reheel malik 23-may-2025');</v>
      </c>
      <c r="H177" s="34" t="str">
        <f t="shared" si="11"/>
        <v>insert into ins_premium_det (premium_rcv_code,assorted_code, rec_amount,premium_rcv_detail_code,remaining_amt, payrec, mode_code,coinsurance_code,class_cd,it_remarks) values('23May250004','050000871502','7540',(select max(to_number(i.premium_rcv_detail_code))+1
from ins_premium_det i),'7540','7540','09', '11000003','00','Request by Mr. reheel malik 23-may-2025');</v>
      </c>
    </row>
    <row r="178" spans="1:8" ht="75" x14ac:dyDescent="0.25">
      <c r="A178" s="22" t="s">
        <v>242</v>
      </c>
      <c r="B178" s="30" t="str">
        <f>VLOOKUP(A178,policy!B:C,2,0)</f>
        <v>040000160362</v>
      </c>
      <c r="C178" s="22">
        <v>8105</v>
      </c>
      <c r="D178" s="31">
        <f t="shared" si="9"/>
        <v>8105</v>
      </c>
      <c r="E178" s="29" t="s">
        <v>1280</v>
      </c>
      <c r="F178" s="32" t="str">
        <f t="shared" si="8"/>
        <v>insert into ins_premium_det (premium_rcv_code,assorted_code, rec_amount,premium_rcv_detail_code,remaining_amt, payrec, mode_code,coinsurance_code,class_cd,it_remarks) values</v>
      </c>
      <c r="G178" s="33" t="str">
        <f t="shared" si="10"/>
        <v>('23May250004','040000160362','8105',(select max(to_number(i.premium_rcv_detail_code))+1
from ins_premium_det i),'8105','8105','09', '11000003','00','Request by Mr. reheel malik 23-may-2025');</v>
      </c>
      <c r="H178" s="34" t="str">
        <f t="shared" si="11"/>
        <v>insert into ins_premium_det (premium_rcv_code,assorted_code, rec_amount,premium_rcv_detail_code,remaining_amt, payrec, mode_code,coinsurance_code,class_cd,it_remarks) values('23May250004','040000160362','8105',(select max(to_number(i.premium_rcv_detail_code))+1
from ins_premium_det i),'8105','8105','09', '11000003','00','Request by Mr. reheel malik 23-may-2025');</v>
      </c>
    </row>
    <row r="179" spans="1:8" ht="75" x14ac:dyDescent="0.25">
      <c r="A179" s="22" t="s">
        <v>243</v>
      </c>
      <c r="B179" s="30" t="str">
        <f>VLOOKUP(A179,policy!B:C,2,0)</f>
        <v>040000196549</v>
      </c>
      <c r="C179" s="22">
        <v>8105</v>
      </c>
      <c r="D179" s="31">
        <f t="shared" si="9"/>
        <v>8105</v>
      </c>
      <c r="E179" s="29" t="s">
        <v>1280</v>
      </c>
      <c r="F179" s="32" t="str">
        <f t="shared" si="8"/>
        <v>insert into ins_premium_det (premium_rcv_code,assorted_code, rec_amount,premium_rcv_detail_code,remaining_amt, payrec, mode_code,coinsurance_code,class_cd,it_remarks) values</v>
      </c>
      <c r="G179" s="33" t="str">
        <f t="shared" si="10"/>
        <v>('23May250004','040000196549','8105',(select max(to_number(i.premium_rcv_detail_code))+1
from ins_premium_det i),'8105','8105','09', '11000003','00','Request by Mr. reheel malik 23-may-2025');</v>
      </c>
      <c r="H179" s="34" t="str">
        <f t="shared" si="11"/>
        <v>insert into ins_premium_det (premium_rcv_code,assorted_code, rec_amount,premium_rcv_detail_code,remaining_amt, payrec, mode_code,coinsurance_code,class_cd,it_remarks) values('23May250004','040000196549','8105',(select max(to_number(i.premium_rcv_detail_code))+1
from ins_premium_det i),'8105','8105','09', '11000003','00','Request by Mr. reheel malik 23-may-2025');</v>
      </c>
    </row>
    <row r="180" spans="1:8" ht="75" x14ac:dyDescent="0.25">
      <c r="A180" s="22" t="s">
        <v>244</v>
      </c>
      <c r="B180" s="30" t="str">
        <f>VLOOKUP(A180,policy!B:C,2,0)</f>
        <v>040000196560</v>
      </c>
      <c r="C180" s="22">
        <v>8105</v>
      </c>
      <c r="D180" s="31">
        <f t="shared" si="9"/>
        <v>8105</v>
      </c>
      <c r="E180" s="29" t="s">
        <v>1280</v>
      </c>
      <c r="F180" s="32" t="str">
        <f t="shared" si="8"/>
        <v>insert into ins_premium_det (premium_rcv_code,assorted_code, rec_amount,premium_rcv_detail_code,remaining_amt, payrec, mode_code,coinsurance_code,class_cd,it_remarks) values</v>
      </c>
      <c r="G180" s="33" t="str">
        <f t="shared" si="10"/>
        <v>('23May250004','040000196560','8105',(select max(to_number(i.premium_rcv_detail_code))+1
from ins_premium_det i),'8105','8105','09', '11000003','00','Request by Mr. reheel malik 23-may-2025');</v>
      </c>
      <c r="H180" s="34" t="str">
        <f t="shared" si="11"/>
        <v>insert into ins_premium_det (premium_rcv_code,assorted_code, rec_amount,premium_rcv_detail_code,remaining_amt, payrec, mode_code,coinsurance_code,class_cd,it_remarks) values('23May250004','040000196560','8105',(select max(to_number(i.premium_rcv_detail_code))+1
from ins_premium_det i),'8105','8105','09', '11000003','00','Request by Mr. reheel malik 23-may-2025');</v>
      </c>
    </row>
    <row r="181" spans="1:8" ht="75" x14ac:dyDescent="0.25">
      <c r="A181" s="22" t="s">
        <v>245</v>
      </c>
      <c r="B181" s="30" t="str">
        <f>VLOOKUP(A181,policy!B:C,2,0)</f>
        <v>040000196680</v>
      </c>
      <c r="C181" s="22">
        <v>8105</v>
      </c>
      <c r="D181" s="31">
        <f t="shared" si="9"/>
        <v>8105</v>
      </c>
      <c r="E181" s="29" t="s">
        <v>1280</v>
      </c>
      <c r="F181" s="32" t="str">
        <f t="shared" si="8"/>
        <v>insert into ins_premium_det (premium_rcv_code,assorted_code, rec_amount,premium_rcv_detail_code,remaining_amt, payrec, mode_code,coinsurance_code,class_cd,it_remarks) values</v>
      </c>
      <c r="G181" s="33" t="str">
        <f t="shared" si="10"/>
        <v>('23May250004','040000196680','8105',(select max(to_number(i.premium_rcv_detail_code))+1
from ins_premium_det i),'8105','8105','09', '11000003','00','Request by Mr. reheel malik 23-may-2025');</v>
      </c>
      <c r="H181" s="34" t="str">
        <f t="shared" si="11"/>
        <v>insert into ins_premium_det (premium_rcv_code,assorted_code, rec_amount,premium_rcv_detail_code,remaining_amt, payrec, mode_code,coinsurance_code,class_cd,it_remarks) values('23May250004','040000196680','8105',(select max(to_number(i.premium_rcv_detail_code))+1
from ins_premium_det i),'8105','8105','09', '11000003','00','Request by Mr. reheel malik 23-may-2025');</v>
      </c>
    </row>
    <row r="182" spans="1:8" ht="75" x14ac:dyDescent="0.25">
      <c r="A182" s="22" t="s">
        <v>246</v>
      </c>
      <c r="B182" s="30" t="str">
        <f>VLOOKUP(A182,policy!B:C,2,0)</f>
        <v>040000196842</v>
      </c>
      <c r="C182" s="22">
        <v>8105</v>
      </c>
      <c r="D182" s="31">
        <f t="shared" si="9"/>
        <v>8105</v>
      </c>
      <c r="E182" s="29" t="s">
        <v>1280</v>
      </c>
      <c r="F182" s="32" t="str">
        <f t="shared" si="8"/>
        <v>insert into ins_premium_det (premium_rcv_code,assorted_code, rec_amount,premium_rcv_detail_code,remaining_amt, payrec, mode_code,coinsurance_code,class_cd,it_remarks) values</v>
      </c>
      <c r="G182" s="33" t="str">
        <f t="shared" si="10"/>
        <v>('23May250004','040000196842','8105',(select max(to_number(i.premium_rcv_detail_code))+1
from ins_premium_det i),'8105','8105','09', '11000003','00','Request by Mr. reheel malik 23-may-2025');</v>
      </c>
      <c r="H182" s="34" t="str">
        <f t="shared" si="11"/>
        <v>insert into ins_premium_det (premium_rcv_code,assorted_code, rec_amount,premium_rcv_detail_code,remaining_amt, payrec, mode_code,coinsurance_code,class_cd,it_remarks) values('23May250004','040000196842','8105',(select max(to_number(i.premium_rcv_detail_code))+1
from ins_premium_det i),'8105','8105','09', '11000003','00','Request by Mr. reheel malik 23-may-2025');</v>
      </c>
    </row>
    <row r="183" spans="1:8" ht="75" x14ac:dyDescent="0.25">
      <c r="A183" s="22" t="s">
        <v>247</v>
      </c>
      <c r="B183" s="30" t="str">
        <f>VLOOKUP(A183,policy!B:C,2,0)</f>
        <v>040000196880</v>
      </c>
      <c r="C183" s="22">
        <v>8105</v>
      </c>
      <c r="D183" s="31">
        <f t="shared" si="9"/>
        <v>8105</v>
      </c>
      <c r="E183" s="29" t="s">
        <v>1280</v>
      </c>
      <c r="F183" s="32" t="str">
        <f t="shared" si="8"/>
        <v>insert into ins_premium_det (premium_rcv_code,assorted_code, rec_amount,premium_rcv_detail_code,remaining_amt, payrec, mode_code,coinsurance_code,class_cd,it_remarks) values</v>
      </c>
      <c r="G183" s="33" t="str">
        <f t="shared" si="10"/>
        <v>('23May250004','040000196880','8105',(select max(to_number(i.premium_rcv_detail_code))+1
from ins_premium_det i),'8105','8105','09', '11000003','00','Request by Mr. reheel malik 23-may-2025');</v>
      </c>
      <c r="H183" s="34" t="str">
        <f t="shared" si="11"/>
        <v>insert into ins_premium_det (premium_rcv_code,assorted_code, rec_amount,premium_rcv_detail_code,remaining_amt, payrec, mode_code,coinsurance_code,class_cd,it_remarks) values('23May250004','040000196880','8105',(select max(to_number(i.premium_rcv_detail_code))+1
from ins_premium_det i),'8105','8105','09', '11000003','00','Request by Mr. reheel malik 23-may-2025');</v>
      </c>
    </row>
    <row r="184" spans="1:8" ht="75" x14ac:dyDescent="0.25">
      <c r="A184" s="22" t="s">
        <v>248</v>
      </c>
      <c r="B184" s="30" t="str">
        <f>VLOOKUP(A184,policy!B:C,2,0)</f>
        <v>040000196882</v>
      </c>
      <c r="C184" s="22">
        <v>8105</v>
      </c>
      <c r="D184" s="31">
        <f t="shared" si="9"/>
        <v>8105</v>
      </c>
      <c r="E184" s="29" t="s">
        <v>1280</v>
      </c>
      <c r="F184" s="32" t="str">
        <f t="shared" si="8"/>
        <v>insert into ins_premium_det (premium_rcv_code,assorted_code, rec_amount,premium_rcv_detail_code,remaining_amt, payrec, mode_code,coinsurance_code,class_cd,it_remarks) values</v>
      </c>
      <c r="G184" s="33" t="str">
        <f t="shared" si="10"/>
        <v>('23May250004','040000196882','8105',(select max(to_number(i.premium_rcv_detail_code))+1
from ins_premium_det i),'8105','8105','09', '11000003','00','Request by Mr. reheel malik 23-may-2025');</v>
      </c>
      <c r="H184" s="34" t="str">
        <f t="shared" si="11"/>
        <v>insert into ins_premium_det (premium_rcv_code,assorted_code, rec_amount,premium_rcv_detail_code,remaining_amt, payrec, mode_code,coinsurance_code,class_cd,it_remarks) values('23May250004','040000196882','8105',(select max(to_number(i.premium_rcv_detail_code))+1
from ins_premium_det i),'8105','8105','09', '11000003','00','Request by Mr. reheel malik 23-may-2025');</v>
      </c>
    </row>
    <row r="185" spans="1:8" ht="75" x14ac:dyDescent="0.25">
      <c r="A185" s="22" t="s">
        <v>249</v>
      </c>
      <c r="B185" s="30" t="str">
        <f>VLOOKUP(A185,policy!B:C,2,0)</f>
        <v>040000196938</v>
      </c>
      <c r="C185" s="22">
        <v>8105</v>
      </c>
      <c r="D185" s="31">
        <f t="shared" si="9"/>
        <v>8105</v>
      </c>
      <c r="E185" s="29" t="s">
        <v>1280</v>
      </c>
      <c r="F185" s="32" t="str">
        <f t="shared" si="8"/>
        <v>insert into ins_premium_det (premium_rcv_code,assorted_code, rec_amount,premium_rcv_detail_code,remaining_amt, payrec, mode_code,coinsurance_code,class_cd,it_remarks) values</v>
      </c>
      <c r="G185" s="33" t="str">
        <f t="shared" si="10"/>
        <v>('23May250004','040000196938','8105',(select max(to_number(i.premium_rcv_detail_code))+1
from ins_premium_det i),'8105','8105','09', '11000003','00','Request by Mr. reheel malik 23-may-2025');</v>
      </c>
      <c r="H185" s="34" t="str">
        <f t="shared" si="11"/>
        <v>insert into ins_premium_det (premium_rcv_code,assorted_code, rec_amount,premium_rcv_detail_code,remaining_amt, payrec, mode_code,coinsurance_code,class_cd,it_remarks) values('23May250004','040000196938','8105',(select max(to_number(i.premium_rcv_detail_code))+1
from ins_premium_det i),'8105','8105','09', '11000003','00','Request by Mr. reheel malik 23-may-2025');</v>
      </c>
    </row>
    <row r="186" spans="1:8" ht="75" x14ac:dyDescent="0.25">
      <c r="A186" s="22" t="s">
        <v>250</v>
      </c>
      <c r="B186" s="30" t="str">
        <f>VLOOKUP(A186,policy!B:C,2,0)</f>
        <v>040000196946</v>
      </c>
      <c r="C186" s="22">
        <v>8105</v>
      </c>
      <c r="D186" s="31">
        <f t="shared" si="9"/>
        <v>8105</v>
      </c>
      <c r="E186" s="29" t="s">
        <v>1280</v>
      </c>
      <c r="F186" s="32" t="str">
        <f t="shared" si="8"/>
        <v>insert into ins_premium_det (premium_rcv_code,assorted_code, rec_amount,premium_rcv_detail_code,remaining_amt, payrec, mode_code,coinsurance_code,class_cd,it_remarks) values</v>
      </c>
      <c r="G186" s="33" t="str">
        <f t="shared" si="10"/>
        <v>('23May250004','040000196946','8105',(select max(to_number(i.premium_rcv_detail_code))+1
from ins_premium_det i),'8105','8105','09', '11000003','00','Request by Mr. reheel malik 23-may-2025');</v>
      </c>
      <c r="H186" s="34" t="str">
        <f t="shared" si="11"/>
        <v>insert into ins_premium_det (premium_rcv_code,assorted_code, rec_amount,premium_rcv_detail_code,remaining_amt, payrec, mode_code,coinsurance_code,class_cd,it_remarks) values('23May250004','040000196946','8105',(select max(to_number(i.premium_rcv_detail_code))+1
from ins_premium_det i),'8105','8105','09', '11000003','00','Request by Mr. reheel malik 23-may-2025');</v>
      </c>
    </row>
    <row r="187" spans="1:8" ht="75" x14ac:dyDescent="0.25">
      <c r="A187" s="22" t="s">
        <v>251</v>
      </c>
      <c r="B187" s="30" t="str">
        <f>VLOOKUP(A187,policy!B:C,2,0)</f>
        <v>040000196970</v>
      </c>
      <c r="C187" s="22">
        <v>8105</v>
      </c>
      <c r="D187" s="31">
        <f t="shared" si="9"/>
        <v>8105</v>
      </c>
      <c r="E187" s="29" t="s">
        <v>1280</v>
      </c>
      <c r="F187" s="32" t="str">
        <f t="shared" si="8"/>
        <v>insert into ins_premium_det (premium_rcv_code,assorted_code, rec_amount,premium_rcv_detail_code,remaining_amt, payrec, mode_code,coinsurance_code,class_cd,it_remarks) values</v>
      </c>
      <c r="G187" s="33" t="str">
        <f t="shared" si="10"/>
        <v>('23May250004','040000196970','8105',(select max(to_number(i.premium_rcv_detail_code))+1
from ins_premium_det i),'8105','8105','09', '11000003','00','Request by Mr. reheel malik 23-may-2025');</v>
      </c>
      <c r="H187" s="34" t="str">
        <f t="shared" si="11"/>
        <v>insert into ins_premium_det (premium_rcv_code,assorted_code, rec_amount,premium_rcv_detail_code,remaining_amt, payrec, mode_code,coinsurance_code,class_cd,it_remarks) values('23May250004','040000196970','8105',(select max(to_number(i.premium_rcv_detail_code))+1
from ins_premium_det i),'8105','8105','09', '11000003','00','Request by Mr. reheel malik 23-may-2025');</v>
      </c>
    </row>
    <row r="188" spans="1:8" ht="75" x14ac:dyDescent="0.25">
      <c r="A188" s="22" t="s">
        <v>252</v>
      </c>
      <c r="B188" s="30" t="str">
        <f>VLOOKUP(A188,policy!B:C,2,0)</f>
        <v>040000197091</v>
      </c>
      <c r="C188" s="22">
        <v>8105</v>
      </c>
      <c r="D188" s="31">
        <f t="shared" si="9"/>
        <v>8105</v>
      </c>
      <c r="E188" s="29" t="s">
        <v>1280</v>
      </c>
      <c r="F188" s="32" t="str">
        <f t="shared" si="8"/>
        <v>insert into ins_premium_det (premium_rcv_code,assorted_code, rec_amount,premium_rcv_detail_code,remaining_amt, payrec, mode_code,coinsurance_code,class_cd,it_remarks) values</v>
      </c>
      <c r="G188" s="33" t="str">
        <f t="shared" si="10"/>
        <v>('23May250004','040000197091','8105',(select max(to_number(i.premium_rcv_detail_code))+1
from ins_premium_det i),'8105','8105','09', '11000003','00','Request by Mr. reheel malik 23-may-2025');</v>
      </c>
      <c r="H188" s="34" t="str">
        <f t="shared" si="11"/>
        <v>insert into ins_premium_det (premium_rcv_code,assorted_code, rec_amount,premium_rcv_detail_code,remaining_amt, payrec, mode_code,coinsurance_code,class_cd,it_remarks) values('23May250004','040000197091','8105',(select max(to_number(i.premium_rcv_detail_code))+1
from ins_premium_det i),'8105','8105','09', '11000003','00','Request by Mr. reheel malik 23-may-2025');</v>
      </c>
    </row>
    <row r="189" spans="1:8" ht="75" x14ac:dyDescent="0.25">
      <c r="A189" s="22" t="s">
        <v>253</v>
      </c>
      <c r="B189" s="30" t="str">
        <f>VLOOKUP(A189,policy!B:C,2,0)</f>
        <v>040000197263</v>
      </c>
      <c r="C189" s="22">
        <v>8105</v>
      </c>
      <c r="D189" s="31">
        <f t="shared" si="9"/>
        <v>8105</v>
      </c>
      <c r="E189" s="29" t="s">
        <v>1280</v>
      </c>
      <c r="F189" s="32" t="str">
        <f t="shared" si="8"/>
        <v>insert into ins_premium_det (premium_rcv_code,assorted_code, rec_amount,premium_rcv_detail_code,remaining_amt, payrec, mode_code,coinsurance_code,class_cd,it_remarks) values</v>
      </c>
      <c r="G189" s="33" t="str">
        <f t="shared" si="10"/>
        <v>('23May250004','040000197263','8105',(select max(to_number(i.premium_rcv_detail_code))+1
from ins_premium_det i),'8105','8105','09', '11000003','00','Request by Mr. reheel malik 23-may-2025');</v>
      </c>
      <c r="H189" s="34" t="str">
        <f t="shared" si="11"/>
        <v>insert into ins_premium_det (premium_rcv_code,assorted_code, rec_amount,premium_rcv_detail_code,remaining_amt, payrec, mode_code,coinsurance_code,class_cd,it_remarks) values('23May250004','040000197263','8105',(select max(to_number(i.premium_rcv_detail_code))+1
from ins_premium_det i),'8105','8105','09', '11000003','00','Request by Mr. reheel malik 23-may-2025');</v>
      </c>
    </row>
    <row r="190" spans="1:8" ht="75" x14ac:dyDescent="0.25">
      <c r="A190" s="22" t="s">
        <v>254</v>
      </c>
      <c r="B190" s="30" t="str">
        <f>VLOOKUP(A190,policy!B:C,2,0)</f>
        <v>040000197432</v>
      </c>
      <c r="C190" s="22">
        <v>8105</v>
      </c>
      <c r="D190" s="31">
        <f t="shared" si="9"/>
        <v>8105</v>
      </c>
      <c r="E190" s="29" t="s">
        <v>1280</v>
      </c>
      <c r="F190" s="32" t="str">
        <f t="shared" si="8"/>
        <v>insert into ins_premium_det (premium_rcv_code,assorted_code, rec_amount,premium_rcv_detail_code,remaining_amt, payrec, mode_code,coinsurance_code,class_cd,it_remarks) values</v>
      </c>
      <c r="G190" s="33" t="str">
        <f t="shared" si="10"/>
        <v>('23May250004','040000197432','8105',(select max(to_number(i.premium_rcv_detail_code))+1
from ins_premium_det i),'8105','8105','09', '11000003','00','Request by Mr. reheel malik 23-may-2025');</v>
      </c>
      <c r="H190" s="34" t="str">
        <f t="shared" si="11"/>
        <v>insert into ins_premium_det (premium_rcv_code,assorted_code, rec_amount,premium_rcv_detail_code,remaining_amt, payrec, mode_code,coinsurance_code,class_cd,it_remarks) values('23May250004','040000197432','8105',(select max(to_number(i.premium_rcv_detail_code))+1
from ins_premium_det i),'8105','8105','09', '11000003','00','Request by Mr. reheel malik 23-may-2025');</v>
      </c>
    </row>
    <row r="191" spans="1:8" ht="75" x14ac:dyDescent="0.25">
      <c r="A191" s="22" t="s">
        <v>255</v>
      </c>
      <c r="B191" s="30" t="str">
        <f>VLOOKUP(A191,policy!B:C,2,0)</f>
        <v>040000197574</v>
      </c>
      <c r="C191" s="22">
        <v>8105</v>
      </c>
      <c r="D191" s="31">
        <f t="shared" si="9"/>
        <v>8105</v>
      </c>
      <c r="E191" s="29" t="s">
        <v>1280</v>
      </c>
      <c r="F191" s="32" t="str">
        <f t="shared" si="8"/>
        <v>insert into ins_premium_det (premium_rcv_code,assorted_code, rec_amount,premium_rcv_detail_code,remaining_amt, payrec, mode_code,coinsurance_code,class_cd,it_remarks) values</v>
      </c>
      <c r="G191" s="33" t="str">
        <f t="shared" si="10"/>
        <v>('23May250004','040000197574','8105',(select max(to_number(i.premium_rcv_detail_code))+1
from ins_premium_det i),'8105','8105','09', '11000003','00','Request by Mr. reheel malik 23-may-2025');</v>
      </c>
      <c r="H191" s="34" t="str">
        <f t="shared" si="11"/>
        <v>insert into ins_premium_det (premium_rcv_code,assorted_code, rec_amount,premium_rcv_detail_code,remaining_amt, payrec, mode_code,coinsurance_code,class_cd,it_remarks) values('23May250004','040000197574','8105',(select max(to_number(i.premium_rcv_detail_code))+1
from ins_premium_det i),'8105','8105','09', '11000003','00','Request by Mr. reheel malik 23-may-2025');</v>
      </c>
    </row>
    <row r="192" spans="1:8" ht="75" x14ac:dyDescent="0.25">
      <c r="A192" s="22" t="s">
        <v>256</v>
      </c>
      <c r="B192" s="30" t="str">
        <f>VLOOKUP(A192,policy!B:C,2,0)</f>
        <v>040000197577</v>
      </c>
      <c r="C192" s="22">
        <v>8105</v>
      </c>
      <c r="D192" s="31">
        <f t="shared" si="9"/>
        <v>8105</v>
      </c>
      <c r="E192" s="29" t="s">
        <v>1280</v>
      </c>
      <c r="F192" s="32" t="str">
        <f t="shared" si="8"/>
        <v>insert into ins_premium_det (premium_rcv_code,assorted_code, rec_amount,premium_rcv_detail_code,remaining_amt, payrec, mode_code,coinsurance_code,class_cd,it_remarks) values</v>
      </c>
      <c r="G192" s="33" t="str">
        <f t="shared" si="10"/>
        <v>('23May250004','040000197577','8105',(select max(to_number(i.premium_rcv_detail_code))+1
from ins_premium_det i),'8105','8105','09', '11000003','00','Request by Mr. reheel malik 23-may-2025');</v>
      </c>
      <c r="H192" s="34" t="str">
        <f t="shared" si="11"/>
        <v>insert into ins_premium_det (premium_rcv_code,assorted_code, rec_amount,premium_rcv_detail_code,remaining_amt, payrec, mode_code,coinsurance_code,class_cd,it_remarks) values('23May250004','040000197577','8105',(select max(to_number(i.premium_rcv_detail_code))+1
from ins_premium_det i),'8105','8105','09', '11000003','00','Request by Mr. reheel malik 23-may-2025');</v>
      </c>
    </row>
    <row r="193" spans="1:8" ht="75" x14ac:dyDescent="0.25">
      <c r="A193" s="22" t="s">
        <v>257</v>
      </c>
      <c r="B193" s="30" t="str">
        <f>VLOOKUP(A193,policy!B:C,2,0)</f>
        <v>040000197578</v>
      </c>
      <c r="C193" s="22">
        <v>8105</v>
      </c>
      <c r="D193" s="31">
        <f t="shared" si="9"/>
        <v>8105</v>
      </c>
      <c r="E193" s="29" t="s">
        <v>1280</v>
      </c>
      <c r="F193" s="32" t="str">
        <f t="shared" si="8"/>
        <v>insert into ins_premium_det (premium_rcv_code,assorted_code, rec_amount,premium_rcv_detail_code,remaining_amt, payrec, mode_code,coinsurance_code,class_cd,it_remarks) values</v>
      </c>
      <c r="G193" s="33" t="str">
        <f t="shared" si="10"/>
        <v>('23May250004','040000197578','8105',(select max(to_number(i.premium_rcv_detail_code))+1
from ins_premium_det i),'8105','8105','09', '11000003','00','Request by Mr. reheel malik 23-may-2025');</v>
      </c>
      <c r="H193" s="34" t="str">
        <f t="shared" si="11"/>
        <v>insert into ins_premium_det (premium_rcv_code,assorted_code, rec_amount,premium_rcv_detail_code,remaining_amt, payrec, mode_code,coinsurance_code,class_cd,it_remarks) values('23May250004','040000197578','8105',(select max(to_number(i.premium_rcv_detail_code))+1
from ins_premium_det i),'8105','8105','09', '11000003','00','Request by Mr. reheel malik 23-may-2025');</v>
      </c>
    </row>
    <row r="194" spans="1:8" ht="75" x14ac:dyDescent="0.25">
      <c r="A194" s="22" t="s">
        <v>258</v>
      </c>
      <c r="B194" s="30" t="str">
        <f>VLOOKUP(A194,policy!B:C,2,0)</f>
        <v>040000197579</v>
      </c>
      <c r="C194" s="22">
        <v>8105</v>
      </c>
      <c r="D194" s="31">
        <f t="shared" si="9"/>
        <v>8105</v>
      </c>
      <c r="E194" s="29" t="s">
        <v>1280</v>
      </c>
      <c r="F194" s="32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33" t="str">
        <f t="shared" si="10"/>
        <v>('23May250004','040000197579','8105',(select max(to_number(i.premium_rcv_detail_code))+1
from ins_premium_det i),'8105','8105','09', '11000003','00','Request by Mr. reheel malik 23-may-2025');</v>
      </c>
      <c r="H194" s="34" t="str">
        <f t="shared" si="11"/>
        <v>insert into ins_premium_det (premium_rcv_code,assorted_code, rec_amount,premium_rcv_detail_code,remaining_amt, payrec, mode_code,coinsurance_code,class_cd,it_remarks) values('23May250004','040000197579','8105',(select max(to_number(i.premium_rcv_detail_code))+1
from ins_premium_det i),'8105','8105','09', '11000003','00','Request by Mr. reheel malik 23-may-2025');</v>
      </c>
    </row>
    <row r="195" spans="1:8" ht="75" x14ac:dyDescent="0.25">
      <c r="A195" s="22" t="s">
        <v>259</v>
      </c>
      <c r="B195" s="30" t="str">
        <f>VLOOKUP(A195,policy!B:C,2,0)</f>
        <v>040000197595</v>
      </c>
      <c r="C195" s="22">
        <v>8105</v>
      </c>
      <c r="D195" s="31">
        <f t="shared" ref="D195:D258" si="13">ROUND(C195,0)</f>
        <v>8105</v>
      </c>
      <c r="E195" s="29" t="s">
        <v>1280</v>
      </c>
      <c r="F195" s="32" t="str">
        <f t="shared" si="12"/>
        <v>insert into ins_premium_det (premium_rcv_code,assorted_code, rec_amount,premium_rcv_detail_code,remaining_amt, payrec, mode_code,coinsurance_code,class_cd,it_remarks) values</v>
      </c>
      <c r="G195" s="33" t="str">
        <f t="shared" ref="G195:G258" si="14">"('"&amp;E195&amp;"','"&amp;B195&amp;"','"&amp;C195&amp;"',(select max(to_number(i.premium_rcv_detail_code))+1
from ins_premium_det i),'"&amp;C195&amp;"','"&amp;C195&amp;"','09', '11000003','00','Request by Mr. reheel malik 23-may-2025');"</f>
        <v>('23May250004','040000197595','8105',(select max(to_number(i.premium_rcv_detail_code))+1
from ins_premium_det i),'8105','8105','09', '11000003','00','Request by Mr. reheel malik 23-may-2025');</v>
      </c>
      <c r="H195" s="34" t="str">
        <f t="shared" ref="H195:H258" si="15">F195&amp;G195</f>
        <v>insert into ins_premium_det (premium_rcv_code,assorted_code, rec_amount,premium_rcv_detail_code,remaining_amt, payrec, mode_code,coinsurance_code,class_cd,it_remarks) values('23May250004','040000197595','8105',(select max(to_number(i.premium_rcv_detail_code))+1
from ins_premium_det i),'8105','8105','09', '11000003','00','Request by Mr. reheel malik 23-may-2025');</v>
      </c>
    </row>
    <row r="196" spans="1:8" ht="75" x14ac:dyDescent="0.25">
      <c r="A196" s="22" t="s">
        <v>260</v>
      </c>
      <c r="B196" s="30" t="str">
        <f>VLOOKUP(A196,policy!B:C,2,0)</f>
        <v>040000197684</v>
      </c>
      <c r="C196" s="22">
        <v>8105</v>
      </c>
      <c r="D196" s="31">
        <f t="shared" si="13"/>
        <v>8105</v>
      </c>
      <c r="E196" s="29" t="s">
        <v>1280</v>
      </c>
      <c r="F196" s="32" t="str">
        <f t="shared" si="12"/>
        <v>insert into ins_premium_det (premium_rcv_code,assorted_code, rec_amount,premium_rcv_detail_code,remaining_amt, payrec, mode_code,coinsurance_code,class_cd,it_remarks) values</v>
      </c>
      <c r="G196" s="33" t="str">
        <f t="shared" si="14"/>
        <v>('23May250004','040000197684','8105',(select max(to_number(i.premium_rcv_detail_code))+1
from ins_premium_det i),'8105','8105','09', '11000003','00','Request by Mr. reheel malik 23-may-2025');</v>
      </c>
      <c r="H196" s="34" t="str">
        <f t="shared" si="15"/>
        <v>insert into ins_premium_det (premium_rcv_code,assorted_code, rec_amount,premium_rcv_detail_code,remaining_amt, payrec, mode_code,coinsurance_code,class_cd,it_remarks) values('23May250004','040000197684','8105',(select max(to_number(i.premium_rcv_detail_code))+1
from ins_premium_det i),'8105','8105','09', '11000003','00','Request by Mr. reheel malik 23-may-2025');</v>
      </c>
    </row>
    <row r="197" spans="1:8" ht="75" x14ac:dyDescent="0.25">
      <c r="A197" s="22" t="s">
        <v>261</v>
      </c>
      <c r="B197" s="30" t="str">
        <f>VLOOKUP(A197,policy!B:C,2,0)</f>
        <v>050000861219</v>
      </c>
      <c r="C197" s="22">
        <v>8105</v>
      </c>
      <c r="D197" s="31">
        <f t="shared" si="13"/>
        <v>8105</v>
      </c>
      <c r="E197" s="29" t="s">
        <v>1280</v>
      </c>
      <c r="F197" s="32" t="str">
        <f t="shared" si="12"/>
        <v>insert into ins_premium_det (premium_rcv_code,assorted_code, rec_amount,premium_rcv_detail_code,remaining_amt, payrec, mode_code,coinsurance_code,class_cd,it_remarks) values</v>
      </c>
      <c r="G197" s="33" t="str">
        <f t="shared" si="14"/>
        <v>('23May250004','050000861219','8105',(select max(to_number(i.premium_rcv_detail_code))+1
from ins_premium_det i),'8105','8105','09', '11000003','00','Request by Mr. reheel malik 23-may-2025');</v>
      </c>
      <c r="H197" s="34" t="str">
        <f t="shared" si="15"/>
        <v>insert into ins_premium_det (premium_rcv_code,assorted_code, rec_amount,premium_rcv_detail_code,remaining_amt, payrec, mode_code,coinsurance_code,class_cd,it_remarks) values('23May250004','050000861219','8105',(select max(to_number(i.premium_rcv_detail_code))+1
from ins_premium_det i),'8105','8105','09', '11000003','00','Request by Mr. reheel malik 23-may-2025');</v>
      </c>
    </row>
    <row r="198" spans="1:8" ht="75" x14ac:dyDescent="0.25">
      <c r="A198" s="22" t="s">
        <v>262</v>
      </c>
      <c r="B198" s="30" t="str">
        <f>VLOOKUP(A198,policy!B:C,2,0)</f>
        <v>040000194970</v>
      </c>
      <c r="C198" s="22">
        <v>8105</v>
      </c>
      <c r="D198" s="31">
        <f t="shared" si="13"/>
        <v>8105</v>
      </c>
      <c r="E198" s="29" t="s">
        <v>1280</v>
      </c>
      <c r="F198" s="32" t="str">
        <f t="shared" si="12"/>
        <v>insert into ins_premium_det (premium_rcv_code,assorted_code, rec_amount,premium_rcv_detail_code,remaining_amt, payrec, mode_code,coinsurance_code,class_cd,it_remarks) values</v>
      </c>
      <c r="G198" s="33" t="str">
        <f t="shared" si="14"/>
        <v>('23May250004','040000194970','8105',(select max(to_number(i.premium_rcv_detail_code))+1
from ins_premium_det i),'8105','8105','09', '11000003','00','Request by Mr. reheel malik 23-may-2025');</v>
      </c>
      <c r="H198" s="34" t="str">
        <f t="shared" si="15"/>
        <v>insert into ins_premium_det (premium_rcv_code,assorted_code, rec_amount,premium_rcv_detail_code,remaining_amt, payrec, mode_code,coinsurance_code,class_cd,it_remarks) values('23May250004','040000194970','8105',(select max(to_number(i.premium_rcv_detail_code))+1
from ins_premium_det i),'8105','8105','09', '11000003','00','Request by Mr. reheel malik 23-may-2025');</v>
      </c>
    </row>
    <row r="199" spans="1:8" ht="75" x14ac:dyDescent="0.25">
      <c r="A199" s="22" t="s">
        <v>263</v>
      </c>
      <c r="B199" s="30" t="str">
        <f>VLOOKUP(A199,policy!B:C,2,0)</f>
        <v>040000195411</v>
      </c>
      <c r="C199" s="22">
        <v>8105</v>
      </c>
      <c r="D199" s="31">
        <f t="shared" si="13"/>
        <v>8105</v>
      </c>
      <c r="E199" s="29" t="s">
        <v>1280</v>
      </c>
      <c r="F199" s="32" t="str">
        <f t="shared" si="12"/>
        <v>insert into ins_premium_det (premium_rcv_code,assorted_code, rec_amount,premium_rcv_detail_code,remaining_amt, payrec, mode_code,coinsurance_code,class_cd,it_remarks) values</v>
      </c>
      <c r="G199" s="33" t="str">
        <f t="shared" si="14"/>
        <v>('23May250004','040000195411','8105',(select max(to_number(i.premium_rcv_detail_code))+1
from ins_premium_det i),'8105','8105','09', '11000003','00','Request by Mr. reheel malik 23-may-2025');</v>
      </c>
      <c r="H199" s="34" t="str">
        <f t="shared" si="15"/>
        <v>insert into ins_premium_det (premium_rcv_code,assorted_code, rec_amount,premium_rcv_detail_code,remaining_amt, payrec, mode_code,coinsurance_code,class_cd,it_remarks) values('23May250004','040000195411','8105',(select max(to_number(i.premium_rcv_detail_code))+1
from ins_premium_det i),'8105','8105','09', '11000003','00','Request by Mr. reheel malik 23-may-2025');</v>
      </c>
    </row>
    <row r="200" spans="1:8" ht="75" x14ac:dyDescent="0.25">
      <c r="A200" s="22" t="s">
        <v>264</v>
      </c>
      <c r="B200" s="30" t="str">
        <f>VLOOKUP(A200,policy!B:C,2,0)</f>
        <v>040000195536</v>
      </c>
      <c r="C200" s="22">
        <v>8105</v>
      </c>
      <c r="D200" s="31">
        <f t="shared" si="13"/>
        <v>8105</v>
      </c>
      <c r="E200" s="29" t="s">
        <v>1280</v>
      </c>
      <c r="F200" s="32" t="str">
        <f t="shared" si="12"/>
        <v>insert into ins_premium_det (premium_rcv_code,assorted_code, rec_amount,premium_rcv_detail_code,remaining_amt, payrec, mode_code,coinsurance_code,class_cd,it_remarks) values</v>
      </c>
      <c r="G200" s="33" t="str">
        <f t="shared" si="14"/>
        <v>('23May250004','040000195536','8105',(select max(to_number(i.premium_rcv_detail_code))+1
from ins_premium_det i),'8105','8105','09', '11000003','00','Request by Mr. reheel malik 23-may-2025');</v>
      </c>
      <c r="H200" s="34" t="str">
        <f t="shared" si="15"/>
        <v>insert into ins_premium_det (premium_rcv_code,assorted_code, rec_amount,premium_rcv_detail_code,remaining_amt, payrec, mode_code,coinsurance_code,class_cd,it_remarks) values('23May250004','040000195536','8105',(select max(to_number(i.premium_rcv_detail_code))+1
from ins_premium_det i),'8105','8105','09', '11000003','00','Request by Mr. reheel malik 23-may-2025');</v>
      </c>
    </row>
    <row r="201" spans="1:8" ht="75" x14ac:dyDescent="0.25">
      <c r="A201" s="22" t="s">
        <v>265</v>
      </c>
      <c r="B201" s="30" t="str">
        <f>VLOOKUP(A201,policy!B:C,2,0)</f>
        <v>040000195537</v>
      </c>
      <c r="C201" s="22">
        <v>8105</v>
      </c>
      <c r="D201" s="31">
        <f t="shared" si="13"/>
        <v>8105</v>
      </c>
      <c r="E201" s="29" t="s">
        <v>1280</v>
      </c>
      <c r="F201" s="32" t="str">
        <f t="shared" si="12"/>
        <v>insert into ins_premium_det (premium_rcv_code,assorted_code, rec_amount,premium_rcv_detail_code,remaining_amt, payrec, mode_code,coinsurance_code,class_cd,it_remarks) values</v>
      </c>
      <c r="G201" s="33" t="str">
        <f t="shared" si="14"/>
        <v>('23May250004','040000195537','8105',(select max(to_number(i.premium_rcv_detail_code))+1
from ins_premium_det i),'8105','8105','09', '11000003','00','Request by Mr. reheel malik 23-may-2025');</v>
      </c>
      <c r="H201" s="34" t="str">
        <f t="shared" si="15"/>
        <v>insert into ins_premium_det (premium_rcv_code,assorted_code, rec_amount,premium_rcv_detail_code,remaining_amt, payrec, mode_code,coinsurance_code,class_cd,it_remarks) values('23May250004','040000195537','8105',(select max(to_number(i.premium_rcv_detail_code))+1
from ins_premium_det i),'8105','8105','09', '11000003','00','Request by Mr. reheel malik 23-may-2025');</v>
      </c>
    </row>
    <row r="202" spans="1:8" ht="75" x14ac:dyDescent="0.25">
      <c r="A202" s="22" t="s">
        <v>266</v>
      </c>
      <c r="B202" s="30" t="str">
        <f>VLOOKUP(A202,policy!B:C,2,0)</f>
        <v>040000195539</v>
      </c>
      <c r="C202" s="22">
        <v>8105</v>
      </c>
      <c r="D202" s="31">
        <f t="shared" si="13"/>
        <v>8105</v>
      </c>
      <c r="E202" s="29" t="s">
        <v>1280</v>
      </c>
      <c r="F202" s="32" t="str">
        <f t="shared" si="12"/>
        <v>insert into ins_premium_det (premium_rcv_code,assorted_code, rec_amount,premium_rcv_detail_code,remaining_amt, payrec, mode_code,coinsurance_code,class_cd,it_remarks) values</v>
      </c>
      <c r="G202" s="33" t="str">
        <f t="shared" si="14"/>
        <v>('23May250004','040000195539','8105',(select max(to_number(i.premium_rcv_detail_code))+1
from ins_premium_det i),'8105','8105','09', '11000003','00','Request by Mr. reheel malik 23-may-2025');</v>
      </c>
      <c r="H202" s="34" t="str">
        <f t="shared" si="15"/>
        <v>insert into ins_premium_det (premium_rcv_code,assorted_code, rec_amount,premium_rcv_detail_code,remaining_amt, payrec, mode_code,coinsurance_code,class_cd,it_remarks) values('23May250004','040000195539','8105',(select max(to_number(i.premium_rcv_detail_code))+1
from ins_premium_det i),'8105','8105','09', '11000003','00','Request by Mr. reheel malik 23-may-2025');</v>
      </c>
    </row>
    <row r="203" spans="1:8" ht="75" x14ac:dyDescent="0.25">
      <c r="A203" s="22" t="s">
        <v>267</v>
      </c>
      <c r="B203" s="30" t="str">
        <f>VLOOKUP(A203,policy!B:C,2,0)</f>
        <v>040000195540</v>
      </c>
      <c r="C203" s="22">
        <v>8105</v>
      </c>
      <c r="D203" s="31">
        <f t="shared" si="13"/>
        <v>8105</v>
      </c>
      <c r="E203" s="29" t="s">
        <v>1280</v>
      </c>
      <c r="F203" s="32" t="str">
        <f t="shared" si="12"/>
        <v>insert into ins_premium_det (premium_rcv_code,assorted_code, rec_amount,premium_rcv_detail_code,remaining_amt, payrec, mode_code,coinsurance_code,class_cd,it_remarks) values</v>
      </c>
      <c r="G203" s="33" t="str">
        <f t="shared" si="14"/>
        <v>('23May250004','040000195540','8105',(select max(to_number(i.premium_rcv_detail_code))+1
from ins_premium_det i),'8105','8105','09', '11000003','00','Request by Mr. reheel malik 23-may-2025');</v>
      </c>
      <c r="H203" s="34" t="str">
        <f t="shared" si="15"/>
        <v>insert into ins_premium_det (premium_rcv_code,assorted_code, rec_amount,premium_rcv_detail_code,remaining_amt, payrec, mode_code,coinsurance_code,class_cd,it_remarks) values('23May250004','040000195540','8105',(select max(to_number(i.premium_rcv_detail_code))+1
from ins_premium_det i),'8105','8105','09', '11000003','00','Request by Mr. reheel malik 23-may-2025');</v>
      </c>
    </row>
    <row r="204" spans="1:8" ht="75" x14ac:dyDescent="0.25">
      <c r="A204" s="22" t="s">
        <v>268</v>
      </c>
      <c r="B204" s="30" t="str">
        <f>VLOOKUP(A204,policy!B:C,2,0)</f>
        <v>040000195541</v>
      </c>
      <c r="C204" s="22">
        <v>8105</v>
      </c>
      <c r="D204" s="31">
        <f t="shared" si="13"/>
        <v>8105</v>
      </c>
      <c r="E204" s="29" t="s">
        <v>1280</v>
      </c>
      <c r="F204" s="32" t="str">
        <f t="shared" si="12"/>
        <v>insert into ins_premium_det (premium_rcv_code,assorted_code, rec_amount,premium_rcv_detail_code,remaining_amt, payrec, mode_code,coinsurance_code,class_cd,it_remarks) values</v>
      </c>
      <c r="G204" s="33" t="str">
        <f t="shared" si="14"/>
        <v>('23May250004','040000195541','8105',(select max(to_number(i.premium_rcv_detail_code))+1
from ins_premium_det i),'8105','8105','09', '11000003','00','Request by Mr. reheel malik 23-may-2025');</v>
      </c>
      <c r="H204" s="34" t="str">
        <f t="shared" si="15"/>
        <v>insert into ins_premium_det (premium_rcv_code,assorted_code, rec_amount,premium_rcv_detail_code,remaining_amt, payrec, mode_code,coinsurance_code,class_cd,it_remarks) values('23May250004','040000195541','8105',(select max(to_number(i.premium_rcv_detail_code))+1
from ins_premium_det i),'8105','8105','09', '11000003','00','Request by Mr. reheel malik 23-may-2025');</v>
      </c>
    </row>
    <row r="205" spans="1:8" ht="75" x14ac:dyDescent="0.25">
      <c r="A205" s="22" t="s">
        <v>269</v>
      </c>
      <c r="B205" s="30" t="str">
        <f>VLOOKUP(A205,policy!B:C,2,0)</f>
        <v>040000195548</v>
      </c>
      <c r="C205" s="22">
        <v>8105</v>
      </c>
      <c r="D205" s="31">
        <f t="shared" si="13"/>
        <v>8105</v>
      </c>
      <c r="E205" s="29" t="s">
        <v>1280</v>
      </c>
      <c r="F205" s="32" t="str">
        <f t="shared" si="12"/>
        <v>insert into ins_premium_det (premium_rcv_code,assorted_code, rec_amount,premium_rcv_detail_code,remaining_amt, payrec, mode_code,coinsurance_code,class_cd,it_remarks) values</v>
      </c>
      <c r="G205" s="33" t="str">
        <f t="shared" si="14"/>
        <v>('23May250004','040000195548','8105',(select max(to_number(i.premium_rcv_detail_code))+1
from ins_premium_det i),'8105','8105','09', '11000003','00','Request by Mr. reheel malik 23-may-2025');</v>
      </c>
      <c r="H205" s="34" t="str">
        <f t="shared" si="15"/>
        <v>insert into ins_premium_det (premium_rcv_code,assorted_code, rec_amount,premium_rcv_detail_code,remaining_amt, payrec, mode_code,coinsurance_code,class_cd,it_remarks) values('23May250004','040000195548','8105',(select max(to_number(i.premium_rcv_detail_code))+1
from ins_premium_det i),'8105','8105','09', '11000003','00','Request by Mr. reheel malik 23-may-2025');</v>
      </c>
    </row>
    <row r="206" spans="1:8" ht="75" x14ac:dyDescent="0.25">
      <c r="A206" s="22" t="s">
        <v>270</v>
      </c>
      <c r="B206" s="30" t="str">
        <f>VLOOKUP(A206,policy!B:C,2,0)</f>
        <v>040000195672</v>
      </c>
      <c r="C206" s="22">
        <v>8105</v>
      </c>
      <c r="D206" s="31">
        <f t="shared" si="13"/>
        <v>8105</v>
      </c>
      <c r="E206" s="29" t="s">
        <v>1280</v>
      </c>
      <c r="F206" s="32" t="str">
        <f t="shared" si="12"/>
        <v>insert into ins_premium_det (premium_rcv_code,assorted_code, rec_amount,premium_rcv_detail_code,remaining_amt, payrec, mode_code,coinsurance_code,class_cd,it_remarks) values</v>
      </c>
      <c r="G206" s="33" t="str">
        <f t="shared" si="14"/>
        <v>('23May250004','040000195672','8105',(select max(to_number(i.premium_rcv_detail_code))+1
from ins_premium_det i),'8105','8105','09', '11000003','00','Request by Mr. reheel malik 23-may-2025');</v>
      </c>
      <c r="H206" s="34" t="str">
        <f t="shared" si="15"/>
        <v>insert into ins_premium_det (premium_rcv_code,assorted_code, rec_amount,premium_rcv_detail_code,remaining_amt, payrec, mode_code,coinsurance_code,class_cd,it_remarks) values('23May250004','040000195672','8105',(select max(to_number(i.premium_rcv_detail_code))+1
from ins_premium_det i),'8105','8105','09', '11000003','00','Request by Mr. reheel malik 23-may-2025');</v>
      </c>
    </row>
    <row r="207" spans="1:8" ht="75" x14ac:dyDescent="0.25">
      <c r="A207" s="22" t="s">
        <v>271</v>
      </c>
      <c r="B207" s="30" t="str">
        <f>VLOOKUP(A207,policy!B:C,2,0)</f>
        <v>040000195678</v>
      </c>
      <c r="C207" s="22">
        <v>8105</v>
      </c>
      <c r="D207" s="31">
        <f t="shared" si="13"/>
        <v>8105</v>
      </c>
      <c r="E207" s="29" t="s">
        <v>1280</v>
      </c>
      <c r="F207" s="32" t="str">
        <f t="shared" si="12"/>
        <v>insert into ins_premium_det (premium_rcv_code,assorted_code, rec_amount,premium_rcv_detail_code,remaining_amt, payrec, mode_code,coinsurance_code,class_cd,it_remarks) values</v>
      </c>
      <c r="G207" s="33" t="str">
        <f t="shared" si="14"/>
        <v>('23May250004','040000195678','8105',(select max(to_number(i.premium_rcv_detail_code))+1
from ins_premium_det i),'8105','8105','09', '11000003','00','Request by Mr. reheel malik 23-may-2025');</v>
      </c>
      <c r="H207" s="34" t="str">
        <f t="shared" si="15"/>
        <v>insert into ins_premium_det (premium_rcv_code,assorted_code, rec_amount,premium_rcv_detail_code,remaining_amt, payrec, mode_code,coinsurance_code,class_cd,it_remarks) values('23May250004','040000195678','8105',(select max(to_number(i.premium_rcv_detail_code))+1
from ins_premium_det i),'8105','8105','09', '11000003','00','Request by Mr. reheel malik 23-may-2025');</v>
      </c>
    </row>
    <row r="208" spans="1:8" ht="75" x14ac:dyDescent="0.25">
      <c r="A208" s="22" t="s">
        <v>272</v>
      </c>
      <c r="B208" s="30" t="str">
        <f>VLOOKUP(A208,policy!B:C,2,0)</f>
        <v>040000195765</v>
      </c>
      <c r="C208" s="22">
        <v>8105</v>
      </c>
      <c r="D208" s="31">
        <f t="shared" si="13"/>
        <v>8105</v>
      </c>
      <c r="E208" s="29" t="s">
        <v>1280</v>
      </c>
      <c r="F208" s="32" t="str">
        <f t="shared" si="12"/>
        <v>insert into ins_premium_det (premium_rcv_code,assorted_code, rec_amount,premium_rcv_detail_code,remaining_amt, payrec, mode_code,coinsurance_code,class_cd,it_remarks) values</v>
      </c>
      <c r="G208" s="33" t="str">
        <f t="shared" si="14"/>
        <v>('23May250004','040000195765','8105',(select max(to_number(i.premium_rcv_detail_code))+1
from ins_premium_det i),'8105','8105','09', '11000003','00','Request by Mr. reheel malik 23-may-2025');</v>
      </c>
      <c r="H208" s="34" t="str">
        <f t="shared" si="15"/>
        <v>insert into ins_premium_det (premium_rcv_code,assorted_code, rec_amount,premium_rcv_detail_code,remaining_amt, payrec, mode_code,coinsurance_code,class_cd,it_remarks) values('23May250004','040000195765','8105',(select max(to_number(i.premium_rcv_detail_code))+1
from ins_premium_det i),'8105','8105','09', '11000003','00','Request by Mr. reheel malik 23-may-2025');</v>
      </c>
    </row>
    <row r="209" spans="1:8" ht="75" x14ac:dyDescent="0.25">
      <c r="A209" s="22" t="s">
        <v>273</v>
      </c>
      <c r="B209" s="30" t="str">
        <f>VLOOKUP(A209,policy!B:C,2,0)</f>
        <v>040000195803</v>
      </c>
      <c r="C209" s="22">
        <v>8105</v>
      </c>
      <c r="D209" s="31">
        <f t="shared" si="13"/>
        <v>8105</v>
      </c>
      <c r="E209" s="29" t="s">
        <v>1280</v>
      </c>
      <c r="F209" s="32" t="str">
        <f t="shared" si="12"/>
        <v>insert into ins_premium_det (premium_rcv_code,assorted_code, rec_amount,premium_rcv_detail_code,remaining_amt, payrec, mode_code,coinsurance_code,class_cd,it_remarks) values</v>
      </c>
      <c r="G209" s="33" t="str">
        <f t="shared" si="14"/>
        <v>('23May250004','040000195803','8105',(select max(to_number(i.premium_rcv_detail_code))+1
from ins_premium_det i),'8105','8105','09', '11000003','00','Request by Mr. reheel malik 23-may-2025');</v>
      </c>
      <c r="H209" s="34" t="str">
        <f t="shared" si="15"/>
        <v>insert into ins_premium_det (premium_rcv_code,assorted_code, rec_amount,premium_rcv_detail_code,remaining_amt, payrec, mode_code,coinsurance_code,class_cd,it_remarks) values('23May250004','040000195803','8105',(select max(to_number(i.premium_rcv_detail_code))+1
from ins_premium_det i),'8105','8105','09', '11000003','00','Request by Mr. reheel malik 23-may-2025');</v>
      </c>
    </row>
    <row r="210" spans="1:8" ht="75" x14ac:dyDescent="0.25">
      <c r="A210" s="22" t="s">
        <v>274</v>
      </c>
      <c r="B210" s="30" t="str">
        <f>VLOOKUP(A210,policy!B:C,2,0)</f>
        <v>040000195824</v>
      </c>
      <c r="C210" s="22">
        <v>8105</v>
      </c>
      <c r="D210" s="31">
        <f t="shared" si="13"/>
        <v>8105</v>
      </c>
      <c r="E210" s="29" t="s">
        <v>1280</v>
      </c>
      <c r="F210" s="32" t="str">
        <f t="shared" si="12"/>
        <v>insert into ins_premium_det (premium_rcv_code,assorted_code, rec_amount,premium_rcv_detail_code,remaining_amt, payrec, mode_code,coinsurance_code,class_cd,it_remarks) values</v>
      </c>
      <c r="G210" s="33" t="str">
        <f t="shared" si="14"/>
        <v>('23May250004','040000195824','8105',(select max(to_number(i.premium_rcv_detail_code))+1
from ins_premium_det i),'8105','8105','09', '11000003','00','Request by Mr. reheel malik 23-may-2025');</v>
      </c>
      <c r="H210" s="34" t="str">
        <f t="shared" si="15"/>
        <v>insert into ins_premium_det (premium_rcv_code,assorted_code, rec_amount,premium_rcv_detail_code,remaining_amt, payrec, mode_code,coinsurance_code,class_cd,it_remarks) values('23May250004','040000195824','8105',(select max(to_number(i.premium_rcv_detail_code))+1
from ins_premium_det i),'8105','8105','09', '11000003','00','Request by Mr. reheel malik 23-may-2025');</v>
      </c>
    </row>
    <row r="211" spans="1:8" ht="75" x14ac:dyDescent="0.25">
      <c r="A211" s="22" t="s">
        <v>275</v>
      </c>
      <c r="B211" s="30" t="str">
        <f>VLOOKUP(A211,policy!B:C,2,0)</f>
        <v>040000196016</v>
      </c>
      <c r="C211" s="22">
        <v>8105</v>
      </c>
      <c r="D211" s="31">
        <f t="shared" si="13"/>
        <v>8105</v>
      </c>
      <c r="E211" s="29" t="s">
        <v>1280</v>
      </c>
      <c r="F211" s="32" t="str">
        <f t="shared" si="12"/>
        <v>insert into ins_premium_det (premium_rcv_code,assorted_code, rec_amount,premium_rcv_detail_code,remaining_amt, payrec, mode_code,coinsurance_code,class_cd,it_remarks) values</v>
      </c>
      <c r="G211" s="33" t="str">
        <f t="shared" si="14"/>
        <v>('23May250004','040000196016','8105',(select max(to_number(i.premium_rcv_detail_code))+1
from ins_premium_det i),'8105','8105','09', '11000003','00','Request by Mr. reheel malik 23-may-2025');</v>
      </c>
      <c r="H211" s="34" t="str">
        <f t="shared" si="15"/>
        <v>insert into ins_premium_det (premium_rcv_code,assorted_code, rec_amount,premium_rcv_detail_code,remaining_amt, payrec, mode_code,coinsurance_code,class_cd,it_remarks) values('23May250004','040000196016','8105',(select max(to_number(i.premium_rcv_detail_code))+1
from ins_premium_det i),'8105','8105','09', '11000003','00','Request by Mr. reheel malik 23-may-2025');</v>
      </c>
    </row>
    <row r="212" spans="1:8" ht="75" x14ac:dyDescent="0.25">
      <c r="A212" s="22" t="s">
        <v>276</v>
      </c>
      <c r="B212" s="30" t="str">
        <f>VLOOKUP(A212,policy!B:C,2,0)</f>
        <v>040000196039</v>
      </c>
      <c r="C212" s="22">
        <v>8105</v>
      </c>
      <c r="D212" s="31">
        <f t="shared" si="13"/>
        <v>8105</v>
      </c>
      <c r="E212" s="29" t="s">
        <v>1280</v>
      </c>
      <c r="F212" s="32" t="str">
        <f t="shared" si="12"/>
        <v>insert into ins_premium_det (premium_rcv_code,assorted_code, rec_amount,premium_rcv_detail_code,remaining_amt, payrec, mode_code,coinsurance_code,class_cd,it_remarks) values</v>
      </c>
      <c r="G212" s="33" t="str">
        <f t="shared" si="14"/>
        <v>('23May250004','040000196039','8105',(select max(to_number(i.premium_rcv_detail_code))+1
from ins_premium_det i),'8105','8105','09', '11000003','00','Request by Mr. reheel malik 23-may-2025');</v>
      </c>
      <c r="H212" s="34" t="str">
        <f t="shared" si="15"/>
        <v>insert into ins_premium_det (premium_rcv_code,assorted_code, rec_amount,premium_rcv_detail_code,remaining_amt, payrec, mode_code,coinsurance_code,class_cd,it_remarks) values('23May250004','040000196039','8105',(select max(to_number(i.premium_rcv_detail_code))+1
from ins_premium_det i),'8105','8105','09', '11000003','00','Request by Mr. reheel malik 23-may-2025');</v>
      </c>
    </row>
    <row r="213" spans="1:8" ht="75" x14ac:dyDescent="0.25">
      <c r="A213" s="22" t="s">
        <v>277</v>
      </c>
      <c r="B213" s="30" t="str">
        <f>VLOOKUP(A213,policy!B:C,2,0)</f>
        <v>040000196111</v>
      </c>
      <c r="C213" s="22">
        <v>8105</v>
      </c>
      <c r="D213" s="31">
        <f t="shared" si="13"/>
        <v>8105</v>
      </c>
      <c r="E213" s="29" t="s">
        <v>1280</v>
      </c>
      <c r="F213" s="32" t="str">
        <f t="shared" si="12"/>
        <v>insert into ins_premium_det (premium_rcv_code,assorted_code, rec_amount,premium_rcv_detail_code,remaining_amt, payrec, mode_code,coinsurance_code,class_cd,it_remarks) values</v>
      </c>
      <c r="G213" s="33" t="str">
        <f t="shared" si="14"/>
        <v>('23May250004','040000196111','8105',(select max(to_number(i.premium_rcv_detail_code))+1
from ins_premium_det i),'8105','8105','09', '11000003','00','Request by Mr. reheel malik 23-may-2025');</v>
      </c>
      <c r="H213" s="34" t="str">
        <f t="shared" si="15"/>
        <v>insert into ins_premium_det (premium_rcv_code,assorted_code, rec_amount,premium_rcv_detail_code,remaining_amt, payrec, mode_code,coinsurance_code,class_cd,it_remarks) values('23May250004','040000196111','8105',(select max(to_number(i.premium_rcv_detail_code))+1
from ins_premium_det i),'8105','8105','09', '11000003','00','Request by Mr. reheel malik 23-may-2025');</v>
      </c>
    </row>
    <row r="214" spans="1:8" ht="75" x14ac:dyDescent="0.25">
      <c r="A214" s="22" t="s">
        <v>278</v>
      </c>
      <c r="B214" s="30" t="str">
        <f>VLOOKUP(A214,policy!B:C,2,0)</f>
        <v>040000196209</v>
      </c>
      <c r="C214" s="22">
        <v>8105</v>
      </c>
      <c r="D214" s="31">
        <f t="shared" si="13"/>
        <v>8105</v>
      </c>
      <c r="E214" s="29" t="s">
        <v>1280</v>
      </c>
      <c r="F214" s="32" t="str">
        <f t="shared" si="12"/>
        <v>insert into ins_premium_det (premium_rcv_code,assorted_code, rec_amount,premium_rcv_detail_code,remaining_amt, payrec, mode_code,coinsurance_code,class_cd,it_remarks) values</v>
      </c>
      <c r="G214" s="33" t="str">
        <f t="shared" si="14"/>
        <v>('23May250004','040000196209','8105',(select max(to_number(i.premium_rcv_detail_code))+1
from ins_premium_det i),'8105','8105','09', '11000003','00','Request by Mr. reheel malik 23-may-2025');</v>
      </c>
      <c r="H214" s="34" t="str">
        <f t="shared" si="15"/>
        <v>insert into ins_premium_det (premium_rcv_code,assorted_code, rec_amount,premium_rcv_detail_code,remaining_amt, payrec, mode_code,coinsurance_code,class_cd,it_remarks) values('23May250004','040000196209','8105',(select max(to_number(i.premium_rcv_detail_code))+1
from ins_premium_det i),'8105','8105','09', '11000003','00','Request by Mr. reheel malik 23-may-2025');</v>
      </c>
    </row>
    <row r="215" spans="1:8" ht="75" x14ac:dyDescent="0.25">
      <c r="A215" s="22" t="s">
        <v>279</v>
      </c>
      <c r="B215" s="30" t="str">
        <f>VLOOKUP(A215,policy!B:C,2,0)</f>
        <v>040000196241</v>
      </c>
      <c r="C215" s="22">
        <v>8105</v>
      </c>
      <c r="D215" s="31">
        <f t="shared" si="13"/>
        <v>8105</v>
      </c>
      <c r="E215" s="29" t="s">
        <v>1280</v>
      </c>
      <c r="F215" s="32" t="str">
        <f t="shared" si="12"/>
        <v>insert into ins_premium_det (premium_rcv_code,assorted_code, rec_amount,premium_rcv_detail_code,remaining_amt, payrec, mode_code,coinsurance_code,class_cd,it_remarks) values</v>
      </c>
      <c r="G215" s="33" t="str">
        <f t="shared" si="14"/>
        <v>('23May250004','040000196241','8105',(select max(to_number(i.premium_rcv_detail_code))+1
from ins_premium_det i),'8105','8105','09', '11000003','00','Request by Mr. reheel malik 23-may-2025');</v>
      </c>
      <c r="H215" s="34" t="str">
        <f t="shared" si="15"/>
        <v>insert into ins_premium_det (premium_rcv_code,assorted_code, rec_amount,premium_rcv_detail_code,remaining_amt, payrec, mode_code,coinsurance_code,class_cd,it_remarks) values('23May250004','040000196241','8105',(select max(to_number(i.premium_rcv_detail_code))+1
from ins_premium_det i),'8105','8105','09', '11000003','00','Request by Mr. reheel malik 23-may-2025');</v>
      </c>
    </row>
    <row r="216" spans="1:8" ht="75" x14ac:dyDescent="0.25">
      <c r="A216" s="22" t="s">
        <v>280</v>
      </c>
      <c r="B216" s="30" t="str">
        <f>VLOOKUP(A216,policy!B:C,2,0)</f>
        <v>040000196274</v>
      </c>
      <c r="C216" s="22">
        <v>8105</v>
      </c>
      <c r="D216" s="31">
        <f t="shared" si="13"/>
        <v>8105</v>
      </c>
      <c r="E216" s="29" t="s">
        <v>1280</v>
      </c>
      <c r="F216" s="32" t="str">
        <f t="shared" si="12"/>
        <v>insert into ins_premium_det (premium_rcv_code,assorted_code, rec_amount,premium_rcv_detail_code,remaining_amt, payrec, mode_code,coinsurance_code,class_cd,it_remarks) values</v>
      </c>
      <c r="G216" s="33" t="str">
        <f t="shared" si="14"/>
        <v>('23May250004','040000196274','8105',(select max(to_number(i.premium_rcv_detail_code))+1
from ins_premium_det i),'8105','8105','09', '11000003','00','Request by Mr. reheel malik 23-may-2025');</v>
      </c>
      <c r="H216" s="34" t="str">
        <f t="shared" si="15"/>
        <v>insert into ins_premium_det (premium_rcv_code,assorted_code, rec_amount,premium_rcv_detail_code,remaining_amt, payrec, mode_code,coinsurance_code,class_cd,it_remarks) values('23May250004','040000196274','8105',(select max(to_number(i.premium_rcv_detail_code))+1
from ins_premium_det i),'8105','8105','09', '11000003','00','Request by Mr. reheel malik 23-may-2025');</v>
      </c>
    </row>
    <row r="217" spans="1:8" ht="75" x14ac:dyDescent="0.25">
      <c r="A217" s="22" t="s">
        <v>281</v>
      </c>
      <c r="B217" s="30" t="str">
        <f>VLOOKUP(A217,policy!B:C,2,0)</f>
        <v>040000196361</v>
      </c>
      <c r="C217" s="22">
        <v>8105</v>
      </c>
      <c r="D217" s="31">
        <f t="shared" si="13"/>
        <v>8105</v>
      </c>
      <c r="E217" s="29" t="s">
        <v>1280</v>
      </c>
      <c r="F217" s="32" t="str">
        <f t="shared" si="12"/>
        <v>insert into ins_premium_det (premium_rcv_code,assorted_code, rec_amount,premium_rcv_detail_code,remaining_amt, payrec, mode_code,coinsurance_code,class_cd,it_remarks) values</v>
      </c>
      <c r="G217" s="33" t="str">
        <f t="shared" si="14"/>
        <v>('23May250004','040000196361','8105',(select max(to_number(i.premium_rcv_detail_code))+1
from ins_premium_det i),'8105','8105','09', '11000003','00','Request by Mr. reheel malik 23-may-2025');</v>
      </c>
      <c r="H217" s="34" t="str">
        <f t="shared" si="15"/>
        <v>insert into ins_premium_det (premium_rcv_code,assorted_code, rec_amount,premium_rcv_detail_code,remaining_amt, payrec, mode_code,coinsurance_code,class_cd,it_remarks) values('23May250004','040000196361','8105',(select max(to_number(i.premium_rcv_detail_code))+1
from ins_premium_det i),'8105','8105','09', '11000003','00','Request by Mr. reheel malik 23-may-2025');</v>
      </c>
    </row>
    <row r="218" spans="1:8" ht="75" x14ac:dyDescent="0.25">
      <c r="A218" s="22" t="s">
        <v>282</v>
      </c>
      <c r="B218" s="30" t="str">
        <f>VLOOKUP(A218,policy!B:C,2,0)</f>
        <v>040000196363</v>
      </c>
      <c r="C218" s="22">
        <v>8105</v>
      </c>
      <c r="D218" s="31">
        <f t="shared" si="13"/>
        <v>8105</v>
      </c>
      <c r="E218" s="29" t="s">
        <v>1280</v>
      </c>
      <c r="F218" s="32" t="str">
        <f t="shared" si="12"/>
        <v>insert into ins_premium_det (premium_rcv_code,assorted_code, rec_amount,premium_rcv_detail_code,remaining_amt, payrec, mode_code,coinsurance_code,class_cd,it_remarks) values</v>
      </c>
      <c r="G218" s="33" t="str">
        <f t="shared" si="14"/>
        <v>('23May250004','040000196363','8105',(select max(to_number(i.premium_rcv_detail_code))+1
from ins_premium_det i),'8105','8105','09', '11000003','00','Request by Mr. reheel malik 23-may-2025');</v>
      </c>
      <c r="H218" s="34" t="str">
        <f t="shared" si="15"/>
        <v>insert into ins_premium_det (premium_rcv_code,assorted_code, rec_amount,premium_rcv_detail_code,remaining_amt, payrec, mode_code,coinsurance_code,class_cd,it_remarks) values('23May250004','040000196363','8105',(select max(to_number(i.premium_rcv_detail_code))+1
from ins_premium_det i),'8105','8105','09', '11000003','00','Request by Mr. reheel malik 23-may-2025');</v>
      </c>
    </row>
    <row r="219" spans="1:8" ht="75" x14ac:dyDescent="0.25">
      <c r="A219" s="22" t="s">
        <v>283</v>
      </c>
      <c r="B219" s="30" t="str">
        <f>VLOOKUP(A219,policy!B:C,2,0)</f>
        <v>040000196425</v>
      </c>
      <c r="C219" s="22">
        <v>8105</v>
      </c>
      <c r="D219" s="31">
        <f t="shared" si="13"/>
        <v>8105</v>
      </c>
      <c r="E219" s="29" t="s">
        <v>1280</v>
      </c>
      <c r="F219" s="32" t="str">
        <f t="shared" si="12"/>
        <v>insert into ins_premium_det (premium_rcv_code,assorted_code, rec_amount,premium_rcv_detail_code,remaining_amt, payrec, mode_code,coinsurance_code,class_cd,it_remarks) values</v>
      </c>
      <c r="G219" s="33" t="str">
        <f t="shared" si="14"/>
        <v>('23May250004','040000196425','8105',(select max(to_number(i.premium_rcv_detail_code))+1
from ins_premium_det i),'8105','8105','09', '11000003','00','Request by Mr. reheel malik 23-may-2025');</v>
      </c>
      <c r="H219" s="34" t="str">
        <f t="shared" si="15"/>
        <v>insert into ins_premium_det (premium_rcv_code,assorted_code, rec_amount,premium_rcv_detail_code,remaining_amt, payrec, mode_code,coinsurance_code,class_cd,it_remarks) values('23May250004','040000196425','8105',(select max(to_number(i.premium_rcv_detail_code))+1
from ins_premium_det i),'8105','8105','09', '11000003','00','Request by Mr. reheel malik 23-may-2025');</v>
      </c>
    </row>
    <row r="220" spans="1:8" ht="75" x14ac:dyDescent="0.25">
      <c r="A220" s="22" t="s">
        <v>284</v>
      </c>
      <c r="B220" s="30" t="str">
        <f>VLOOKUP(A220,policy!B:C,2,0)</f>
        <v>040000196451</v>
      </c>
      <c r="C220" s="22">
        <v>8105</v>
      </c>
      <c r="D220" s="31">
        <f t="shared" si="13"/>
        <v>8105</v>
      </c>
      <c r="E220" s="29" t="s">
        <v>1280</v>
      </c>
      <c r="F220" s="32" t="str">
        <f t="shared" si="12"/>
        <v>insert into ins_premium_det (premium_rcv_code,assorted_code, rec_amount,premium_rcv_detail_code,remaining_amt, payrec, mode_code,coinsurance_code,class_cd,it_remarks) values</v>
      </c>
      <c r="G220" s="33" t="str">
        <f t="shared" si="14"/>
        <v>('23May250004','040000196451','8105',(select max(to_number(i.premium_rcv_detail_code))+1
from ins_premium_det i),'8105','8105','09', '11000003','00','Request by Mr. reheel malik 23-may-2025');</v>
      </c>
      <c r="H220" s="34" t="str">
        <f t="shared" si="15"/>
        <v>insert into ins_premium_det (premium_rcv_code,assorted_code, rec_amount,premium_rcv_detail_code,remaining_amt, payrec, mode_code,coinsurance_code,class_cd,it_remarks) values('23May250004','040000196451','8105',(select max(to_number(i.premium_rcv_detail_code))+1
from ins_premium_det i),'8105','8105','09', '11000003','00','Request by Mr. reheel malik 23-may-2025');</v>
      </c>
    </row>
    <row r="221" spans="1:8" ht="75" x14ac:dyDescent="0.25">
      <c r="A221" s="22" t="s">
        <v>285</v>
      </c>
      <c r="B221" s="30" t="str">
        <f>VLOOKUP(A221,policy!B:C,2,0)</f>
        <v>040000196482</v>
      </c>
      <c r="C221" s="22">
        <v>8105</v>
      </c>
      <c r="D221" s="31">
        <f t="shared" si="13"/>
        <v>8105</v>
      </c>
      <c r="E221" s="29" t="s">
        <v>1280</v>
      </c>
      <c r="F221" s="32" t="str">
        <f t="shared" si="12"/>
        <v>insert into ins_premium_det (premium_rcv_code,assorted_code, rec_amount,premium_rcv_detail_code,remaining_amt, payrec, mode_code,coinsurance_code,class_cd,it_remarks) values</v>
      </c>
      <c r="G221" s="33" t="str">
        <f t="shared" si="14"/>
        <v>('23May250004','040000196482','8105',(select max(to_number(i.premium_rcv_detail_code))+1
from ins_premium_det i),'8105','8105','09', '11000003','00','Request by Mr. reheel malik 23-may-2025');</v>
      </c>
      <c r="H221" s="34" t="str">
        <f t="shared" si="15"/>
        <v>insert into ins_premium_det (premium_rcv_code,assorted_code, rec_amount,premium_rcv_detail_code,remaining_amt, payrec, mode_code,coinsurance_code,class_cd,it_remarks) values('23May250004','040000196482','8105',(select max(to_number(i.premium_rcv_detail_code))+1
from ins_premium_det i),'8105','8105','09', '11000003','00','Request by Mr. reheel malik 23-may-2025');</v>
      </c>
    </row>
    <row r="222" spans="1:8" ht="75" x14ac:dyDescent="0.25">
      <c r="A222" s="22" t="s">
        <v>286</v>
      </c>
      <c r="B222" s="30" t="str">
        <f>VLOOKUP(A222,policy!B:C,2,0)</f>
        <v>040000196484</v>
      </c>
      <c r="C222" s="22">
        <v>8105</v>
      </c>
      <c r="D222" s="31">
        <f t="shared" si="13"/>
        <v>8105</v>
      </c>
      <c r="E222" s="29" t="s">
        <v>1280</v>
      </c>
      <c r="F222" s="32" t="str">
        <f t="shared" si="12"/>
        <v>insert into ins_premium_det (premium_rcv_code,assorted_code, rec_amount,premium_rcv_detail_code,remaining_amt, payrec, mode_code,coinsurance_code,class_cd,it_remarks) values</v>
      </c>
      <c r="G222" s="33" t="str">
        <f t="shared" si="14"/>
        <v>('23May250004','040000196484','8105',(select max(to_number(i.premium_rcv_detail_code))+1
from ins_premium_det i),'8105','8105','09', '11000003','00','Request by Mr. reheel malik 23-may-2025');</v>
      </c>
      <c r="H222" s="34" t="str">
        <f t="shared" si="15"/>
        <v>insert into ins_premium_det (premium_rcv_code,assorted_code, rec_amount,premium_rcv_detail_code,remaining_amt, payrec, mode_code,coinsurance_code,class_cd,it_remarks) values('23May250004','040000196484','8105',(select max(to_number(i.premium_rcv_detail_code))+1
from ins_premium_det i),'8105','8105','09', '11000003','00','Request by Mr. reheel malik 23-may-2025');</v>
      </c>
    </row>
    <row r="223" spans="1:8" ht="75" x14ac:dyDescent="0.25">
      <c r="A223" s="22" t="s">
        <v>287</v>
      </c>
      <c r="B223" s="30" t="str">
        <f>VLOOKUP(A223,policy!B:C,2,0)</f>
        <v>040000196500</v>
      </c>
      <c r="C223" s="22">
        <v>8105</v>
      </c>
      <c r="D223" s="31">
        <f t="shared" si="13"/>
        <v>8105</v>
      </c>
      <c r="E223" s="29" t="s">
        <v>1280</v>
      </c>
      <c r="F223" s="32" t="str">
        <f t="shared" si="12"/>
        <v>insert into ins_premium_det (premium_rcv_code,assorted_code, rec_amount,premium_rcv_detail_code,remaining_amt, payrec, mode_code,coinsurance_code,class_cd,it_remarks) values</v>
      </c>
      <c r="G223" s="33" t="str">
        <f t="shared" si="14"/>
        <v>('23May250004','040000196500','8105',(select max(to_number(i.premium_rcv_detail_code))+1
from ins_premium_det i),'8105','8105','09', '11000003','00','Request by Mr. reheel malik 23-may-2025');</v>
      </c>
      <c r="H223" s="34" t="str">
        <f t="shared" si="15"/>
        <v>insert into ins_premium_det (premium_rcv_code,assorted_code, rec_amount,premium_rcv_detail_code,remaining_amt, payrec, mode_code,coinsurance_code,class_cd,it_remarks) values('23May250004','040000196500','8105',(select max(to_number(i.premium_rcv_detail_code))+1
from ins_premium_det i),'8105','8105','09', '11000003','00','Request by Mr. reheel malik 23-may-2025');</v>
      </c>
    </row>
    <row r="224" spans="1:8" ht="75" x14ac:dyDescent="0.25">
      <c r="A224" s="22" t="s">
        <v>288</v>
      </c>
      <c r="B224" s="30" t="str">
        <f>VLOOKUP(A224,policy!B:C,2,0)</f>
        <v>040000196507</v>
      </c>
      <c r="C224" s="22">
        <v>8105</v>
      </c>
      <c r="D224" s="31">
        <f t="shared" si="13"/>
        <v>8105</v>
      </c>
      <c r="E224" s="29" t="s">
        <v>1280</v>
      </c>
      <c r="F224" s="32" t="str">
        <f t="shared" si="12"/>
        <v>insert into ins_premium_det (premium_rcv_code,assorted_code, rec_amount,premium_rcv_detail_code,remaining_amt, payrec, mode_code,coinsurance_code,class_cd,it_remarks) values</v>
      </c>
      <c r="G224" s="33" t="str">
        <f t="shared" si="14"/>
        <v>('23May250004','040000196507','8105',(select max(to_number(i.premium_rcv_detail_code))+1
from ins_premium_det i),'8105','8105','09', '11000003','00','Request by Mr. reheel malik 23-may-2025');</v>
      </c>
      <c r="H224" s="34" t="str">
        <f t="shared" si="15"/>
        <v>insert into ins_premium_det (premium_rcv_code,assorted_code, rec_amount,premium_rcv_detail_code,remaining_amt, payrec, mode_code,coinsurance_code,class_cd,it_remarks) values('23May250004','040000196507','8105',(select max(to_number(i.premium_rcv_detail_code))+1
from ins_premium_det i),'8105','8105','09', '11000003','00','Request by Mr. reheel malik 23-may-2025');</v>
      </c>
    </row>
    <row r="225" spans="1:8" ht="75" x14ac:dyDescent="0.25">
      <c r="A225" s="22" t="s">
        <v>289</v>
      </c>
      <c r="B225" s="30" t="str">
        <f>VLOOKUP(A225,policy!B:C,2,0)</f>
        <v>040000196509</v>
      </c>
      <c r="C225" s="22">
        <v>8105</v>
      </c>
      <c r="D225" s="31">
        <f t="shared" si="13"/>
        <v>8105</v>
      </c>
      <c r="E225" s="29" t="s">
        <v>1280</v>
      </c>
      <c r="F225" s="32" t="str">
        <f t="shared" si="12"/>
        <v>insert into ins_premium_det (premium_rcv_code,assorted_code, rec_amount,premium_rcv_detail_code,remaining_amt, payrec, mode_code,coinsurance_code,class_cd,it_remarks) values</v>
      </c>
      <c r="G225" s="33" t="str">
        <f t="shared" si="14"/>
        <v>('23May250004','040000196509','8105',(select max(to_number(i.premium_rcv_detail_code))+1
from ins_premium_det i),'8105','8105','09', '11000003','00','Request by Mr. reheel malik 23-may-2025');</v>
      </c>
      <c r="H225" s="34" t="str">
        <f t="shared" si="15"/>
        <v>insert into ins_premium_det (premium_rcv_code,assorted_code, rec_amount,premium_rcv_detail_code,remaining_amt, payrec, mode_code,coinsurance_code,class_cd,it_remarks) values('23May250004','040000196509','8105',(select max(to_number(i.premium_rcv_detail_code))+1
from ins_premium_det i),'8105','8105','09', '11000003','00','Request by Mr. reheel malik 23-may-2025');</v>
      </c>
    </row>
    <row r="226" spans="1:8" ht="75" x14ac:dyDescent="0.25">
      <c r="A226" s="22" t="s">
        <v>290</v>
      </c>
      <c r="B226" s="30" t="str">
        <f>VLOOKUP(A226,policy!B:C,2,0)</f>
        <v>040000196511</v>
      </c>
      <c r="C226" s="22">
        <v>8105</v>
      </c>
      <c r="D226" s="31">
        <f t="shared" si="13"/>
        <v>8105</v>
      </c>
      <c r="E226" s="29" t="s">
        <v>1280</v>
      </c>
      <c r="F226" s="32" t="str">
        <f t="shared" si="12"/>
        <v>insert into ins_premium_det (premium_rcv_code,assorted_code, rec_amount,premium_rcv_detail_code,remaining_amt, payrec, mode_code,coinsurance_code,class_cd,it_remarks) values</v>
      </c>
      <c r="G226" s="33" t="str">
        <f t="shared" si="14"/>
        <v>('23May250004','040000196511','8105',(select max(to_number(i.premium_rcv_detail_code))+1
from ins_premium_det i),'8105','8105','09', '11000003','00','Request by Mr. reheel malik 23-may-2025');</v>
      </c>
      <c r="H226" s="34" t="str">
        <f t="shared" si="15"/>
        <v>insert into ins_premium_det (premium_rcv_code,assorted_code, rec_amount,premium_rcv_detail_code,remaining_amt, payrec, mode_code,coinsurance_code,class_cd,it_remarks) values('23May250004','040000196511','8105',(select max(to_number(i.premium_rcv_detail_code))+1
from ins_premium_det i),'8105','8105','09', '11000003','00','Request by Mr. reheel malik 23-may-2025');</v>
      </c>
    </row>
    <row r="227" spans="1:8" ht="75" x14ac:dyDescent="0.25">
      <c r="A227" s="22" t="s">
        <v>291</v>
      </c>
      <c r="B227" s="30" t="str">
        <f>VLOOKUP(A227,policy!B:C,2,0)</f>
        <v>040000196527</v>
      </c>
      <c r="C227" s="22">
        <v>8105</v>
      </c>
      <c r="D227" s="31">
        <f t="shared" si="13"/>
        <v>8105</v>
      </c>
      <c r="E227" s="29" t="s">
        <v>1280</v>
      </c>
      <c r="F227" s="32" t="str">
        <f t="shared" si="12"/>
        <v>insert into ins_premium_det (premium_rcv_code,assorted_code, rec_amount,premium_rcv_detail_code,remaining_amt, payrec, mode_code,coinsurance_code,class_cd,it_remarks) values</v>
      </c>
      <c r="G227" s="33" t="str">
        <f t="shared" si="14"/>
        <v>('23May250004','040000196527','8105',(select max(to_number(i.premium_rcv_detail_code))+1
from ins_premium_det i),'8105','8105','09', '11000003','00','Request by Mr. reheel malik 23-may-2025');</v>
      </c>
      <c r="H227" s="34" t="str">
        <f t="shared" si="15"/>
        <v>insert into ins_premium_det (premium_rcv_code,assorted_code, rec_amount,premium_rcv_detail_code,remaining_amt, payrec, mode_code,coinsurance_code,class_cd,it_remarks) values('23May250004','040000196527','8105',(select max(to_number(i.premium_rcv_detail_code))+1
from ins_premium_det i),'8105','8105','09', '11000003','00','Request by Mr. reheel malik 23-may-2025');</v>
      </c>
    </row>
    <row r="228" spans="1:8" ht="75" x14ac:dyDescent="0.25">
      <c r="A228" s="22" t="s">
        <v>292</v>
      </c>
      <c r="B228" s="30" t="str">
        <f>VLOOKUP(A228,policy!B:C,2,0)</f>
        <v>040000196535</v>
      </c>
      <c r="C228" s="22">
        <v>8105</v>
      </c>
      <c r="D228" s="31">
        <f t="shared" si="13"/>
        <v>8105</v>
      </c>
      <c r="E228" s="29" t="s">
        <v>1280</v>
      </c>
      <c r="F228" s="32" t="str">
        <f t="shared" si="12"/>
        <v>insert into ins_premium_det (premium_rcv_code,assorted_code, rec_amount,premium_rcv_detail_code,remaining_amt, payrec, mode_code,coinsurance_code,class_cd,it_remarks) values</v>
      </c>
      <c r="G228" s="33" t="str">
        <f t="shared" si="14"/>
        <v>('23May250004','040000196535','8105',(select max(to_number(i.premium_rcv_detail_code))+1
from ins_premium_det i),'8105','8105','09', '11000003','00','Request by Mr. reheel malik 23-may-2025');</v>
      </c>
      <c r="H228" s="34" t="str">
        <f t="shared" si="15"/>
        <v>insert into ins_premium_det (premium_rcv_code,assorted_code, rec_amount,premium_rcv_detail_code,remaining_amt, payrec, mode_code,coinsurance_code,class_cd,it_remarks) values('23May250004','040000196535','8105',(select max(to_number(i.premium_rcv_detail_code))+1
from ins_premium_det i),'8105','8105','09', '11000003','00','Request by Mr. reheel malik 23-may-2025');</v>
      </c>
    </row>
    <row r="229" spans="1:8" ht="75" x14ac:dyDescent="0.25">
      <c r="A229" s="22" t="s">
        <v>293</v>
      </c>
      <c r="B229" s="30" t="str">
        <f>VLOOKUP(A229,policy!B:C,2,0)</f>
        <v>040000196554</v>
      </c>
      <c r="C229" s="22">
        <v>8105</v>
      </c>
      <c r="D229" s="31">
        <f t="shared" si="13"/>
        <v>8105</v>
      </c>
      <c r="E229" s="29" t="s">
        <v>1280</v>
      </c>
      <c r="F229" s="32" t="str">
        <f t="shared" si="12"/>
        <v>insert into ins_premium_det (premium_rcv_code,assorted_code, rec_amount,premium_rcv_detail_code,remaining_amt, payrec, mode_code,coinsurance_code,class_cd,it_remarks) values</v>
      </c>
      <c r="G229" s="33" t="str">
        <f t="shared" si="14"/>
        <v>('23May250004','040000196554','8105',(select max(to_number(i.premium_rcv_detail_code))+1
from ins_premium_det i),'8105','8105','09', '11000003','00','Request by Mr. reheel malik 23-may-2025');</v>
      </c>
      <c r="H229" s="34" t="str">
        <f t="shared" si="15"/>
        <v>insert into ins_premium_det (premium_rcv_code,assorted_code, rec_amount,premium_rcv_detail_code,remaining_amt, payrec, mode_code,coinsurance_code,class_cd,it_remarks) values('23May250004','040000196554','8105',(select max(to_number(i.premium_rcv_detail_code))+1
from ins_premium_det i),'8105','8105','09', '11000003','00','Request by Mr. reheel malik 23-may-2025');</v>
      </c>
    </row>
    <row r="230" spans="1:8" ht="75" x14ac:dyDescent="0.25">
      <c r="A230" s="22" t="s">
        <v>294</v>
      </c>
      <c r="B230" s="30" t="str">
        <f>VLOOKUP(A230,policy!B:C,2,0)</f>
        <v>040000196571</v>
      </c>
      <c r="C230" s="22">
        <v>8105</v>
      </c>
      <c r="D230" s="31">
        <f t="shared" si="13"/>
        <v>8105</v>
      </c>
      <c r="E230" s="29" t="s">
        <v>1280</v>
      </c>
      <c r="F230" s="32" t="str">
        <f t="shared" si="12"/>
        <v>insert into ins_premium_det (premium_rcv_code,assorted_code, rec_amount,premium_rcv_detail_code,remaining_amt, payrec, mode_code,coinsurance_code,class_cd,it_remarks) values</v>
      </c>
      <c r="G230" s="33" t="str">
        <f t="shared" si="14"/>
        <v>('23May250004','040000196571','8105',(select max(to_number(i.premium_rcv_detail_code))+1
from ins_premium_det i),'8105','8105','09', '11000003','00','Request by Mr. reheel malik 23-may-2025');</v>
      </c>
      <c r="H230" s="34" t="str">
        <f t="shared" si="15"/>
        <v>insert into ins_premium_det (premium_rcv_code,assorted_code, rec_amount,premium_rcv_detail_code,remaining_amt, payrec, mode_code,coinsurance_code,class_cd,it_remarks) values('23May250004','040000196571','8105',(select max(to_number(i.premium_rcv_detail_code))+1
from ins_premium_det i),'8105','8105','09', '11000003','00','Request by Mr. reheel malik 23-may-2025');</v>
      </c>
    </row>
    <row r="231" spans="1:8" ht="75" x14ac:dyDescent="0.25">
      <c r="A231" s="22" t="s">
        <v>295</v>
      </c>
      <c r="B231" s="30" t="str">
        <f>VLOOKUP(A231,policy!B:C,2,0)</f>
        <v>050000864508</v>
      </c>
      <c r="C231" s="22">
        <v>8105</v>
      </c>
      <c r="D231" s="31">
        <f t="shared" si="13"/>
        <v>8105</v>
      </c>
      <c r="E231" s="29" t="s">
        <v>1280</v>
      </c>
      <c r="F231" s="32" t="str">
        <f t="shared" si="12"/>
        <v>insert into ins_premium_det (premium_rcv_code,assorted_code, rec_amount,premium_rcv_detail_code,remaining_amt, payrec, mode_code,coinsurance_code,class_cd,it_remarks) values</v>
      </c>
      <c r="G231" s="33" t="str">
        <f t="shared" si="14"/>
        <v>('23May250004','050000864508','8105',(select max(to_number(i.premium_rcv_detail_code))+1
from ins_premium_det i),'8105','8105','09', '11000003','00','Request by Mr. reheel malik 23-may-2025');</v>
      </c>
      <c r="H231" s="34" t="str">
        <f t="shared" si="15"/>
        <v>insert into ins_premium_det (premium_rcv_code,assorted_code, rec_amount,premium_rcv_detail_code,remaining_amt, payrec, mode_code,coinsurance_code,class_cd,it_remarks) values('23May250004','050000864508','8105',(select max(to_number(i.premium_rcv_detail_code))+1
from ins_premium_det i),'8105','8105','09', '11000003','00','Request by Mr. reheel malik 23-may-2025');</v>
      </c>
    </row>
    <row r="232" spans="1:8" ht="75" x14ac:dyDescent="0.25">
      <c r="A232" s="22" t="s">
        <v>296</v>
      </c>
      <c r="B232" s="30" t="str">
        <f>VLOOKUP(A232,policy!B:C,2,0)</f>
        <v>050000864515</v>
      </c>
      <c r="C232" s="22">
        <v>8105</v>
      </c>
      <c r="D232" s="31">
        <f t="shared" si="13"/>
        <v>8105</v>
      </c>
      <c r="E232" s="29" t="s">
        <v>1280</v>
      </c>
      <c r="F232" s="32" t="str">
        <f t="shared" si="12"/>
        <v>insert into ins_premium_det (premium_rcv_code,assorted_code, rec_amount,premium_rcv_detail_code,remaining_amt, payrec, mode_code,coinsurance_code,class_cd,it_remarks) values</v>
      </c>
      <c r="G232" s="33" t="str">
        <f t="shared" si="14"/>
        <v>('23May250004','050000864515','8105',(select max(to_number(i.premium_rcv_detail_code))+1
from ins_premium_det i),'8105','8105','09', '11000003','00','Request by Mr. reheel malik 23-may-2025');</v>
      </c>
      <c r="H232" s="34" t="str">
        <f t="shared" si="15"/>
        <v>insert into ins_premium_det (premium_rcv_code,assorted_code, rec_amount,premium_rcv_detail_code,remaining_amt, payrec, mode_code,coinsurance_code,class_cd,it_remarks) values('23May250004','050000864515','8105',(select max(to_number(i.premium_rcv_detail_code))+1
from ins_premium_det i),'8105','8105','09', '11000003','00','Request by Mr. reheel malik 23-may-2025');</v>
      </c>
    </row>
    <row r="233" spans="1:8" ht="75" x14ac:dyDescent="0.25">
      <c r="A233" s="22" t="s">
        <v>297</v>
      </c>
      <c r="B233" s="30" t="str">
        <f>VLOOKUP(A233,Sheet7!B:C,2,0)</f>
        <v>070000174100</v>
      </c>
      <c r="C233" s="22">
        <v>8105</v>
      </c>
      <c r="D233" s="31">
        <f t="shared" si="13"/>
        <v>8105</v>
      </c>
      <c r="E233" s="29" t="s">
        <v>1280</v>
      </c>
      <c r="F233" s="32" t="str">
        <f t="shared" si="12"/>
        <v>insert into ins_premium_det (premium_rcv_code,assorted_code, rec_amount,premium_rcv_detail_code,remaining_amt, payrec, mode_code,coinsurance_code,class_cd,it_remarks) values</v>
      </c>
      <c r="G233" s="33" t="str">
        <f t="shared" si="14"/>
        <v>('23May250004','070000174100','8105',(select max(to_number(i.premium_rcv_detail_code))+1
from ins_premium_det i),'8105','8105','09', '11000003','00','Request by Mr. reheel malik 23-may-2025');</v>
      </c>
      <c r="H233" s="34" t="str">
        <f t="shared" si="15"/>
        <v>insert into ins_premium_det (premium_rcv_code,assorted_code, rec_amount,premium_rcv_detail_code,remaining_amt, payrec, mode_code,coinsurance_code,class_cd,it_remarks) values('23May250004','070000174100','8105',(select max(to_number(i.premium_rcv_detail_code))+1
from ins_premium_det i),'8105','8105','09', '11000003','00','Request by Mr. reheel malik 23-may-2025');</v>
      </c>
    </row>
    <row r="234" spans="1:8" ht="90" x14ac:dyDescent="0.25">
      <c r="A234" s="22" t="s">
        <v>298</v>
      </c>
      <c r="B234" s="30" t="str">
        <f>VLOOKUP(A234,policy!B:C,2,0)</f>
        <v>040000178584</v>
      </c>
      <c r="C234" s="22">
        <v>30160</v>
      </c>
      <c r="D234" s="31">
        <f t="shared" si="13"/>
        <v>30160</v>
      </c>
      <c r="E234" s="29" t="s">
        <v>1280</v>
      </c>
      <c r="F234" s="32" t="str">
        <f t="shared" si="12"/>
        <v>insert into ins_premium_det (premium_rcv_code,assorted_code, rec_amount,premium_rcv_detail_code,remaining_amt, payrec, mode_code,coinsurance_code,class_cd,it_remarks) values</v>
      </c>
      <c r="G234" s="33" t="str">
        <f t="shared" si="14"/>
        <v>('23May250004','040000178584','30160',(select max(to_number(i.premium_rcv_detail_code))+1
from ins_premium_det i),'30160','30160','09', '11000003','00','Request by Mr. reheel malik 23-may-2025');</v>
      </c>
      <c r="H234" s="34" t="str">
        <f t="shared" si="15"/>
        <v>insert into ins_premium_det (premium_rcv_code,assorted_code, rec_amount,premium_rcv_detail_code,remaining_amt, payrec, mode_code,coinsurance_code,class_cd,it_remarks) values('23May250004','040000178584','30160',(select max(to_number(i.premium_rcv_detail_code))+1
from ins_premium_det i),'30160','30160','09', '11000003','00','Request by Mr. reheel malik 23-may-2025');</v>
      </c>
    </row>
    <row r="235" spans="1:8" ht="75" x14ac:dyDescent="0.25">
      <c r="A235" s="22" t="s">
        <v>299</v>
      </c>
      <c r="B235" s="30" t="str">
        <f>VLOOKUP(A235,policy!B:C,2,0)</f>
        <v>040000179996</v>
      </c>
      <c r="C235" s="22">
        <v>7540</v>
      </c>
      <c r="D235" s="31">
        <f t="shared" si="13"/>
        <v>7540</v>
      </c>
      <c r="E235" s="29" t="s">
        <v>1280</v>
      </c>
      <c r="F235" s="32" t="str">
        <f t="shared" si="12"/>
        <v>insert into ins_premium_det (premium_rcv_code,assorted_code, rec_amount,premium_rcv_detail_code,remaining_amt, payrec, mode_code,coinsurance_code,class_cd,it_remarks) values</v>
      </c>
      <c r="G235" s="33" t="str">
        <f t="shared" si="14"/>
        <v>('23May250004','040000179996','7540',(select max(to_number(i.premium_rcv_detail_code))+1
from ins_premium_det i),'7540','7540','09', '11000003','00','Request by Mr. reheel malik 23-may-2025');</v>
      </c>
      <c r="H235" s="34" t="str">
        <f t="shared" si="15"/>
        <v>insert into ins_premium_det (premium_rcv_code,assorted_code, rec_amount,premium_rcv_detail_code,remaining_amt, payrec, mode_code,coinsurance_code,class_cd,it_remarks) values('23May250004','040000179996','7540',(select max(to_number(i.premium_rcv_detail_code))+1
from ins_premium_det i),'7540','7540','09', '11000003','00','Request by Mr. reheel malik 23-may-2025');</v>
      </c>
    </row>
    <row r="236" spans="1:8" ht="75" x14ac:dyDescent="0.25">
      <c r="A236" s="22" t="s">
        <v>300</v>
      </c>
      <c r="B236" s="30" t="str">
        <f>VLOOKUP(A236,policy!B:C,2,0)</f>
        <v>040000195813</v>
      </c>
      <c r="C236" s="22">
        <v>7540</v>
      </c>
      <c r="D236" s="31">
        <f t="shared" si="13"/>
        <v>7540</v>
      </c>
      <c r="E236" s="29" t="s">
        <v>1280</v>
      </c>
      <c r="F236" s="32" t="str">
        <f t="shared" si="12"/>
        <v>insert into ins_premium_det (premium_rcv_code,assorted_code, rec_amount,premium_rcv_detail_code,remaining_amt, payrec, mode_code,coinsurance_code,class_cd,it_remarks) values</v>
      </c>
      <c r="G236" s="33" t="str">
        <f t="shared" si="14"/>
        <v>('23May250004','040000195813','7540',(select max(to_number(i.premium_rcv_detail_code))+1
from ins_premium_det i),'7540','7540','09', '11000003','00','Request by Mr. reheel malik 23-may-2025');</v>
      </c>
      <c r="H236" s="34" t="str">
        <f t="shared" si="15"/>
        <v>insert into ins_premium_det (premium_rcv_code,assorted_code, rec_amount,premium_rcv_detail_code,remaining_amt, payrec, mode_code,coinsurance_code,class_cd,it_remarks) values('23May250004','040000195813','7540',(select max(to_number(i.premium_rcv_detail_code))+1
from ins_premium_det i),'7540','7540','09', '11000003','00','Request by Mr. reheel malik 23-may-2025');</v>
      </c>
    </row>
    <row r="237" spans="1:8" ht="75" x14ac:dyDescent="0.25">
      <c r="A237" s="22" t="s">
        <v>301</v>
      </c>
      <c r="B237" s="30" t="str">
        <f>VLOOKUP(A237,policy!B:C,2,0)</f>
        <v>040000195848</v>
      </c>
      <c r="C237" s="22">
        <v>7540</v>
      </c>
      <c r="D237" s="31">
        <f t="shared" si="13"/>
        <v>7540</v>
      </c>
      <c r="E237" s="29" t="s">
        <v>1280</v>
      </c>
      <c r="F237" s="32" t="str">
        <f t="shared" si="12"/>
        <v>insert into ins_premium_det (premium_rcv_code,assorted_code, rec_amount,premium_rcv_detail_code,remaining_amt, payrec, mode_code,coinsurance_code,class_cd,it_remarks) values</v>
      </c>
      <c r="G237" s="33" t="str">
        <f t="shared" si="14"/>
        <v>('23May250004','040000195848','7540',(select max(to_number(i.premium_rcv_detail_code))+1
from ins_premium_det i),'7540','7540','09', '11000003','00','Request by Mr. reheel malik 23-may-2025');</v>
      </c>
      <c r="H237" s="34" t="str">
        <f t="shared" si="15"/>
        <v>insert into ins_premium_det (premium_rcv_code,assorted_code, rec_amount,premium_rcv_detail_code,remaining_amt, payrec, mode_code,coinsurance_code,class_cd,it_remarks) values('23May250004','040000195848','7540',(select max(to_number(i.premium_rcv_detail_code))+1
from ins_premium_det i),'7540','7540','09', '11000003','00','Request by Mr. reheel malik 23-may-2025');</v>
      </c>
    </row>
    <row r="238" spans="1:8" ht="75" x14ac:dyDescent="0.25">
      <c r="A238" s="22" t="s">
        <v>302</v>
      </c>
      <c r="B238" s="30" t="str">
        <f>VLOOKUP(A238,policy!B:C,2,0)</f>
        <v>040000196289</v>
      </c>
      <c r="C238" s="22">
        <v>7540</v>
      </c>
      <c r="D238" s="31">
        <f t="shared" si="13"/>
        <v>7540</v>
      </c>
      <c r="E238" s="29" t="s">
        <v>1280</v>
      </c>
      <c r="F238" s="32" t="str">
        <f t="shared" si="12"/>
        <v>insert into ins_premium_det (premium_rcv_code,assorted_code, rec_amount,premium_rcv_detail_code,remaining_amt, payrec, mode_code,coinsurance_code,class_cd,it_remarks) values</v>
      </c>
      <c r="G238" s="33" t="str">
        <f t="shared" si="14"/>
        <v>('23May250004','040000196289','7540',(select max(to_number(i.premium_rcv_detail_code))+1
from ins_premium_det i),'7540','7540','09', '11000003','00','Request by Mr. reheel malik 23-may-2025');</v>
      </c>
      <c r="H238" s="34" t="str">
        <f t="shared" si="15"/>
        <v>insert into ins_premium_det (premium_rcv_code,assorted_code, rec_amount,premium_rcv_detail_code,remaining_amt, payrec, mode_code,coinsurance_code,class_cd,it_remarks) values('23May250004','040000196289','7540',(select max(to_number(i.premium_rcv_detail_code))+1
from ins_premium_det i),'7540','7540','09', '11000003','00','Request by Mr. reheel malik 23-may-2025');</v>
      </c>
    </row>
    <row r="239" spans="1:8" ht="75" x14ac:dyDescent="0.25">
      <c r="A239" s="22" t="s">
        <v>303</v>
      </c>
      <c r="B239" s="30" t="str">
        <f>VLOOKUP(A239,policy!B:C,2,0)</f>
        <v>040000196389</v>
      </c>
      <c r="C239" s="22">
        <v>7540</v>
      </c>
      <c r="D239" s="31">
        <f t="shared" si="13"/>
        <v>7540</v>
      </c>
      <c r="E239" s="29" t="s">
        <v>1280</v>
      </c>
      <c r="F239" s="32" t="str">
        <f t="shared" si="12"/>
        <v>insert into ins_premium_det (premium_rcv_code,assorted_code, rec_amount,premium_rcv_detail_code,remaining_amt, payrec, mode_code,coinsurance_code,class_cd,it_remarks) values</v>
      </c>
      <c r="G239" s="33" t="str">
        <f t="shared" si="14"/>
        <v>('23May250004','040000196389','7540',(select max(to_number(i.premium_rcv_detail_code))+1
from ins_premium_det i),'7540','7540','09', '11000003','00','Request by Mr. reheel malik 23-may-2025');</v>
      </c>
      <c r="H239" s="34" t="str">
        <f t="shared" si="15"/>
        <v>insert into ins_premium_det (premium_rcv_code,assorted_code, rec_amount,premium_rcv_detail_code,remaining_amt, payrec, mode_code,coinsurance_code,class_cd,it_remarks) values('23May250004','040000196389','7540',(select max(to_number(i.premium_rcv_detail_code))+1
from ins_premium_det i),'7540','7540','09', '11000003','00','Request by Mr. reheel malik 23-may-2025');</v>
      </c>
    </row>
    <row r="240" spans="1:8" ht="75" x14ac:dyDescent="0.25">
      <c r="A240" s="22" t="s">
        <v>304</v>
      </c>
      <c r="B240" s="30" t="str">
        <f>VLOOKUP(A240,policy!B:C,2,0)</f>
        <v>040000196467</v>
      </c>
      <c r="C240" s="22">
        <v>7540</v>
      </c>
      <c r="D240" s="31">
        <f t="shared" si="13"/>
        <v>7540</v>
      </c>
      <c r="E240" s="29" t="s">
        <v>1280</v>
      </c>
      <c r="F240" s="32" t="str">
        <f t="shared" si="12"/>
        <v>insert into ins_premium_det (premium_rcv_code,assorted_code, rec_amount,premium_rcv_detail_code,remaining_amt, payrec, mode_code,coinsurance_code,class_cd,it_remarks) values</v>
      </c>
      <c r="G240" s="33" t="str">
        <f t="shared" si="14"/>
        <v>('23May250004','040000196467','7540',(select max(to_number(i.premium_rcv_detail_code))+1
from ins_premium_det i),'7540','7540','09', '11000003','00','Request by Mr. reheel malik 23-may-2025');</v>
      </c>
      <c r="H240" s="34" t="str">
        <f t="shared" si="15"/>
        <v>insert into ins_premium_det (premium_rcv_code,assorted_code, rec_amount,premium_rcv_detail_code,remaining_amt, payrec, mode_code,coinsurance_code,class_cd,it_remarks) values('23May250004','040000196467','7540',(select max(to_number(i.premium_rcv_detail_code))+1
from ins_premium_det i),'7540','7540','09', '11000003','00','Request by Mr. reheel malik 23-may-2025');</v>
      </c>
    </row>
    <row r="241" spans="1:8" ht="75" x14ac:dyDescent="0.25">
      <c r="A241" s="22" t="s">
        <v>305</v>
      </c>
      <c r="B241" s="30" t="str">
        <f>VLOOKUP(A241,policy!B:C,2,0)</f>
        <v>040000196831</v>
      </c>
      <c r="C241" s="22">
        <v>7540</v>
      </c>
      <c r="D241" s="31">
        <f t="shared" si="13"/>
        <v>7540</v>
      </c>
      <c r="E241" s="29" t="s">
        <v>1280</v>
      </c>
      <c r="F241" s="32" t="str">
        <f t="shared" si="12"/>
        <v>insert into ins_premium_det (premium_rcv_code,assorted_code, rec_amount,premium_rcv_detail_code,remaining_amt, payrec, mode_code,coinsurance_code,class_cd,it_remarks) values</v>
      </c>
      <c r="G241" s="33" t="str">
        <f t="shared" si="14"/>
        <v>('23May250004','040000196831','7540',(select max(to_number(i.premium_rcv_detail_code))+1
from ins_premium_det i),'7540','7540','09', '11000003','00','Request by Mr. reheel malik 23-may-2025');</v>
      </c>
      <c r="H241" s="34" t="str">
        <f t="shared" si="15"/>
        <v>insert into ins_premium_det (premium_rcv_code,assorted_code, rec_amount,premium_rcv_detail_code,remaining_amt, payrec, mode_code,coinsurance_code,class_cd,it_remarks) values('23May250004','040000196831','7540',(select max(to_number(i.premium_rcv_detail_code))+1
from ins_premium_det i),'7540','7540','09', '11000003','00','Request by Mr. reheel malik 23-may-2025');</v>
      </c>
    </row>
    <row r="242" spans="1:8" ht="75" x14ac:dyDescent="0.25">
      <c r="A242" s="22" t="s">
        <v>306</v>
      </c>
      <c r="B242" s="30" t="str">
        <f>VLOOKUP(A242,Sheet8!B:C,2,0)</f>
        <v>050000858775</v>
      </c>
      <c r="C242" s="22">
        <v>7540</v>
      </c>
      <c r="D242" s="31">
        <f t="shared" si="13"/>
        <v>7540</v>
      </c>
      <c r="E242" s="29" t="s">
        <v>1280</v>
      </c>
      <c r="F242" s="32" t="str">
        <f t="shared" si="12"/>
        <v>insert into ins_premium_det (premium_rcv_code,assorted_code, rec_amount,premium_rcv_detail_code,remaining_amt, payrec, mode_code,coinsurance_code,class_cd,it_remarks) values</v>
      </c>
      <c r="G242" s="33" t="str">
        <f t="shared" si="14"/>
        <v>('23May250004','050000858775','7540',(select max(to_number(i.premium_rcv_detail_code))+1
from ins_premium_det i),'7540','7540','09', '11000003','00','Request by Mr. reheel malik 23-may-2025');</v>
      </c>
      <c r="H242" s="34" t="str">
        <f t="shared" si="15"/>
        <v>insert into ins_premium_det (premium_rcv_code,assorted_code, rec_amount,premium_rcv_detail_code,remaining_amt, payrec, mode_code,coinsurance_code,class_cd,it_remarks) values('23May250004','050000858775','7540',(select max(to_number(i.premium_rcv_detail_code))+1
from ins_premium_det i),'7540','7540','09', '11000003','00','Request by Mr. reheel malik 23-may-2025');</v>
      </c>
    </row>
    <row r="243" spans="1:8" ht="75" x14ac:dyDescent="0.25">
      <c r="A243" s="22" t="s">
        <v>307</v>
      </c>
      <c r="B243" s="30" t="str">
        <f>VLOOKUP(A243,Sheet7!B:C,2,0)</f>
        <v>070000176514</v>
      </c>
      <c r="C243" s="22">
        <v>7540</v>
      </c>
      <c r="D243" s="31">
        <f t="shared" si="13"/>
        <v>7540</v>
      </c>
      <c r="E243" s="29" t="s">
        <v>1280</v>
      </c>
      <c r="F243" s="32" t="str">
        <f t="shared" si="12"/>
        <v>insert into ins_premium_det (premium_rcv_code,assorted_code, rec_amount,premium_rcv_detail_code,remaining_amt, payrec, mode_code,coinsurance_code,class_cd,it_remarks) values</v>
      </c>
      <c r="G243" s="33" t="str">
        <f t="shared" si="14"/>
        <v>('23May250004','070000176514','7540',(select max(to_number(i.premium_rcv_detail_code))+1
from ins_premium_det i),'7540','7540','09', '11000003','00','Request by Mr. reheel malik 23-may-2025');</v>
      </c>
      <c r="H243" s="34" t="str">
        <f t="shared" si="15"/>
        <v>insert into ins_premium_det (premium_rcv_code,assorted_code, rec_amount,premium_rcv_detail_code,remaining_amt, payrec, mode_code,coinsurance_code,class_cd,it_remarks) values('23May250004','070000176514','7540',(select max(to_number(i.premium_rcv_detail_code))+1
from ins_premium_det i),'7540','7540','09', '11000003','00','Request by Mr. reheel malik 23-may-2025');</v>
      </c>
    </row>
    <row r="244" spans="1:8" ht="75" x14ac:dyDescent="0.25">
      <c r="A244" s="22" t="s">
        <v>308</v>
      </c>
      <c r="B244" s="30" t="str">
        <f>VLOOKUP(A244,Sheet7!B:C,2,0)</f>
        <v>070000176594</v>
      </c>
      <c r="C244" s="22">
        <v>7540</v>
      </c>
      <c r="D244" s="31">
        <f t="shared" si="13"/>
        <v>7540</v>
      </c>
      <c r="E244" s="29" t="s">
        <v>1280</v>
      </c>
      <c r="F244" s="32" t="str">
        <f t="shared" si="12"/>
        <v>insert into ins_premium_det (premium_rcv_code,assorted_code, rec_amount,premium_rcv_detail_code,remaining_amt, payrec, mode_code,coinsurance_code,class_cd,it_remarks) values</v>
      </c>
      <c r="G244" s="33" t="str">
        <f t="shared" si="14"/>
        <v>('23May250004','070000176594','7540',(select max(to_number(i.premium_rcv_detail_code))+1
from ins_premium_det i),'7540','7540','09', '11000003','00','Request by Mr. reheel malik 23-may-2025');</v>
      </c>
      <c r="H244" s="34" t="str">
        <f t="shared" si="15"/>
        <v>insert into ins_premium_det (premium_rcv_code,assorted_code, rec_amount,premium_rcv_detail_code,remaining_amt, payrec, mode_code,coinsurance_code,class_cd,it_remarks) values('23May250004','070000176594','7540',(select max(to_number(i.premium_rcv_detail_code))+1
from ins_premium_det i),'7540','7540','09', '11000003','00','Request by Mr. reheel malik 23-may-2025');</v>
      </c>
    </row>
    <row r="245" spans="1:8" ht="75" x14ac:dyDescent="0.25">
      <c r="A245" s="22" t="s">
        <v>309</v>
      </c>
      <c r="B245" s="30" t="str">
        <f>VLOOKUP(A245,Sheet7!B:C,2,0)</f>
        <v>070000162987</v>
      </c>
      <c r="C245" s="22">
        <v>7540</v>
      </c>
      <c r="D245" s="31">
        <f t="shared" si="13"/>
        <v>7540</v>
      </c>
      <c r="E245" s="29" t="s">
        <v>1280</v>
      </c>
      <c r="F245" s="32" t="str">
        <f t="shared" si="12"/>
        <v>insert into ins_premium_det (premium_rcv_code,assorted_code, rec_amount,premium_rcv_detail_code,remaining_amt, payrec, mode_code,coinsurance_code,class_cd,it_remarks) values</v>
      </c>
      <c r="G245" s="33" t="str">
        <f t="shared" si="14"/>
        <v>('23May250004','070000162987','7540',(select max(to_number(i.premium_rcv_detail_code))+1
from ins_premium_det i),'7540','7540','09', '11000003','00','Request by Mr. reheel malik 23-may-2025');</v>
      </c>
      <c r="H245" s="34" t="str">
        <f t="shared" si="15"/>
        <v>insert into ins_premium_det (premium_rcv_code,assorted_code, rec_amount,premium_rcv_detail_code,remaining_amt, payrec, mode_code,coinsurance_code,class_cd,it_remarks) values('23May250004','070000162987','7540',(select max(to_number(i.premium_rcv_detail_code))+1
from ins_premium_det i),'7540','7540','09', '11000003','00','Request by Mr. reheel malik 23-may-2025');</v>
      </c>
    </row>
    <row r="246" spans="1:8" ht="75" x14ac:dyDescent="0.25">
      <c r="A246" s="22" t="s">
        <v>310</v>
      </c>
      <c r="B246" s="30" t="str">
        <f>VLOOKUP(A246,policy!B:C,2,0)</f>
        <v>040000174700</v>
      </c>
      <c r="C246" s="22">
        <v>7540</v>
      </c>
      <c r="D246" s="31">
        <f t="shared" si="13"/>
        <v>7540</v>
      </c>
      <c r="E246" s="29" t="s">
        <v>1280</v>
      </c>
      <c r="F246" s="32" t="str">
        <f t="shared" si="12"/>
        <v>insert into ins_premium_det (premium_rcv_code,assorted_code, rec_amount,premium_rcv_detail_code,remaining_amt, payrec, mode_code,coinsurance_code,class_cd,it_remarks) values</v>
      </c>
      <c r="G246" s="33" t="str">
        <f t="shared" si="14"/>
        <v>('23May250004','040000174700','7540',(select max(to_number(i.premium_rcv_detail_code))+1
from ins_premium_det i),'7540','7540','09', '11000003','00','Request by Mr. reheel malik 23-may-2025');</v>
      </c>
      <c r="H246" s="34" t="str">
        <f t="shared" si="15"/>
        <v>insert into ins_premium_det (premium_rcv_code,assorted_code, rec_amount,premium_rcv_detail_code,remaining_amt, payrec, mode_code,coinsurance_code,class_cd,it_remarks) values('23May250004','040000174700','7540',(select max(to_number(i.premium_rcv_detail_code))+1
from ins_premium_det i),'7540','7540','09', '11000003','00','Request by Mr. reheel malik 23-may-2025');</v>
      </c>
    </row>
    <row r="247" spans="1:8" ht="75" x14ac:dyDescent="0.25">
      <c r="A247" s="22" t="s">
        <v>311</v>
      </c>
      <c r="B247" s="30" t="str">
        <f>VLOOKUP(A247,policy!B:C,2,0)</f>
        <v>040000178812</v>
      </c>
      <c r="C247" s="22">
        <v>7540</v>
      </c>
      <c r="D247" s="31">
        <f t="shared" si="13"/>
        <v>7540</v>
      </c>
      <c r="E247" s="29" t="s">
        <v>1280</v>
      </c>
      <c r="F247" s="32" t="str">
        <f t="shared" si="12"/>
        <v>insert into ins_premium_det (premium_rcv_code,assorted_code, rec_amount,premium_rcv_detail_code,remaining_amt, payrec, mode_code,coinsurance_code,class_cd,it_remarks) values</v>
      </c>
      <c r="G247" s="33" t="str">
        <f t="shared" si="14"/>
        <v>('23May250004','040000178812','7540',(select max(to_number(i.premium_rcv_detail_code))+1
from ins_premium_det i),'7540','7540','09', '11000003','00','Request by Mr. reheel malik 23-may-2025');</v>
      </c>
      <c r="H247" s="34" t="str">
        <f t="shared" si="15"/>
        <v>insert into ins_premium_det (premium_rcv_code,assorted_code, rec_amount,premium_rcv_detail_code,remaining_amt, payrec, mode_code,coinsurance_code,class_cd,it_remarks) values('23May250004','040000178812','7540',(select max(to_number(i.premium_rcv_detail_code))+1
from ins_premium_det i),'7540','7540','09', '11000003','00','Request by Mr. reheel malik 23-may-2025');</v>
      </c>
    </row>
    <row r="248" spans="1:8" ht="75" x14ac:dyDescent="0.25">
      <c r="A248" s="22" t="s">
        <v>312</v>
      </c>
      <c r="B248" s="30" t="str">
        <f>VLOOKUP(A248,policy!B:C,2,0)</f>
        <v>040000180357</v>
      </c>
      <c r="C248" s="22">
        <v>7540</v>
      </c>
      <c r="D248" s="31">
        <f t="shared" si="13"/>
        <v>7540</v>
      </c>
      <c r="E248" s="29" t="s">
        <v>1280</v>
      </c>
      <c r="F248" s="32" t="str">
        <f t="shared" si="12"/>
        <v>insert into ins_premium_det (premium_rcv_code,assorted_code, rec_amount,premium_rcv_detail_code,remaining_amt, payrec, mode_code,coinsurance_code,class_cd,it_remarks) values</v>
      </c>
      <c r="G248" s="33" t="str">
        <f t="shared" si="14"/>
        <v>('23May250004','040000180357','7540',(select max(to_number(i.premium_rcv_detail_code))+1
from ins_premium_det i),'7540','7540','09', '11000003','00','Request by Mr. reheel malik 23-may-2025');</v>
      </c>
      <c r="H248" s="34" t="str">
        <f t="shared" si="15"/>
        <v>insert into ins_premium_det (premium_rcv_code,assorted_code, rec_amount,premium_rcv_detail_code,remaining_amt, payrec, mode_code,coinsurance_code,class_cd,it_remarks) values('23May250004','040000180357','7540',(select max(to_number(i.premium_rcv_detail_code))+1
from ins_premium_det i),'7540','7540','09', '11000003','00','Request by Mr. reheel malik 23-may-2025');</v>
      </c>
    </row>
    <row r="249" spans="1:8" ht="75" x14ac:dyDescent="0.25">
      <c r="A249" s="22" t="s">
        <v>313</v>
      </c>
      <c r="B249" s="30" t="str">
        <f>VLOOKUP(A249,policy!B:C,2,0)</f>
        <v>040000180799</v>
      </c>
      <c r="C249" s="22">
        <v>7540</v>
      </c>
      <c r="D249" s="31">
        <f t="shared" si="13"/>
        <v>7540</v>
      </c>
      <c r="E249" s="29" t="s">
        <v>1280</v>
      </c>
      <c r="F249" s="32" t="str">
        <f t="shared" si="12"/>
        <v>insert into ins_premium_det (premium_rcv_code,assorted_code, rec_amount,premium_rcv_detail_code,remaining_amt, payrec, mode_code,coinsurance_code,class_cd,it_remarks) values</v>
      </c>
      <c r="G249" s="33" t="str">
        <f t="shared" si="14"/>
        <v>('23May250004','040000180799','7540',(select max(to_number(i.premium_rcv_detail_code))+1
from ins_premium_det i),'7540','7540','09', '11000003','00','Request by Mr. reheel malik 23-may-2025');</v>
      </c>
      <c r="H249" s="34" t="str">
        <f t="shared" si="15"/>
        <v>insert into ins_premium_det (premium_rcv_code,assorted_code, rec_amount,premium_rcv_detail_code,remaining_amt, payrec, mode_code,coinsurance_code,class_cd,it_remarks) values('23May250004','040000180799','7540',(select max(to_number(i.premium_rcv_detail_code))+1
from ins_premium_det i),'7540','7540','09', '11000003','00','Request by Mr. reheel malik 23-may-2025');</v>
      </c>
    </row>
    <row r="250" spans="1:8" ht="75" x14ac:dyDescent="0.25">
      <c r="A250" s="22" t="s">
        <v>314</v>
      </c>
      <c r="B250" s="30" t="str">
        <f>VLOOKUP(A250,policy!B:C,2,0)</f>
        <v>040000181040</v>
      </c>
      <c r="C250" s="22">
        <v>7540</v>
      </c>
      <c r="D250" s="31">
        <f t="shared" si="13"/>
        <v>7540</v>
      </c>
      <c r="E250" s="29" t="s">
        <v>1280</v>
      </c>
      <c r="F250" s="32" t="str">
        <f t="shared" si="12"/>
        <v>insert into ins_premium_det (premium_rcv_code,assorted_code, rec_amount,premium_rcv_detail_code,remaining_amt, payrec, mode_code,coinsurance_code,class_cd,it_remarks) values</v>
      </c>
      <c r="G250" s="33" t="str">
        <f t="shared" si="14"/>
        <v>('23May250004','040000181040','7540',(select max(to_number(i.premium_rcv_detail_code))+1
from ins_premium_det i),'7540','7540','09', '11000003','00','Request by Mr. reheel malik 23-may-2025');</v>
      </c>
      <c r="H250" s="34" t="str">
        <f t="shared" si="15"/>
        <v>insert into ins_premium_det (premium_rcv_code,assorted_code, rec_amount,premium_rcv_detail_code,remaining_amt, payrec, mode_code,coinsurance_code,class_cd,it_remarks) values('23May250004','040000181040','7540',(select max(to_number(i.premium_rcv_detail_code))+1
from ins_premium_det i),'7540','7540','09', '11000003','00','Request by Mr. reheel malik 23-may-2025');</v>
      </c>
    </row>
    <row r="251" spans="1:8" ht="75" x14ac:dyDescent="0.25">
      <c r="A251" s="22" t="s">
        <v>315</v>
      </c>
      <c r="B251" s="30" t="str">
        <f>VLOOKUP(A251,policy!B:C,2,0)</f>
        <v>040000182201</v>
      </c>
      <c r="C251" s="22">
        <v>7540</v>
      </c>
      <c r="D251" s="31">
        <f t="shared" si="13"/>
        <v>7540</v>
      </c>
      <c r="E251" s="29" t="s">
        <v>1280</v>
      </c>
      <c r="F251" s="32" t="str">
        <f t="shared" si="12"/>
        <v>insert into ins_premium_det (premium_rcv_code,assorted_code, rec_amount,premium_rcv_detail_code,remaining_amt, payrec, mode_code,coinsurance_code,class_cd,it_remarks) values</v>
      </c>
      <c r="G251" s="33" t="str">
        <f t="shared" si="14"/>
        <v>('23May250004','040000182201','7540',(select max(to_number(i.premium_rcv_detail_code))+1
from ins_premium_det i),'7540','7540','09', '11000003','00','Request by Mr. reheel malik 23-may-2025');</v>
      </c>
      <c r="H251" s="34" t="str">
        <f t="shared" si="15"/>
        <v>insert into ins_premium_det (premium_rcv_code,assorted_code, rec_amount,premium_rcv_detail_code,remaining_amt, payrec, mode_code,coinsurance_code,class_cd,it_remarks) values('23May250004','040000182201','7540',(select max(to_number(i.premium_rcv_detail_code))+1
from ins_premium_det i),'7540','7540','09', '11000003','00','Request by Mr. reheel malik 23-may-2025');</v>
      </c>
    </row>
    <row r="252" spans="1:8" ht="75" x14ac:dyDescent="0.25">
      <c r="A252" s="22" t="s">
        <v>316</v>
      </c>
      <c r="B252" s="30" t="str">
        <f>VLOOKUP(A252,policy!B:C,2,0)</f>
        <v>040000182903</v>
      </c>
      <c r="C252" s="22">
        <v>7540</v>
      </c>
      <c r="D252" s="31">
        <f t="shared" si="13"/>
        <v>7540</v>
      </c>
      <c r="E252" s="29" t="s">
        <v>1280</v>
      </c>
      <c r="F252" s="32" t="str">
        <f t="shared" si="12"/>
        <v>insert into ins_premium_det (premium_rcv_code,assorted_code, rec_amount,premium_rcv_detail_code,remaining_amt, payrec, mode_code,coinsurance_code,class_cd,it_remarks) values</v>
      </c>
      <c r="G252" s="33" t="str">
        <f t="shared" si="14"/>
        <v>('23May250004','040000182903','7540',(select max(to_number(i.premium_rcv_detail_code))+1
from ins_premium_det i),'7540','7540','09', '11000003','00','Request by Mr. reheel malik 23-may-2025');</v>
      </c>
      <c r="H252" s="34" t="str">
        <f t="shared" si="15"/>
        <v>insert into ins_premium_det (premium_rcv_code,assorted_code, rec_amount,premium_rcv_detail_code,remaining_amt, payrec, mode_code,coinsurance_code,class_cd,it_remarks) values('23May250004','040000182903','7540',(select max(to_number(i.premium_rcv_detail_code))+1
from ins_premium_det i),'7540','7540','09', '11000003','00','Request by Mr. reheel malik 23-may-2025');</v>
      </c>
    </row>
    <row r="253" spans="1:8" ht="75" x14ac:dyDescent="0.25">
      <c r="A253" s="22" t="s">
        <v>317</v>
      </c>
      <c r="B253" s="30" t="str">
        <f>VLOOKUP(A253,policy!B:C,2,0)</f>
        <v>040000183356</v>
      </c>
      <c r="C253" s="22">
        <v>7540</v>
      </c>
      <c r="D253" s="31">
        <f t="shared" si="13"/>
        <v>7540</v>
      </c>
      <c r="E253" s="29" t="s">
        <v>1280</v>
      </c>
      <c r="F253" s="32" t="str">
        <f t="shared" si="12"/>
        <v>insert into ins_premium_det (premium_rcv_code,assorted_code, rec_amount,premium_rcv_detail_code,remaining_amt, payrec, mode_code,coinsurance_code,class_cd,it_remarks) values</v>
      </c>
      <c r="G253" s="33" t="str">
        <f t="shared" si="14"/>
        <v>('23May250004','040000183356','7540',(select max(to_number(i.premium_rcv_detail_code))+1
from ins_premium_det i),'7540','7540','09', '11000003','00','Request by Mr. reheel malik 23-may-2025');</v>
      </c>
      <c r="H253" s="34" t="str">
        <f t="shared" si="15"/>
        <v>insert into ins_premium_det (premium_rcv_code,assorted_code, rec_amount,premium_rcv_detail_code,remaining_amt, payrec, mode_code,coinsurance_code,class_cd,it_remarks) values('23May250004','040000183356','7540',(select max(to_number(i.premium_rcv_detail_code))+1
from ins_premium_det i),'7540','7540','09', '11000003','00','Request by Mr. reheel malik 23-may-2025');</v>
      </c>
    </row>
    <row r="254" spans="1:8" ht="75" x14ac:dyDescent="0.25">
      <c r="A254" s="22" t="s">
        <v>318</v>
      </c>
      <c r="B254" s="30" t="str">
        <f>VLOOKUP(A254,policy!B:C,2,0)</f>
        <v>040000183674</v>
      </c>
      <c r="C254" s="22">
        <v>7540</v>
      </c>
      <c r="D254" s="31">
        <f t="shared" si="13"/>
        <v>7540</v>
      </c>
      <c r="E254" s="29" t="s">
        <v>1280</v>
      </c>
      <c r="F254" s="32" t="str">
        <f t="shared" si="12"/>
        <v>insert into ins_premium_det (premium_rcv_code,assorted_code, rec_amount,premium_rcv_detail_code,remaining_amt, payrec, mode_code,coinsurance_code,class_cd,it_remarks) values</v>
      </c>
      <c r="G254" s="33" t="str">
        <f t="shared" si="14"/>
        <v>('23May250004','040000183674','7540',(select max(to_number(i.premium_rcv_detail_code))+1
from ins_premium_det i),'7540','7540','09', '11000003','00','Request by Mr. reheel malik 23-may-2025');</v>
      </c>
      <c r="H254" s="34" t="str">
        <f t="shared" si="15"/>
        <v>insert into ins_premium_det (premium_rcv_code,assorted_code, rec_amount,premium_rcv_detail_code,remaining_amt, payrec, mode_code,coinsurance_code,class_cd,it_remarks) values('23May250004','040000183674','7540',(select max(to_number(i.premium_rcv_detail_code))+1
from ins_premium_det i),'7540','7540','09', '11000003','00','Request by Mr. reheel malik 23-may-2025');</v>
      </c>
    </row>
    <row r="255" spans="1:8" ht="75" x14ac:dyDescent="0.25">
      <c r="A255" s="22" t="s">
        <v>319</v>
      </c>
      <c r="B255" s="30" t="str">
        <f>VLOOKUP(A255,policy!B:C,2,0)</f>
        <v>040000183981</v>
      </c>
      <c r="C255" s="22">
        <v>7540</v>
      </c>
      <c r="D255" s="31">
        <f t="shared" si="13"/>
        <v>7540</v>
      </c>
      <c r="E255" s="29" t="s">
        <v>1280</v>
      </c>
      <c r="F255" s="32" t="str">
        <f t="shared" si="12"/>
        <v>insert into ins_premium_det (premium_rcv_code,assorted_code, rec_amount,premium_rcv_detail_code,remaining_amt, payrec, mode_code,coinsurance_code,class_cd,it_remarks) values</v>
      </c>
      <c r="G255" s="33" t="str">
        <f t="shared" si="14"/>
        <v>('23May250004','040000183981','7540',(select max(to_number(i.premium_rcv_detail_code))+1
from ins_premium_det i),'7540','7540','09', '11000003','00','Request by Mr. reheel malik 23-may-2025');</v>
      </c>
      <c r="H255" s="34" t="str">
        <f t="shared" si="15"/>
        <v>insert into ins_premium_det (premium_rcv_code,assorted_code, rec_amount,premium_rcv_detail_code,remaining_amt, payrec, mode_code,coinsurance_code,class_cd,it_remarks) values('23May250004','040000183981','7540',(select max(to_number(i.premium_rcv_detail_code))+1
from ins_premium_det i),'7540','7540','09', '11000003','00','Request by Mr. reheel malik 23-may-2025');</v>
      </c>
    </row>
    <row r="256" spans="1:8" ht="75" x14ac:dyDescent="0.25">
      <c r="A256" s="22" t="s">
        <v>320</v>
      </c>
      <c r="B256" s="30" t="str">
        <f>VLOOKUP(A256,policy!B:C,2,0)</f>
        <v>040000184766</v>
      </c>
      <c r="C256" s="22">
        <v>7540</v>
      </c>
      <c r="D256" s="31">
        <f t="shared" si="13"/>
        <v>7540</v>
      </c>
      <c r="E256" s="29" t="s">
        <v>1280</v>
      </c>
      <c r="F256" s="32" t="str">
        <f t="shared" si="12"/>
        <v>insert into ins_premium_det (premium_rcv_code,assorted_code, rec_amount,premium_rcv_detail_code,remaining_amt, payrec, mode_code,coinsurance_code,class_cd,it_remarks) values</v>
      </c>
      <c r="G256" s="33" t="str">
        <f t="shared" si="14"/>
        <v>('23May250004','040000184766','7540',(select max(to_number(i.premium_rcv_detail_code))+1
from ins_premium_det i),'7540','7540','09', '11000003','00','Request by Mr. reheel malik 23-may-2025');</v>
      </c>
      <c r="H256" s="34" t="str">
        <f t="shared" si="15"/>
        <v>insert into ins_premium_det (premium_rcv_code,assorted_code, rec_amount,premium_rcv_detail_code,remaining_amt, payrec, mode_code,coinsurance_code,class_cd,it_remarks) values('23May250004','040000184766','7540',(select max(to_number(i.premium_rcv_detail_code))+1
from ins_premium_det i),'7540','7540','09', '11000003','00','Request by Mr. reheel malik 23-may-2025');</v>
      </c>
    </row>
    <row r="257" spans="1:8" ht="75" x14ac:dyDescent="0.25">
      <c r="A257" s="22" t="s">
        <v>321</v>
      </c>
      <c r="B257" s="30" t="str">
        <f>VLOOKUP(A257,policy!B:C,2,0)</f>
        <v>040000184793</v>
      </c>
      <c r="C257" s="22">
        <v>7540</v>
      </c>
      <c r="D257" s="31">
        <f t="shared" si="13"/>
        <v>7540</v>
      </c>
      <c r="E257" s="29" t="s">
        <v>1280</v>
      </c>
      <c r="F257" s="32" t="str">
        <f t="shared" si="12"/>
        <v>insert into ins_premium_det (premium_rcv_code,assorted_code, rec_amount,premium_rcv_detail_code,remaining_amt, payrec, mode_code,coinsurance_code,class_cd,it_remarks) values</v>
      </c>
      <c r="G257" s="33" t="str">
        <f t="shared" si="14"/>
        <v>('23May250004','040000184793','7540',(select max(to_number(i.premium_rcv_detail_code))+1
from ins_premium_det i),'7540','7540','09', '11000003','00','Request by Mr. reheel malik 23-may-2025');</v>
      </c>
      <c r="H257" s="34" t="str">
        <f t="shared" si="15"/>
        <v>insert into ins_premium_det (premium_rcv_code,assorted_code, rec_amount,premium_rcv_detail_code,remaining_amt, payrec, mode_code,coinsurance_code,class_cd,it_remarks) values('23May250004','040000184793','7540',(select max(to_number(i.premium_rcv_detail_code))+1
from ins_premium_det i),'7540','7540','09', '11000003','00','Request by Mr. reheel malik 23-may-2025');</v>
      </c>
    </row>
    <row r="258" spans="1:8" ht="75" x14ac:dyDescent="0.25">
      <c r="A258" s="22" t="s">
        <v>322</v>
      </c>
      <c r="B258" s="30" t="str">
        <f>VLOOKUP(A258,policy!B:C,2,0)</f>
        <v>040000184815</v>
      </c>
      <c r="C258" s="22">
        <v>7540</v>
      </c>
      <c r="D258" s="31">
        <f t="shared" si="13"/>
        <v>7540</v>
      </c>
      <c r="E258" s="29" t="s">
        <v>1280</v>
      </c>
      <c r="F258" s="32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33" t="str">
        <f t="shared" si="14"/>
        <v>('23May250004','040000184815','7540',(select max(to_number(i.premium_rcv_detail_code))+1
from ins_premium_det i),'7540','7540','09', '11000003','00','Request by Mr. reheel malik 23-may-2025');</v>
      </c>
      <c r="H258" s="34" t="str">
        <f t="shared" si="15"/>
        <v>insert into ins_premium_det (premium_rcv_code,assorted_code, rec_amount,premium_rcv_detail_code,remaining_amt, payrec, mode_code,coinsurance_code,class_cd,it_remarks) values('23May250004','040000184815','7540',(select max(to_number(i.premium_rcv_detail_code))+1
from ins_premium_det i),'7540','7540','09', '11000003','00','Request by Mr. reheel malik 23-may-2025');</v>
      </c>
    </row>
    <row r="259" spans="1:8" ht="75" x14ac:dyDescent="0.25">
      <c r="A259" s="22" t="s">
        <v>323</v>
      </c>
      <c r="B259" s="30" t="str">
        <f>VLOOKUP(A259,policy!B:C,2,0)</f>
        <v>040000184898</v>
      </c>
      <c r="C259" s="22">
        <v>7540</v>
      </c>
      <c r="D259" s="31">
        <f t="shared" ref="D259:D322" si="17">ROUND(C259,0)</f>
        <v>7540</v>
      </c>
      <c r="E259" s="29" t="s">
        <v>1280</v>
      </c>
      <c r="F259" s="32" t="str">
        <f t="shared" si="16"/>
        <v>insert into ins_premium_det (premium_rcv_code,assorted_code, rec_amount,premium_rcv_detail_code,remaining_amt, payrec, mode_code,coinsurance_code,class_cd,it_remarks) values</v>
      </c>
      <c r="G259" s="33" t="str">
        <f t="shared" ref="G259:G322" si="18">"('"&amp;E259&amp;"','"&amp;B259&amp;"','"&amp;C259&amp;"',(select max(to_number(i.premium_rcv_detail_code))+1
from ins_premium_det i),'"&amp;C259&amp;"','"&amp;C259&amp;"','09', '11000003','00','Request by Mr. reheel malik 23-may-2025');"</f>
        <v>('23May250004','040000184898','7540',(select max(to_number(i.premium_rcv_detail_code))+1
from ins_premium_det i),'7540','7540','09', '11000003','00','Request by Mr. reheel malik 23-may-2025');</v>
      </c>
      <c r="H259" s="34" t="str">
        <f t="shared" ref="H259:H322" si="19">F259&amp;G259</f>
        <v>insert into ins_premium_det (premium_rcv_code,assorted_code, rec_amount,premium_rcv_detail_code,remaining_amt, payrec, mode_code,coinsurance_code,class_cd,it_remarks) values('23May250004','040000184898','7540',(select max(to_number(i.premium_rcv_detail_code))+1
from ins_premium_det i),'7540','7540','09', '11000003','00','Request by Mr. reheel malik 23-may-2025');</v>
      </c>
    </row>
    <row r="260" spans="1:8" ht="75" x14ac:dyDescent="0.25">
      <c r="A260" s="22" t="s">
        <v>324</v>
      </c>
      <c r="B260" s="30" t="str">
        <f>VLOOKUP(A260,policy!B:C,2,0)</f>
        <v>040000185586</v>
      </c>
      <c r="C260" s="22">
        <v>7540</v>
      </c>
      <c r="D260" s="31">
        <f t="shared" si="17"/>
        <v>7540</v>
      </c>
      <c r="E260" s="29" t="s">
        <v>1280</v>
      </c>
      <c r="F260" s="32" t="str">
        <f t="shared" si="16"/>
        <v>insert into ins_premium_det (premium_rcv_code,assorted_code, rec_amount,premium_rcv_detail_code,remaining_amt, payrec, mode_code,coinsurance_code,class_cd,it_remarks) values</v>
      </c>
      <c r="G260" s="33" t="str">
        <f t="shared" si="18"/>
        <v>('23May250004','040000185586','7540',(select max(to_number(i.premium_rcv_detail_code))+1
from ins_premium_det i),'7540','7540','09', '11000003','00','Request by Mr. reheel malik 23-may-2025');</v>
      </c>
      <c r="H260" s="34" t="str">
        <f t="shared" si="19"/>
        <v>insert into ins_premium_det (premium_rcv_code,assorted_code, rec_amount,premium_rcv_detail_code,remaining_amt, payrec, mode_code,coinsurance_code,class_cd,it_remarks) values('23May250004','040000185586','7540',(select max(to_number(i.premium_rcv_detail_code))+1
from ins_premium_det i),'7540','7540','09', '11000003','00','Request by Mr. reheel malik 23-may-2025');</v>
      </c>
    </row>
    <row r="261" spans="1:8" ht="75" x14ac:dyDescent="0.25">
      <c r="A261" s="22" t="s">
        <v>325</v>
      </c>
      <c r="B261" s="30" t="str">
        <f>VLOOKUP(A261,policy!B:C,2,0)</f>
        <v>040000185727</v>
      </c>
      <c r="C261" s="22">
        <v>7540</v>
      </c>
      <c r="D261" s="31">
        <f t="shared" si="17"/>
        <v>7540</v>
      </c>
      <c r="E261" s="29" t="s">
        <v>1280</v>
      </c>
      <c r="F261" s="32" t="str">
        <f t="shared" si="16"/>
        <v>insert into ins_premium_det (premium_rcv_code,assorted_code, rec_amount,premium_rcv_detail_code,remaining_amt, payrec, mode_code,coinsurance_code,class_cd,it_remarks) values</v>
      </c>
      <c r="G261" s="33" t="str">
        <f t="shared" si="18"/>
        <v>('23May250004','040000185727','7540',(select max(to_number(i.premium_rcv_detail_code))+1
from ins_premium_det i),'7540','7540','09', '11000003','00','Request by Mr. reheel malik 23-may-2025');</v>
      </c>
      <c r="H261" s="34" t="str">
        <f t="shared" si="19"/>
        <v>insert into ins_premium_det (premium_rcv_code,assorted_code, rec_amount,premium_rcv_detail_code,remaining_amt, payrec, mode_code,coinsurance_code,class_cd,it_remarks) values('23May250004','040000185727','7540',(select max(to_number(i.premium_rcv_detail_code))+1
from ins_premium_det i),'7540','7540','09', '11000003','00','Request by Mr. reheel malik 23-may-2025');</v>
      </c>
    </row>
    <row r="262" spans="1:8" ht="75" x14ac:dyDescent="0.25">
      <c r="A262" s="22" t="s">
        <v>326</v>
      </c>
      <c r="B262" s="30" t="str">
        <f>VLOOKUP(A262,policy!B:C,2,0)</f>
        <v>040000186023</v>
      </c>
      <c r="C262" s="22">
        <v>7540</v>
      </c>
      <c r="D262" s="31">
        <f t="shared" si="17"/>
        <v>7540</v>
      </c>
      <c r="E262" s="29" t="s">
        <v>1280</v>
      </c>
      <c r="F262" s="32" t="str">
        <f t="shared" si="16"/>
        <v>insert into ins_premium_det (premium_rcv_code,assorted_code, rec_amount,premium_rcv_detail_code,remaining_amt, payrec, mode_code,coinsurance_code,class_cd,it_remarks) values</v>
      </c>
      <c r="G262" s="33" t="str">
        <f t="shared" si="18"/>
        <v>('23May250004','040000186023','7540',(select max(to_number(i.premium_rcv_detail_code))+1
from ins_premium_det i),'7540','7540','09', '11000003','00','Request by Mr. reheel malik 23-may-2025');</v>
      </c>
      <c r="H262" s="34" t="str">
        <f t="shared" si="19"/>
        <v>insert into ins_premium_det (premium_rcv_code,assorted_code, rec_amount,premium_rcv_detail_code,remaining_amt, payrec, mode_code,coinsurance_code,class_cd,it_remarks) values('23May250004','040000186023','7540',(select max(to_number(i.premium_rcv_detail_code))+1
from ins_premium_det i),'7540','7540','09', '11000003','00','Request by Mr. reheel malik 23-may-2025');</v>
      </c>
    </row>
    <row r="263" spans="1:8" ht="75" x14ac:dyDescent="0.25">
      <c r="A263" s="22" t="s">
        <v>327</v>
      </c>
      <c r="B263" s="30" t="str">
        <f>VLOOKUP(A263,policy!B:C,2,0)</f>
        <v>040000186187</v>
      </c>
      <c r="C263" s="22">
        <v>7540</v>
      </c>
      <c r="D263" s="31">
        <f t="shared" si="17"/>
        <v>7540</v>
      </c>
      <c r="E263" s="29" t="s">
        <v>1280</v>
      </c>
      <c r="F263" s="32" t="str">
        <f t="shared" si="16"/>
        <v>insert into ins_premium_det (premium_rcv_code,assorted_code, rec_amount,premium_rcv_detail_code,remaining_amt, payrec, mode_code,coinsurance_code,class_cd,it_remarks) values</v>
      </c>
      <c r="G263" s="33" t="str">
        <f t="shared" si="18"/>
        <v>('23May250004','040000186187','7540',(select max(to_number(i.premium_rcv_detail_code))+1
from ins_premium_det i),'7540','7540','09', '11000003','00','Request by Mr. reheel malik 23-may-2025');</v>
      </c>
      <c r="H263" s="34" t="str">
        <f t="shared" si="19"/>
        <v>insert into ins_premium_det (premium_rcv_code,assorted_code, rec_amount,premium_rcv_detail_code,remaining_amt, payrec, mode_code,coinsurance_code,class_cd,it_remarks) values('23May250004','040000186187','7540',(select max(to_number(i.premium_rcv_detail_code))+1
from ins_premium_det i),'7540','7540','09', '11000003','00','Request by Mr. reheel malik 23-may-2025');</v>
      </c>
    </row>
    <row r="264" spans="1:8" ht="75" x14ac:dyDescent="0.25">
      <c r="A264" s="22" t="s">
        <v>328</v>
      </c>
      <c r="B264" s="30" t="str">
        <f>VLOOKUP(A264,policy!B:C,2,0)</f>
        <v>040000186221</v>
      </c>
      <c r="C264" s="22">
        <v>7540</v>
      </c>
      <c r="D264" s="31">
        <f t="shared" si="17"/>
        <v>7540</v>
      </c>
      <c r="E264" s="29" t="s">
        <v>1280</v>
      </c>
      <c r="F264" s="32" t="str">
        <f t="shared" si="16"/>
        <v>insert into ins_premium_det (premium_rcv_code,assorted_code, rec_amount,premium_rcv_detail_code,remaining_amt, payrec, mode_code,coinsurance_code,class_cd,it_remarks) values</v>
      </c>
      <c r="G264" s="33" t="str">
        <f t="shared" si="18"/>
        <v>('23May250004','040000186221','7540',(select max(to_number(i.premium_rcv_detail_code))+1
from ins_premium_det i),'7540','7540','09', '11000003','00','Request by Mr. reheel malik 23-may-2025');</v>
      </c>
      <c r="H264" s="34" t="str">
        <f t="shared" si="19"/>
        <v>insert into ins_premium_det (premium_rcv_code,assorted_code, rec_amount,premium_rcv_detail_code,remaining_amt, payrec, mode_code,coinsurance_code,class_cd,it_remarks) values('23May250004','040000186221','7540',(select max(to_number(i.premium_rcv_detail_code))+1
from ins_premium_det i),'7540','7540','09', '11000003','00','Request by Mr. reheel malik 23-may-2025');</v>
      </c>
    </row>
    <row r="265" spans="1:8" ht="75" x14ac:dyDescent="0.25">
      <c r="A265" s="22" t="s">
        <v>329</v>
      </c>
      <c r="B265" s="30" t="str">
        <f>VLOOKUP(A265,policy!B:C,2,0)</f>
        <v>040000186692</v>
      </c>
      <c r="C265" s="22">
        <v>7540</v>
      </c>
      <c r="D265" s="31">
        <f t="shared" si="17"/>
        <v>7540</v>
      </c>
      <c r="E265" s="29" t="s">
        <v>1280</v>
      </c>
      <c r="F265" s="32" t="str">
        <f t="shared" si="16"/>
        <v>insert into ins_premium_det (premium_rcv_code,assorted_code, rec_amount,premium_rcv_detail_code,remaining_amt, payrec, mode_code,coinsurance_code,class_cd,it_remarks) values</v>
      </c>
      <c r="G265" s="33" t="str">
        <f t="shared" si="18"/>
        <v>('23May250004','040000186692','7540',(select max(to_number(i.premium_rcv_detail_code))+1
from ins_premium_det i),'7540','7540','09', '11000003','00','Request by Mr. reheel malik 23-may-2025');</v>
      </c>
      <c r="H265" s="34" t="str">
        <f t="shared" si="19"/>
        <v>insert into ins_premium_det (premium_rcv_code,assorted_code, rec_amount,premium_rcv_detail_code,remaining_amt, payrec, mode_code,coinsurance_code,class_cd,it_remarks) values('23May250004','040000186692','7540',(select max(to_number(i.premium_rcv_detail_code))+1
from ins_premium_det i),'7540','7540','09', '11000003','00','Request by Mr. reheel malik 23-may-2025');</v>
      </c>
    </row>
    <row r="266" spans="1:8" ht="75" x14ac:dyDescent="0.25">
      <c r="A266" s="22" t="s">
        <v>330</v>
      </c>
      <c r="B266" s="30" t="str">
        <f>VLOOKUP(A266,policy!B:C,2,0)</f>
        <v>040000186737</v>
      </c>
      <c r="C266" s="22">
        <v>7540</v>
      </c>
      <c r="D266" s="31">
        <f t="shared" si="17"/>
        <v>7540</v>
      </c>
      <c r="E266" s="29" t="s">
        <v>1280</v>
      </c>
      <c r="F266" s="32" t="str">
        <f t="shared" si="16"/>
        <v>insert into ins_premium_det (premium_rcv_code,assorted_code, rec_amount,premium_rcv_detail_code,remaining_amt, payrec, mode_code,coinsurance_code,class_cd,it_remarks) values</v>
      </c>
      <c r="G266" s="33" t="str">
        <f t="shared" si="18"/>
        <v>('23May250004','040000186737','7540',(select max(to_number(i.premium_rcv_detail_code))+1
from ins_premium_det i),'7540','7540','09', '11000003','00','Request by Mr. reheel malik 23-may-2025');</v>
      </c>
      <c r="H266" s="34" t="str">
        <f t="shared" si="19"/>
        <v>insert into ins_premium_det (premium_rcv_code,assorted_code, rec_amount,premium_rcv_detail_code,remaining_amt, payrec, mode_code,coinsurance_code,class_cd,it_remarks) values('23May250004','040000186737','7540',(select max(to_number(i.premium_rcv_detail_code))+1
from ins_premium_det i),'7540','7540','09', '11000003','00','Request by Mr. reheel malik 23-may-2025');</v>
      </c>
    </row>
    <row r="267" spans="1:8" ht="75" x14ac:dyDescent="0.25">
      <c r="A267" s="22" t="s">
        <v>331</v>
      </c>
      <c r="B267" s="30" t="str">
        <f>VLOOKUP(A267,policy!B:C,2,0)</f>
        <v>040000186967</v>
      </c>
      <c r="C267" s="22">
        <v>7540</v>
      </c>
      <c r="D267" s="31">
        <f t="shared" si="17"/>
        <v>7540</v>
      </c>
      <c r="E267" s="29" t="s">
        <v>1280</v>
      </c>
      <c r="F267" s="32" t="str">
        <f t="shared" si="16"/>
        <v>insert into ins_premium_det (premium_rcv_code,assorted_code, rec_amount,premium_rcv_detail_code,remaining_amt, payrec, mode_code,coinsurance_code,class_cd,it_remarks) values</v>
      </c>
      <c r="G267" s="33" t="str">
        <f t="shared" si="18"/>
        <v>('23May250004','040000186967','7540',(select max(to_number(i.premium_rcv_detail_code))+1
from ins_premium_det i),'7540','7540','09', '11000003','00','Request by Mr. reheel malik 23-may-2025');</v>
      </c>
      <c r="H267" s="34" t="str">
        <f t="shared" si="19"/>
        <v>insert into ins_premium_det (premium_rcv_code,assorted_code, rec_amount,premium_rcv_detail_code,remaining_amt, payrec, mode_code,coinsurance_code,class_cd,it_remarks) values('23May250004','040000186967','7540',(select max(to_number(i.premium_rcv_detail_code))+1
from ins_premium_det i),'7540','7540','09', '11000003','00','Request by Mr. reheel malik 23-may-2025');</v>
      </c>
    </row>
    <row r="268" spans="1:8" ht="75" x14ac:dyDescent="0.25">
      <c r="A268" s="22" t="s">
        <v>332</v>
      </c>
      <c r="B268" s="30" t="str">
        <f>VLOOKUP(A268,policy!B:C,2,0)</f>
        <v>040000187006</v>
      </c>
      <c r="C268" s="22">
        <v>7540</v>
      </c>
      <c r="D268" s="31">
        <f t="shared" si="17"/>
        <v>7540</v>
      </c>
      <c r="E268" s="29" t="s">
        <v>1280</v>
      </c>
      <c r="F268" s="32" t="str">
        <f t="shared" si="16"/>
        <v>insert into ins_premium_det (premium_rcv_code,assorted_code, rec_amount,premium_rcv_detail_code,remaining_amt, payrec, mode_code,coinsurance_code,class_cd,it_remarks) values</v>
      </c>
      <c r="G268" s="33" t="str">
        <f t="shared" si="18"/>
        <v>('23May250004','040000187006','7540',(select max(to_number(i.premium_rcv_detail_code))+1
from ins_premium_det i),'7540','7540','09', '11000003','00','Request by Mr. reheel malik 23-may-2025');</v>
      </c>
      <c r="H268" s="34" t="str">
        <f t="shared" si="19"/>
        <v>insert into ins_premium_det (premium_rcv_code,assorted_code, rec_amount,premium_rcv_detail_code,remaining_amt, payrec, mode_code,coinsurance_code,class_cd,it_remarks) values('23May250004','040000187006','7540',(select max(to_number(i.premium_rcv_detail_code))+1
from ins_premium_det i),'7540','7540','09', '11000003','00','Request by Mr. reheel malik 23-may-2025');</v>
      </c>
    </row>
    <row r="269" spans="1:8" ht="75" x14ac:dyDescent="0.25">
      <c r="A269" s="22" t="s">
        <v>333</v>
      </c>
      <c r="B269" s="30" t="str">
        <f>VLOOKUP(A269,policy!B:C,2,0)</f>
        <v>040000187113</v>
      </c>
      <c r="C269" s="22">
        <v>7540</v>
      </c>
      <c r="D269" s="31">
        <f t="shared" si="17"/>
        <v>7540</v>
      </c>
      <c r="E269" s="29" t="s">
        <v>1280</v>
      </c>
      <c r="F269" s="32" t="str">
        <f t="shared" si="16"/>
        <v>insert into ins_premium_det (premium_rcv_code,assorted_code, rec_amount,premium_rcv_detail_code,remaining_amt, payrec, mode_code,coinsurance_code,class_cd,it_remarks) values</v>
      </c>
      <c r="G269" s="33" t="str">
        <f t="shared" si="18"/>
        <v>('23May250004','040000187113','7540',(select max(to_number(i.premium_rcv_detail_code))+1
from ins_premium_det i),'7540','7540','09', '11000003','00','Request by Mr. reheel malik 23-may-2025');</v>
      </c>
      <c r="H269" s="34" t="str">
        <f t="shared" si="19"/>
        <v>insert into ins_premium_det (premium_rcv_code,assorted_code, rec_amount,premium_rcv_detail_code,remaining_amt, payrec, mode_code,coinsurance_code,class_cd,it_remarks) values('23May250004','040000187113','7540',(select max(to_number(i.premium_rcv_detail_code))+1
from ins_premium_det i),'7540','7540','09', '11000003','00','Request by Mr. reheel malik 23-may-2025');</v>
      </c>
    </row>
    <row r="270" spans="1:8" ht="75" x14ac:dyDescent="0.25">
      <c r="A270" s="22" t="s">
        <v>334</v>
      </c>
      <c r="B270" s="30" t="str">
        <f>VLOOKUP(A270,policy!B:C,2,0)</f>
        <v>040000187852</v>
      </c>
      <c r="C270" s="22">
        <v>7540</v>
      </c>
      <c r="D270" s="31">
        <f t="shared" si="17"/>
        <v>7540</v>
      </c>
      <c r="E270" s="29" t="s">
        <v>1280</v>
      </c>
      <c r="F270" s="32" t="str">
        <f t="shared" si="16"/>
        <v>insert into ins_premium_det (premium_rcv_code,assorted_code, rec_amount,premium_rcv_detail_code,remaining_amt, payrec, mode_code,coinsurance_code,class_cd,it_remarks) values</v>
      </c>
      <c r="G270" s="33" t="str">
        <f t="shared" si="18"/>
        <v>('23May250004','040000187852','7540',(select max(to_number(i.premium_rcv_detail_code))+1
from ins_premium_det i),'7540','7540','09', '11000003','00','Request by Mr. reheel malik 23-may-2025');</v>
      </c>
      <c r="H270" s="34" t="str">
        <f t="shared" si="19"/>
        <v>insert into ins_premium_det (premium_rcv_code,assorted_code, rec_amount,premium_rcv_detail_code,remaining_amt, payrec, mode_code,coinsurance_code,class_cd,it_remarks) values('23May250004','040000187852','7540',(select max(to_number(i.premium_rcv_detail_code))+1
from ins_premium_det i),'7540','7540','09', '11000003','00','Request by Mr. reheel malik 23-may-2025');</v>
      </c>
    </row>
    <row r="271" spans="1:8" ht="75" x14ac:dyDescent="0.25">
      <c r="A271" s="22" t="s">
        <v>335</v>
      </c>
      <c r="B271" s="30" t="str">
        <f>VLOOKUP(A271,policy!B:C,2,0)</f>
        <v>040000188074</v>
      </c>
      <c r="C271" s="22">
        <v>7540</v>
      </c>
      <c r="D271" s="31">
        <f t="shared" si="17"/>
        <v>7540</v>
      </c>
      <c r="E271" s="29" t="s">
        <v>1280</v>
      </c>
      <c r="F271" s="32" t="str">
        <f t="shared" si="16"/>
        <v>insert into ins_premium_det (premium_rcv_code,assorted_code, rec_amount,premium_rcv_detail_code,remaining_amt, payrec, mode_code,coinsurance_code,class_cd,it_remarks) values</v>
      </c>
      <c r="G271" s="33" t="str">
        <f t="shared" si="18"/>
        <v>('23May250004','040000188074','7540',(select max(to_number(i.premium_rcv_detail_code))+1
from ins_premium_det i),'7540','7540','09', '11000003','00','Request by Mr. reheel malik 23-may-2025');</v>
      </c>
      <c r="H271" s="34" t="str">
        <f t="shared" si="19"/>
        <v>insert into ins_premium_det (premium_rcv_code,assorted_code, rec_amount,premium_rcv_detail_code,remaining_amt, payrec, mode_code,coinsurance_code,class_cd,it_remarks) values('23May250004','040000188074','7540',(select max(to_number(i.premium_rcv_detail_code))+1
from ins_premium_det i),'7540','7540','09', '11000003','00','Request by Mr. reheel malik 23-may-2025');</v>
      </c>
    </row>
    <row r="272" spans="1:8" ht="75" x14ac:dyDescent="0.25">
      <c r="A272" s="22" t="s">
        <v>336</v>
      </c>
      <c r="B272" s="30" t="str">
        <f>VLOOKUP(A272,policy!B:C,2,0)</f>
        <v>040000188235</v>
      </c>
      <c r="C272" s="22">
        <v>7540</v>
      </c>
      <c r="D272" s="31">
        <f t="shared" si="17"/>
        <v>7540</v>
      </c>
      <c r="E272" s="29" t="s">
        <v>1280</v>
      </c>
      <c r="F272" s="32" t="str">
        <f t="shared" si="16"/>
        <v>insert into ins_premium_det (premium_rcv_code,assorted_code, rec_amount,premium_rcv_detail_code,remaining_amt, payrec, mode_code,coinsurance_code,class_cd,it_remarks) values</v>
      </c>
      <c r="G272" s="33" t="str">
        <f t="shared" si="18"/>
        <v>('23May250004','040000188235','7540',(select max(to_number(i.premium_rcv_detail_code))+1
from ins_premium_det i),'7540','7540','09', '11000003','00','Request by Mr. reheel malik 23-may-2025');</v>
      </c>
      <c r="H272" s="34" t="str">
        <f t="shared" si="19"/>
        <v>insert into ins_premium_det (premium_rcv_code,assorted_code, rec_amount,premium_rcv_detail_code,remaining_amt, payrec, mode_code,coinsurance_code,class_cd,it_remarks) values('23May250004','040000188235','7540',(select max(to_number(i.premium_rcv_detail_code))+1
from ins_premium_det i),'7540','7540','09', '11000003','00','Request by Mr. reheel malik 23-may-2025');</v>
      </c>
    </row>
    <row r="273" spans="1:8" ht="75" x14ac:dyDescent="0.25">
      <c r="A273" s="22" t="s">
        <v>337</v>
      </c>
      <c r="B273" s="30" t="str">
        <f>VLOOKUP(A273,policy!B:C,2,0)</f>
        <v>040000188817</v>
      </c>
      <c r="C273" s="22">
        <v>7540</v>
      </c>
      <c r="D273" s="31">
        <f t="shared" si="17"/>
        <v>7540</v>
      </c>
      <c r="E273" s="29" t="s">
        <v>1280</v>
      </c>
      <c r="F273" s="32" t="str">
        <f t="shared" si="16"/>
        <v>insert into ins_premium_det (premium_rcv_code,assorted_code, rec_amount,premium_rcv_detail_code,remaining_amt, payrec, mode_code,coinsurance_code,class_cd,it_remarks) values</v>
      </c>
      <c r="G273" s="33" t="str">
        <f t="shared" si="18"/>
        <v>('23May250004','040000188817','7540',(select max(to_number(i.premium_rcv_detail_code))+1
from ins_premium_det i),'7540','7540','09', '11000003','00','Request by Mr. reheel malik 23-may-2025');</v>
      </c>
      <c r="H273" s="34" t="str">
        <f t="shared" si="19"/>
        <v>insert into ins_premium_det (premium_rcv_code,assorted_code, rec_amount,premium_rcv_detail_code,remaining_amt, payrec, mode_code,coinsurance_code,class_cd,it_remarks) values('23May250004','040000188817','7540',(select max(to_number(i.premium_rcv_detail_code))+1
from ins_premium_det i),'7540','7540','09', '11000003','00','Request by Mr. reheel malik 23-may-2025');</v>
      </c>
    </row>
    <row r="274" spans="1:8" ht="75" x14ac:dyDescent="0.25">
      <c r="A274" s="22" t="s">
        <v>338</v>
      </c>
      <c r="B274" s="30" t="str">
        <f>VLOOKUP(A274,policy!B:C,2,0)</f>
        <v>040000188901</v>
      </c>
      <c r="C274" s="22">
        <v>7540</v>
      </c>
      <c r="D274" s="31">
        <f t="shared" si="17"/>
        <v>7540</v>
      </c>
      <c r="E274" s="29" t="s">
        <v>1280</v>
      </c>
      <c r="F274" s="32" t="str">
        <f t="shared" si="16"/>
        <v>insert into ins_premium_det (premium_rcv_code,assorted_code, rec_amount,premium_rcv_detail_code,remaining_amt, payrec, mode_code,coinsurance_code,class_cd,it_remarks) values</v>
      </c>
      <c r="G274" s="33" t="str">
        <f t="shared" si="18"/>
        <v>('23May250004','040000188901','7540',(select max(to_number(i.premium_rcv_detail_code))+1
from ins_premium_det i),'7540','7540','09', '11000003','00','Request by Mr. reheel malik 23-may-2025');</v>
      </c>
      <c r="H274" s="34" t="str">
        <f t="shared" si="19"/>
        <v>insert into ins_premium_det (premium_rcv_code,assorted_code, rec_amount,premium_rcv_detail_code,remaining_amt, payrec, mode_code,coinsurance_code,class_cd,it_remarks) values('23May250004','040000188901','7540',(select max(to_number(i.premium_rcv_detail_code))+1
from ins_premium_det i),'7540','7540','09', '11000003','00','Request by Mr. reheel malik 23-may-2025');</v>
      </c>
    </row>
    <row r="275" spans="1:8" ht="75" x14ac:dyDescent="0.25">
      <c r="A275" s="22" t="s">
        <v>339</v>
      </c>
      <c r="B275" s="30" t="str">
        <f>VLOOKUP(A275,policy!B:C,2,0)</f>
        <v>040000188908</v>
      </c>
      <c r="C275" s="22">
        <v>7540</v>
      </c>
      <c r="D275" s="31">
        <f t="shared" si="17"/>
        <v>7540</v>
      </c>
      <c r="E275" s="29" t="s">
        <v>1280</v>
      </c>
      <c r="F275" s="32" t="str">
        <f t="shared" si="16"/>
        <v>insert into ins_premium_det (premium_rcv_code,assorted_code, rec_amount,premium_rcv_detail_code,remaining_amt, payrec, mode_code,coinsurance_code,class_cd,it_remarks) values</v>
      </c>
      <c r="G275" s="33" t="str">
        <f t="shared" si="18"/>
        <v>('23May250004','040000188908','7540',(select max(to_number(i.premium_rcv_detail_code))+1
from ins_premium_det i),'7540','7540','09', '11000003','00','Request by Mr. reheel malik 23-may-2025');</v>
      </c>
      <c r="H275" s="34" t="str">
        <f t="shared" si="19"/>
        <v>insert into ins_premium_det (premium_rcv_code,assorted_code, rec_amount,premium_rcv_detail_code,remaining_amt, payrec, mode_code,coinsurance_code,class_cd,it_remarks) values('23May250004','040000188908','7540',(select max(to_number(i.premium_rcv_detail_code))+1
from ins_premium_det i),'7540','7540','09', '11000003','00','Request by Mr. reheel malik 23-may-2025');</v>
      </c>
    </row>
    <row r="276" spans="1:8" ht="75" x14ac:dyDescent="0.25">
      <c r="A276" s="22" t="s">
        <v>340</v>
      </c>
      <c r="B276" s="30" t="str">
        <f>VLOOKUP(A276,policy!B:C,2,0)</f>
        <v>040000189191</v>
      </c>
      <c r="C276" s="22">
        <v>7540</v>
      </c>
      <c r="D276" s="31">
        <f t="shared" si="17"/>
        <v>7540</v>
      </c>
      <c r="E276" s="29" t="s">
        <v>1280</v>
      </c>
      <c r="F276" s="32" t="str">
        <f t="shared" si="16"/>
        <v>insert into ins_premium_det (premium_rcv_code,assorted_code, rec_amount,premium_rcv_detail_code,remaining_amt, payrec, mode_code,coinsurance_code,class_cd,it_remarks) values</v>
      </c>
      <c r="G276" s="33" t="str">
        <f t="shared" si="18"/>
        <v>('23May250004','040000189191','7540',(select max(to_number(i.premium_rcv_detail_code))+1
from ins_premium_det i),'7540','7540','09', '11000003','00','Request by Mr. reheel malik 23-may-2025');</v>
      </c>
      <c r="H276" s="34" t="str">
        <f t="shared" si="19"/>
        <v>insert into ins_premium_det (premium_rcv_code,assorted_code, rec_amount,premium_rcv_detail_code,remaining_amt, payrec, mode_code,coinsurance_code,class_cd,it_remarks) values('23May250004','040000189191','7540',(select max(to_number(i.premium_rcv_detail_code))+1
from ins_premium_det i),'7540','7540','09', '11000003','00','Request by Mr. reheel malik 23-may-2025');</v>
      </c>
    </row>
    <row r="277" spans="1:8" ht="75" x14ac:dyDescent="0.25">
      <c r="A277" s="22" t="s">
        <v>341</v>
      </c>
      <c r="B277" s="30" t="str">
        <f>VLOOKUP(A277,policy!B:C,2,0)</f>
        <v>040000190613</v>
      </c>
      <c r="C277" s="22">
        <v>7540</v>
      </c>
      <c r="D277" s="31">
        <f t="shared" si="17"/>
        <v>7540</v>
      </c>
      <c r="E277" s="29" t="s">
        <v>1280</v>
      </c>
      <c r="F277" s="32" t="str">
        <f t="shared" si="16"/>
        <v>insert into ins_premium_det (premium_rcv_code,assorted_code, rec_amount,premium_rcv_detail_code,remaining_amt, payrec, mode_code,coinsurance_code,class_cd,it_remarks) values</v>
      </c>
      <c r="G277" s="33" t="str">
        <f t="shared" si="18"/>
        <v>('23May250004','040000190613','7540',(select max(to_number(i.premium_rcv_detail_code))+1
from ins_premium_det i),'7540','7540','09', '11000003','00','Request by Mr. reheel malik 23-may-2025');</v>
      </c>
      <c r="H277" s="34" t="str">
        <f t="shared" si="19"/>
        <v>insert into ins_premium_det (premium_rcv_code,assorted_code, rec_amount,premium_rcv_detail_code,remaining_amt, payrec, mode_code,coinsurance_code,class_cd,it_remarks) values('23May250004','040000190613','7540',(select max(to_number(i.premium_rcv_detail_code))+1
from ins_premium_det i),'7540','7540','09', '11000003','00','Request by Mr. reheel malik 23-may-2025');</v>
      </c>
    </row>
    <row r="278" spans="1:8" ht="75" x14ac:dyDescent="0.25">
      <c r="A278" s="22" t="s">
        <v>342</v>
      </c>
      <c r="B278" s="30" t="str">
        <f>VLOOKUP(A278,policy!B:C,2,0)</f>
        <v>040000190748</v>
      </c>
      <c r="C278" s="22">
        <v>7540</v>
      </c>
      <c r="D278" s="31">
        <f t="shared" si="17"/>
        <v>7540</v>
      </c>
      <c r="E278" s="29" t="s">
        <v>1280</v>
      </c>
      <c r="F278" s="32" t="str">
        <f t="shared" si="16"/>
        <v>insert into ins_premium_det (premium_rcv_code,assorted_code, rec_amount,premium_rcv_detail_code,remaining_amt, payrec, mode_code,coinsurance_code,class_cd,it_remarks) values</v>
      </c>
      <c r="G278" s="33" t="str">
        <f t="shared" si="18"/>
        <v>('23May250004','040000190748','7540',(select max(to_number(i.premium_rcv_detail_code))+1
from ins_premium_det i),'7540','7540','09', '11000003','00','Request by Mr. reheel malik 23-may-2025');</v>
      </c>
      <c r="H278" s="34" t="str">
        <f t="shared" si="19"/>
        <v>insert into ins_premium_det (premium_rcv_code,assorted_code, rec_amount,premium_rcv_detail_code,remaining_amt, payrec, mode_code,coinsurance_code,class_cd,it_remarks) values('23May250004','040000190748','7540',(select max(to_number(i.premium_rcv_detail_code))+1
from ins_premium_det i),'7540','7540','09', '11000003','00','Request by Mr. reheel malik 23-may-2025');</v>
      </c>
    </row>
    <row r="279" spans="1:8" ht="75" x14ac:dyDescent="0.25">
      <c r="A279" s="22" t="s">
        <v>343</v>
      </c>
      <c r="B279" s="30" t="str">
        <f>VLOOKUP(A279,policy!B:C,2,0)</f>
        <v>040000190877</v>
      </c>
      <c r="C279" s="22">
        <v>7540</v>
      </c>
      <c r="D279" s="31">
        <f t="shared" si="17"/>
        <v>7540</v>
      </c>
      <c r="E279" s="29" t="s">
        <v>1280</v>
      </c>
      <c r="F279" s="32" t="str">
        <f t="shared" si="16"/>
        <v>insert into ins_premium_det (premium_rcv_code,assorted_code, rec_amount,premium_rcv_detail_code,remaining_amt, payrec, mode_code,coinsurance_code,class_cd,it_remarks) values</v>
      </c>
      <c r="G279" s="33" t="str">
        <f t="shared" si="18"/>
        <v>('23May250004','040000190877','7540',(select max(to_number(i.premium_rcv_detail_code))+1
from ins_premium_det i),'7540','7540','09', '11000003','00','Request by Mr. reheel malik 23-may-2025');</v>
      </c>
      <c r="H279" s="34" t="str">
        <f t="shared" si="19"/>
        <v>insert into ins_premium_det (premium_rcv_code,assorted_code, rec_amount,premium_rcv_detail_code,remaining_amt, payrec, mode_code,coinsurance_code,class_cd,it_remarks) values('23May250004','040000190877','7540',(select max(to_number(i.premium_rcv_detail_code))+1
from ins_premium_det i),'7540','7540','09', '11000003','00','Request by Mr. reheel malik 23-may-2025');</v>
      </c>
    </row>
    <row r="280" spans="1:8" ht="75" x14ac:dyDescent="0.25">
      <c r="A280" s="22" t="s">
        <v>344</v>
      </c>
      <c r="B280" s="30" t="str">
        <f>VLOOKUP(A280,policy!B:C,2,0)</f>
        <v>040000191308</v>
      </c>
      <c r="C280" s="22">
        <v>7540</v>
      </c>
      <c r="D280" s="31">
        <f t="shared" si="17"/>
        <v>7540</v>
      </c>
      <c r="E280" s="29" t="s">
        <v>1280</v>
      </c>
      <c r="F280" s="32" t="str">
        <f t="shared" si="16"/>
        <v>insert into ins_premium_det (premium_rcv_code,assorted_code, rec_amount,premium_rcv_detail_code,remaining_amt, payrec, mode_code,coinsurance_code,class_cd,it_remarks) values</v>
      </c>
      <c r="G280" s="33" t="str">
        <f t="shared" si="18"/>
        <v>('23May250004','040000191308','7540',(select max(to_number(i.premium_rcv_detail_code))+1
from ins_premium_det i),'7540','7540','09', '11000003','00','Request by Mr. reheel malik 23-may-2025');</v>
      </c>
      <c r="H280" s="34" t="str">
        <f t="shared" si="19"/>
        <v>insert into ins_premium_det (premium_rcv_code,assorted_code, rec_amount,premium_rcv_detail_code,remaining_amt, payrec, mode_code,coinsurance_code,class_cd,it_remarks) values('23May250004','040000191308','7540',(select max(to_number(i.premium_rcv_detail_code))+1
from ins_premium_det i),'7540','7540','09', '11000003','00','Request by Mr. reheel malik 23-may-2025');</v>
      </c>
    </row>
    <row r="281" spans="1:8" ht="75" x14ac:dyDescent="0.25">
      <c r="A281" s="22" t="s">
        <v>345</v>
      </c>
      <c r="B281" s="30" t="str">
        <f>VLOOKUP(A281,policy!B:C,2,0)</f>
        <v>040000192765</v>
      </c>
      <c r="C281" s="22">
        <v>7540</v>
      </c>
      <c r="D281" s="31">
        <f t="shared" si="17"/>
        <v>7540</v>
      </c>
      <c r="E281" s="29" t="s">
        <v>1280</v>
      </c>
      <c r="F281" s="32" t="str">
        <f t="shared" si="16"/>
        <v>insert into ins_premium_det (premium_rcv_code,assorted_code, rec_amount,premium_rcv_detail_code,remaining_amt, payrec, mode_code,coinsurance_code,class_cd,it_remarks) values</v>
      </c>
      <c r="G281" s="33" t="str">
        <f t="shared" si="18"/>
        <v>('23May250004','040000192765','7540',(select max(to_number(i.premium_rcv_detail_code))+1
from ins_premium_det i),'7540','7540','09', '11000003','00','Request by Mr. reheel malik 23-may-2025');</v>
      </c>
      <c r="H281" s="34" t="str">
        <f t="shared" si="19"/>
        <v>insert into ins_premium_det (premium_rcv_code,assorted_code, rec_amount,premium_rcv_detail_code,remaining_amt, payrec, mode_code,coinsurance_code,class_cd,it_remarks) values('23May250004','040000192765','7540',(select max(to_number(i.premium_rcv_detail_code))+1
from ins_premium_det i),'7540','7540','09', '11000003','00','Request by Mr. reheel malik 23-may-2025');</v>
      </c>
    </row>
    <row r="282" spans="1:8" ht="75" x14ac:dyDescent="0.25">
      <c r="A282" s="22" t="s">
        <v>346</v>
      </c>
      <c r="B282" s="30" t="str">
        <f>VLOOKUP(A282,policy!B:C,2,0)</f>
        <v>040000192895</v>
      </c>
      <c r="C282" s="22">
        <v>7540</v>
      </c>
      <c r="D282" s="31">
        <f t="shared" si="17"/>
        <v>7540</v>
      </c>
      <c r="E282" s="29" t="s">
        <v>1280</v>
      </c>
      <c r="F282" s="32" t="str">
        <f t="shared" si="16"/>
        <v>insert into ins_premium_det (premium_rcv_code,assorted_code, rec_amount,premium_rcv_detail_code,remaining_amt, payrec, mode_code,coinsurance_code,class_cd,it_remarks) values</v>
      </c>
      <c r="G282" s="33" t="str">
        <f t="shared" si="18"/>
        <v>('23May250004','040000192895','7540',(select max(to_number(i.premium_rcv_detail_code))+1
from ins_premium_det i),'7540','7540','09', '11000003','00','Request by Mr. reheel malik 23-may-2025');</v>
      </c>
      <c r="H282" s="34" t="str">
        <f t="shared" si="19"/>
        <v>insert into ins_premium_det (premium_rcv_code,assorted_code, rec_amount,premium_rcv_detail_code,remaining_amt, payrec, mode_code,coinsurance_code,class_cd,it_remarks) values('23May250004','040000192895','7540',(select max(to_number(i.premium_rcv_detail_code))+1
from ins_premium_det i),'7540','7540','09', '11000003','00','Request by Mr. reheel malik 23-may-2025');</v>
      </c>
    </row>
    <row r="283" spans="1:8" ht="75" x14ac:dyDescent="0.25">
      <c r="A283" s="22" t="s">
        <v>347</v>
      </c>
      <c r="B283" s="30" t="str">
        <f>VLOOKUP(A283,policy!B:C,2,0)</f>
        <v>040000193269</v>
      </c>
      <c r="C283" s="22">
        <v>7540</v>
      </c>
      <c r="D283" s="31">
        <f t="shared" si="17"/>
        <v>7540</v>
      </c>
      <c r="E283" s="29" t="s">
        <v>1280</v>
      </c>
      <c r="F283" s="32" t="str">
        <f t="shared" si="16"/>
        <v>insert into ins_premium_det (premium_rcv_code,assorted_code, rec_amount,premium_rcv_detail_code,remaining_amt, payrec, mode_code,coinsurance_code,class_cd,it_remarks) values</v>
      </c>
      <c r="G283" s="33" t="str">
        <f t="shared" si="18"/>
        <v>('23May250004','040000193269','7540',(select max(to_number(i.premium_rcv_detail_code))+1
from ins_premium_det i),'7540','7540','09', '11000003','00','Request by Mr. reheel malik 23-may-2025');</v>
      </c>
      <c r="H283" s="34" t="str">
        <f t="shared" si="19"/>
        <v>insert into ins_premium_det (premium_rcv_code,assorted_code, rec_amount,premium_rcv_detail_code,remaining_amt, payrec, mode_code,coinsurance_code,class_cd,it_remarks) values('23May250004','040000193269','7540',(select max(to_number(i.premium_rcv_detail_code))+1
from ins_premium_det i),'7540','7540','09', '11000003','00','Request by Mr. reheel malik 23-may-2025');</v>
      </c>
    </row>
    <row r="284" spans="1:8" ht="75" x14ac:dyDescent="0.25">
      <c r="A284" s="22" t="s">
        <v>348</v>
      </c>
      <c r="B284" s="30" t="str">
        <f>VLOOKUP(A284,policy!B:C,2,0)</f>
        <v>040000194442</v>
      </c>
      <c r="C284" s="22">
        <v>7540</v>
      </c>
      <c r="D284" s="31">
        <f t="shared" si="17"/>
        <v>7540</v>
      </c>
      <c r="E284" s="29" t="s">
        <v>1280</v>
      </c>
      <c r="F284" s="32" t="str">
        <f t="shared" si="16"/>
        <v>insert into ins_premium_det (premium_rcv_code,assorted_code, rec_amount,premium_rcv_detail_code,remaining_amt, payrec, mode_code,coinsurance_code,class_cd,it_remarks) values</v>
      </c>
      <c r="G284" s="33" t="str">
        <f t="shared" si="18"/>
        <v>('23May250004','040000194442','7540',(select max(to_number(i.premium_rcv_detail_code))+1
from ins_premium_det i),'7540','7540','09', '11000003','00','Request by Mr. reheel malik 23-may-2025');</v>
      </c>
      <c r="H284" s="34" t="str">
        <f t="shared" si="19"/>
        <v>insert into ins_premium_det (premium_rcv_code,assorted_code, rec_amount,premium_rcv_detail_code,remaining_amt, payrec, mode_code,coinsurance_code,class_cd,it_remarks) values('23May250004','040000194442','7540',(select max(to_number(i.premium_rcv_detail_code))+1
from ins_premium_det i),'7540','7540','09', '11000003','00','Request by Mr. reheel malik 23-may-2025');</v>
      </c>
    </row>
    <row r="285" spans="1:8" ht="75" x14ac:dyDescent="0.25">
      <c r="A285" s="22" t="s">
        <v>349</v>
      </c>
      <c r="B285" s="30" t="str">
        <f>VLOOKUP(A285,policy!B:C,2,0)</f>
        <v>050000826716</v>
      </c>
      <c r="C285" s="22">
        <v>7540</v>
      </c>
      <c r="D285" s="31">
        <f t="shared" si="17"/>
        <v>7540</v>
      </c>
      <c r="E285" s="29" t="s">
        <v>1280</v>
      </c>
      <c r="F285" s="32" t="str">
        <f t="shared" si="16"/>
        <v>insert into ins_premium_det (premium_rcv_code,assorted_code, rec_amount,premium_rcv_detail_code,remaining_amt, payrec, mode_code,coinsurance_code,class_cd,it_remarks) values</v>
      </c>
      <c r="G285" s="33" t="str">
        <f t="shared" si="18"/>
        <v>('23May250004','050000826716','7540',(select max(to_number(i.premium_rcv_detail_code))+1
from ins_premium_det i),'7540','7540','09', '11000003','00','Request by Mr. reheel malik 23-may-2025');</v>
      </c>
      <c r="H285" s="34" t="str">
        <f t="shared" si="19"/>
        <v>insert into ins_premium_det (premium_rcv_code,assorted_code, rec_amount,premium_rcv_detail_code,remaining_amt, payrec, mode_code,coinsurance_code,class_cd,it_remarks) values('23May250004','050000826716','7540',(select max(to_number(i.premium_rcv_detail_code))+1
from ins_premium_det i),'7540','7540','09', '11000003','00','Request by Mr. reheel malik 23-may-2025');</v>
      </c>
    </row>
    <row r="286" spans="1:8" ht="75" x14ac:dyDescent="0.25">
      <c r="A286" s="22" t="s">
        <v>350</v>
      </c>
      <c r="B286" s="30" t="str">
        <f>VLOOKUP(A286,policy!B:C,2,0)</f>
        <v>050000826717</v>
      </c>
      <c r="C286" s="22">
        <v>7540</v>
      </c>
      <c r="D286" s="31">
        <f t="shared" si="17"/>
        <v>7540</v>
      </c>
      <c r="E286" s="29" t="s">
        <v>1280</v>
      </c>
      <c r="F286" s="32" t="str">
        <f t="shared" si="16"/>
        <v>insert into ins_premium_det (premium_rcv_code,assorted_code, rec_amount,premium_rcv_detail_code,remaining_amt, payrec, mode_code,coinsurance_code,class_cd,it_remarks) values</v>
      </c>
      <c r="G286" s="33" t="str">
        <f t="shared" si="18"/>
        <v>('23May250004','050000826717','7540',(select max(to_number(i.premium_rcv_detail_code))+1
from ins_premium_det i),'7540','7540','09', '11000003','00','Request by Mr. reheel malik 23-may-2025');</v>
      </c>
      <c r="H286" s="34" t="str">
        <f t="shared" si="19"/>
        <v>insert into ins_premium_det (premium_rcv_code,assorted_code, rec_amount,premium_rcv_detail_code,remaining_amt, payrec, mode_code,coinsurance_code,class_cd,it_remarks) values('23May250004','050000826717','7540',(select max(to_number(i.premium_rcv_detail_code))+1
from ins_premium_det i),'7540','7540','09', '11000003','00','Request by Mr. reheel malik 23-may-2025');</v>
      </c>
    </row>
    <row r="287" spans="1:8" ht="75" x14ac:dyDescent="0.25">
      <c r="A287" s="22" t="s">
        <v>351</v>
      </c>
      <c r="B287" s="30" t="str">
        <f>VLOOKUP(A287,policy!B:C,2,0)</f>
        <v>050000826718</v>
      </c>
      <c r="C287" s="22">
        <v>7540</v>
      </c>
      <c r="D287" s="31">
        <f t="shared" si="17"/>
        <v>7540</v>
      </c>
      <c r="E287" s="29" t="s">
        <v>1280</v>
      </c>
      <c r="F287" s="32" t="str">
        <f t="shared" si="16"/>
        <v>insert into ins_premium_det (premium_rcv_code,assorted_code, rec_amount,premium_rcv_detail_code,remaining_amt, payrec, mode_code,coinsurance_code,class_cd,it_remarks) values</v>
      </c>
      <c r="G287" s="33" t="str">
        <f t="shared" si="18"/>
        <v>('23May250004','050000826718','7540',(select max(to_number(i.premium_rcv_detail_code))+1
from ins_premium_det i),'7540','7540','09', '11000003','00','Request by Mr. reheel malik 23-may-2025');</v>
      </c>
      <c r="H287" s="34" t="str">
        <f t="shared" si="19"/>
        <v>insert into ins_premium_det (premium_rcv_code,assorted_code, rec_amount,premium_rcv_detail_code,remaining_amt, payrec, mode_code,coinsurance_code,class_cd,it_remarks) values('23May250004','050000826718','7540',(select max(to_number(i.premium_rcv_detail_code))+1
from ins_premium_det i),'7540','7540','09', '11000003','00','Request by Mr. reheel malik 23-may-2025');</v>
      </c>
    </row>
    <row r="288" spans="1:8" ht="75" x14ac:dyDescent="0.25">
      <c r="A288" s="22" t="s">
        <v>352</v>
      </c>
      <c r="B288" s="30" t="str">
        <f>VLOOKUP(A288,policy!B:C,2,0)</f>
        <v>050000826719</v>
      </c>
      <c r="C288" s="22">
        <v>7540</v>
      </c>
      <c r="D288" s="31">
        <f t="shared" si="17"/>
        <v>7540</v>
      </c>
      <c r="E288" s="29" t="s">
        <v>1280</v>
      </c>
      <c r="F288" s="32" t="str">
        <f t="shared" si="16"/>
        <v>insert into ins_premium_det (premium_rcv_code,assorted_code, rec_amount,premium_rcv_detail_code,remaining_amt, payrec, mode_code,coinsurance_code,class_cd,it_remarks) values</v>
      </c>
      <c r="G288" s="33" t="str">
        <f t="shared" si="18"/>
        <v>('23May250004','050000826719','7540',(select max(to_number(i.premium_rcv_detail_code))+1
from ins_premium_det i),'7540','7540','09', '11000003','00','Request by Mr. reheel malik 23-may-2025');</v>
      </c>
      <c r="H288" s="34" t="str">
        <f t="shared" si="19"/>
        <v>insert into ins_premium_det (premium_rcv_code,assorted_code, rec_amount,premium_rcv_detail_code,remaining_amt, payrec, mode_code,coinsurance_code,class_cd,it_remarks) values('23May250004','050000826719','7540',(select max(to_number(i.premium_rcv_detail_code))+1
from ins_premium_det i),'7540','7540','09', '11000003','00','Request by Mr. reheel malik 23-may-2025');</v>
      </c>
    </row>
    <row r="289" spans="1:8" ht="75" x14ac:dyDescent="0.25">
      <c r="A289" s="22" t="s">
        <v>353</v>
      </c>
      <c r="B289" s="30" t="str">
        <f>VLOOKUP(A289,policy!B:C,2,0)</f>
        <v>050000826774</v>
      </c>
      <c r="C289" s="22">
        <v>7540</v>
      </c>
      <c r="D289" s="31">
        <f t="shared" si="17"/>
        <v>7540</v>
      </c>
      <c r="E289" s="29" t="s">
        <v>1280</v>
      </c>
      <c r="F289" s="32" t="str">
        <f t="shared" si="16"/>
        <v>insert into ins_premium_det (premium_rcv_code,assorted_code, rec_amount,premium_rcv_detail_code,remaining_amt, payrec, mode_code,coinsurance_code,class_cd,it_remarks) values</v>
      </c>
      <c r="G289" s="33" t="str">
        <f t="shared" si="18"/>
        <v>('23May250004','050000826774','7540',(select max(to_number(i.premium_rcv_detail_code))+1
from ins_premium_det i),'7540','7540','09', '11000003','00','Request by Mr. reheel malik 23-may-2025');</v>
      </c>
      <c r="H289" s="34" t="str">
        <f t="shared" si="19"/>
        <v>insert into ins_premium_det (premium_rcv_code,assorted_code, rec_amount,premium_rcv_detail_code,remaining_amt, payrec, mode_code,coinsurance_code,class_cd,it_remarks) values('23May250004','050000826774','7540',(select max(to_number(i.premium_rcv_detail_code))+1
from ins_premium_det i),'7540','7540','09', '11000003','00','Request by Mr. reheel malik 23-may-2025');</v>
      </c>
    </row>
    <row r="290" spans="1:8" ht="75" x14ac:dyDescent="0.25">
      <c r="A290" s="22" t="s">
        <v>354</v>
      </c>
      <c r="B290" s="30" t="str">
        <f>VLOOKUP(A290,policy!B:C,2,0)</f>
        <v>050000846479</v>
      </c>
      <c r="C290" s="22">
        <v>7540</v>
      </c>
      <c r="D290" s="31">
        <f t="shared" si="17"/>
        <v>7540</v>
      </c>
      <c r="E290" s="29" t="s">
        <v>1280</v>
      </c>
      <c r="F290" s="32" t="str">
        <f t="shared" si="16"/>
        <v>insert into ins_premium_det (premium_rcv_code,assorted_code, rec_amount,premium_rcv_detail_code,remaining_amt, payrec, mode_code,coinsurance_code,class_cd,it_remarks) values</v>
      </c>
      <c r="G290" s="33" t="str">
        <f t="shared" si="18"/>
        <v>('23May250004','050000846479','7540',(select max(to_number(i.premium_rcv_detail_code))+1
from ins_premium_det i),'7540','7540','09', '11000003','00','Request by Mr. reheel malik 23-may-2025');</v>
      </c>
      <c r="H290" s="34" t="str">
        <f t="shared" si="19"/>
        <v>insert into ins_premium_det (premium_rcv_code,assorted_code, rec_amount,premium_rcv_detail_code,remaining_amt, payrec, mode_code,coinsurance_code,class_cd,it_remarks) values('23May250004','050000846479','7540',(select max(to_number(i.premium_rcv_detail_code))+1
from ins_premium_det i),'7540','7540','09', '11000003','00','Request by Mr. reheel malik 23-may-2025');</v>
      </c>
    </row>
    <row r="291" spans="1:8" ht="75" x14ac:dyDescent="0.25">
      <c r="A291" s="22" t="s">
        <v>355</v>
      </c>
      <c r="B291" s="30" t="str">
        <f>VLOOKUP(A291,policy!B:C,2,0)</f>
        <v>050000846481</v>
      </c>
      <c r="C291" s="22">
        <v>7540</v>
      </c>
      <c r="D291" s="31">
        <f t="shared" si="17"/>
        <v>7540</v>
      </c>
      <c r="E291" s="29" t="s">
        <v>1280</v>
      </c>
      <c r="F291" s="32" t="str">
        <f t="shared" si="16"/>
        <v>insert into ins_premium_det (premium_rcv_code,assorted_code, rec_amount,premium_rcv_detail_code,remaining_amt, payrec, mode_code,coinsurance_code,class_cd,it_remarks) values</v>
      </c>
      <c r="G291" s="33" t="str">
        <f t="shared" si="18"/>
        <v>('23May250004','050000846481','7540',(select max(to_number(i.premium_rcv_detail_code))+1
from ins_premium_det i),'7540','7540','09', '11000003','00','Request by Mr. reheel malik 23-may-2025');</v>
      </c>
      <c r="H291" s="34" t="str">
        <f t="shared" si="19"/>
        <v>insert into ins_premium_det (premium_rcv_code,assorted_code, rec_amount,premium_rcv_detail_code,remaining_amt, payrec, mode_code,coinsurance_code,class_cd,it_remarks) values('23May250004','050000846481','7540',(select max(to_number(i.premium_rcv_detail_code))+1
from ins_premium_det i),'7540','7540','09', '11000003','00','Request by Mr. reheel malik 23-may-2025');</v>
      </c>
    </row>
    <row r="292" spans="1:8" ht="75" x14ac:dyDescent="0.25">
      <c r="A292" s="22" t="s">
        <v>356</v>
      </c>
      <c r="B292" s="30" t="str">
        <f>VLOOKUP(A292,Sheet7!B:C,2,0)</f>
        <v>070000174018</v>
      </c>
      <c r="C292" s="22">
        <v>7540</v>
      </c>
      <c r="D292" s="31">
        <f t="shared" si="17"/>
        <v>7540</v>
      </c>
      <c r="E292" s="29" t="s">
        <v>1280</v>
      </c>
      <c r="F292" s="32" t="str">
        <f t="shared" si="16"/>
        <v>insert into ins_premium_det (premium_rcv_code,assorted_code, rec_amount,premium_rcv_detail_code,remaining_amt, payrec, mode_code,coinsurance_code,class_cd,it_remarks) values</v>
      </c>
      <c r="G292" s="33" t="str">
        <f t="shared" si="18"/>
        <v>('23May250004','070000174018','7540',(select max(to_number(i.premium_rcv_detail_code))+1
from ins_premium_det i),'7540','7540','09', '11000003','00','Request by Mr. reheel malik 23-may-2025');</v>
      </c>
      <c r="H292" s="34" t="str">
        <f t="shared" si="19"/>
        <v>insert into ins_premium_det (premium_rcv_code,assorted_code, rec_amount,premium_rcv_detail_code,remaining_amt, payrec, mode_code,coinsurance_code,class_cd,it_remarks) values('23May250004','070000174018','7540',(select max(to_number(i.premium_rcv_detail_code))+1
from ins_premium_det i),'7540','7540','09', '11000003','00','Request by Mr. reheel malik 23-may-2025');</v>
      </c>
    </row>
    <row r="293" spans="1:8" ht="75" x14ac:dyDescent="0.25">
      <c r="A293" s="22" t="s">
        <v>357</v>
      </c>
      <c r="B293" s="30" t="str">
        <f>VLOOKUP(A293,policy!B:C,2,0)</f>
        <v>040000180936</v>
      </c>
      <c r="C293" s="22">
        <v>7540</v>
      </c>
      <c r="D293" s="31">
        <f t="shared" si="17"/>
        <v>7540</v>
      </c>
      <c r="E293" s="29" t="s">
        <v>1280</v>
      </c>
      <c r="F293" s="32" t="str">
        <f t="shared" si="16"/>
        <v>insert into ins_premium_det (premium_rcv_code,assorted_code, rec_amount,premium_rcv_detail_code,remaining_amt, payrec, mode_code,coinsurance_code,class_cd,it_remarks) values</v>
      </c>
      <c r="G293" s="33" t="str">
        <f t="shared" si="18"/>
        <v>('23May250004','040000180936','7540',(select max(to_number(i.premium_rcv_detail_code))+1
from ins_premium_det i),'7540','7540','09', '11000003','00','Request by Mr. reheel malik 23-may-2025');</v>
      </c>
      <c r="H293" s="34" t="str">
        <f t="shared" si="19"/>
        <v>insert into ins_premium_det (premium_rcv_code,assorted_code, rec_amount,premium_rcv_detail_code,remaining_amt, payrec, mode_code,coinsurance_code,class_cd,it_remarks) values('23May250004','040000180936','7540',(select max(to_number(i.premium_rcv_detail_code))+1
from ins_premium_det i),'7540','7540','09', '11000003','00','Request by Mr. reheel malik 23-may-2025');</v>
      </c>
    </row>
    <row r="294" spans="1:8" ht="75" x14ac:dyDescent="0.25">
      <c r="A294" s="22" t="s">
        <v>358</v>
      </c>
      <c r="B294" s="30" t="str">
        <f>VLOOKUP(A294,policy!B:C,2,0)</f>
        <v>040000180937</v>
      </c>
      <c r="C294" s="22">
        <v>7540</v>
      </c>
      <c r="D294" s="31">
        <f t="shared" si="17"/>
        <v>7540</v>
      </c>
      <c r="E294" s="29" t="s">
        <v>1280</v>
      </c>
      <c r="F294" s="32" t="str">
        <f t="shared" si="16"/>
        <v>insert into ins_premium_det (premium_rcv_code,assorted_code, rec_amount,premium_rcv_detail_code,remaining_amt, payrec, mode_code,coinsurance_code,class_cd,it_remarks) values</v>
      </c>
      <c r="G294" s="33" t="str">
        <f t="shared" si="18"/>
        <v>('23May250004','040000180937','7540',(select max(to_number(i.premium_rcv_detail_code))+1
from ins_premium_det i),'7540','7540','09', '11000003','00','Request by Mr. reheel malik 23-may-2025');</v>
      </c>
      <c r="H294" s="34" t="str">
        <f t="shared" si="19"/>
        <v>insert into ins_premium_det (premium_rcv_code,assorted_code, rec_amount,premium_rcv_detail_code,remaining_amt, payrec, mode_code,coinsurance_code,class_cd,it_remarks) values('23May250004','040000180937','7540',(select max(to_number(i.premium_rcv_detail_code))+1
from ins_premium_det i),'7540','7540','09', '11000003','00','Request by Mr. reheel malik 23-may-2025');</v>
      </c>
    </row>
    <row r="295" spans="1:8" ht="75" x14ac:dyDescent="0.25">
      <c r="A295" s="22" t="s">
        <v>359</v>
      </c>
      <c r="B295" s="30" t="str">
        <f>VLOOKUP(A295,policy!B:C,2,0)</f>
        <v>040000183148</v>
      </c>
      <c r="C295" s="22">
        <v>7540</v>
      </c>
      <c r="D295" s="31">
        <f t="shared" si="17"/>
        <v>7540</v>
      </c>
      <c r="E295" s="29" t="s">
        <v>1280</v>
      </c>
      <c r="F295" s="32" t="str">
        <f t="shared" si="16"/>
        <v>insert into ins_premium_det (premium_rcv_code,assorted_code, rec_amount,premium_rcv_detail_code,remaining_amt, payrec, mode_code,coinsurance_code,class_cd,it_remarks) values</v>
      </c>
      <c r="G295" s="33" t="str">
        <f t="shared" si="18"/>
        <v>('23May250004','040000183148','7540',(select max(to_number(i.premium_rcv_detail_code))+1
from ins_premium_det i),'7540','7540','09', '11000003','00','Request by Mr. reheel malik 23-may-2025');</v>
      </c>
      <c r="H295" s="34" t="str">
        <f t="shared" si="19"/>
        <v>insert into ins_premium_det (premium_rcv_code,assorted_code, rec_amount,premium_rcv_detail_code,remaining_amt, payrec, mode_code,coinsurance_code,class_cd,it_remarks) values('23May250004','040000183148','7540',(select max(to_number(i.premium_rcv_detail_code))+1
from ins_premium_det i),'7540','7540','09', '11000003','00','Request by Mr. reheel malik 23-may-2025');</v>
      </c>
    </row>
    <row r="296" spans="1:8" ht="75" x14ac:dyDescent="0.25">
      <c r="A296" s="22" t="s">
        <v>360</v>
      </c>
      <c r="B296" s="30" t="str">
        <f>VLOOKUP(A296,policy!B:C,2,0)</f>
        <v>040000193356</v>
      </c>
      <c r="C296" s="22">
        <v>7540</v>
      </c>
      <c r="D296" s="31">
        <f t="shared" si="17"/>
        <v>7540</v>
      </c>
      <c r="E296" s="29" t="s">
        <v>1280</v>
      </c>
      <c r="F296" s="32" t="str">
        <f t="shared" si="16"/>
        <v>insert into ins_premium_det (premium_rcv_code,assorted_code, rec_amount,premium_rcv_detail_code,remaining_amt, payrec, mode_code,coinsurance_code,class_cd,it_remarks) values</v>
      </c>
      <c r="G296" s="33" t="str">
        <f t="shared" si="18"/>
        <v>('23May250004','040000193356','7540',(select max(to_number(i.premium_rcv_detail_code))+1
from ins_premium_det i),'7540','7540','09', '11000003','00','Request by Mr. reheel malik 23-may-2025');</v>
      </c>
      <c r="H296" s="34" t="str">
        <f t="shared" si="19"/>
        <v>insert into ins_premium_det (premium_rcv_code,assorted_code, rec_amount,premium_rcv_detail_code,remaining_amt, payrec, mode_code,coinsurance_code,class_cd,it_remarks) values('23May250004','040000193356','7540',(select max(to_number(i.premium_rcv_detail_code))+1
from ins_premium_det i),'7540','7540','09', '11000003','00','Request by Mr. reheel malik 23-may-2025');</v>
      </c>
    </row>
    <row r="297" spans="1:8" ht="75" x14ac:dyDescent="0.25">
      <c r="A297" s="22" t="s">
        <v>361</v>
      </c>
      <c r="B297" s="30" t="str">
        <f>VLOOKUP(A297,policy!B:C,2,0)</f>
        <v>040000194067</v>
      </c>
      <c r="C297" s="22">
        <v>7540</v>
      </c>
      <c r="D297" s="31">
        <f t="shared" si="17"/>
        <v>7540</v>
      </c>
      <c r="E297" s="29" t="s">
        <v>1280</v>
      </c>
      <c r="F297" s="32" t="str">
        <f t="shared" si="16"/>
        <v>insert into ins_premium_det (premium_rcv_code,assorted_code, rec_amount,premium_rcv_detail_code,remaining_amt, payrec, mode_code,coinsurance_code,class_cd,it_remarks) values</v>
      </c>
      <c r="G297" s="33" t="str">
        <f t="shared" si="18"/>
        <v>('23May250004','040000194067','7540',(select max(to_number(i.premium_rcv_detail_code))+1
from ins_premium_det i),'7540','7540','09', '11000003','00','Request by Mr. reheel malik 23-may-2025');</v>
      </c>
      <c r="H297" s="34" t="str">
        <f t="shared" si="19"/>
        <v>insert into ins_premium_det (premium_rcv_code,assorted_code, rec_amount,premium_rcv_detail_code,remaining_amt, payrec, mode_code,coinsurance_code,class_cd,it_remarks) values('23May250004','040000194067','7540',(select max(to_number(i.premium_rcv_detail_code))+1
from ins_premium_det i),'7540','7540','09', '11000003','00','Request by Mr. reheel malik 23-may-2025');</v>
      </c>
    </row>
    <row r="298" spans="1:8" ht="75" x14ac:dyDescent="0.25">
      <c r="A298" s="22" t="s">
        <v>362</v>
      </c>
      <c r="B298" s="30" t="str">
        <f>VLOOKUP(A298,policy!B:C,2,0)</f>
        <v>040000196652</v>
      </c>
      <c r="C298" s="22">
        <v>7540</v>
      </c>
      <c r="D298" s="31">
        <f t="shared" si="17"/>
        <v>7540</v>
      </c>
      <c r="E298" s="29" t="s">
        <v>1280</v>
      </c>
      <c r="F298" s="32" t="str">
        <f t="shared" si="16"/>
        <v>insert into ins_premium_det (premium_rcv_code,assorted_code, rec_amount,premium_rcv_detail_code,remaining_amt, payrec, mode_code,coinsurance_code,class_cd,it_remarks) values</v>
      </c>
      <c r="G298" s="33" t="str">
        <f t="shared" si="18"/>
        <v>('23May250004','040000196652','7540',(select max(to_number(i.premium_rcv_detail_code))+1
from ins_premium_det i),'7540','7540','09', '11000003','00','Request by Mr. reheel malik 23-may-2025');</v>
      </c>
      <c r="H298" s="34" t="str">
        <f t="shared" si="19"/>
        <v>insert into ins_premium_det (premium_rcv_code,assorted_code, rec_amount,premium_rcv_detail_code,remaining_amt, payrec, mode_code,coinsurance_code,class_cd,it_remarks) values('23May250004','040000196652','7540',(select max(to_number(i.premium_rcv_detail_code))+1
from ins_premium_det i),'7540','7540','09', '11000003','00','Request by Mr. reheel malik 23-may-2025');</v>
      </c>
    </row>
    <row r="299" spans="1:8" ht="75" x14ac:dyDescent="0.25">
      <c r="A299" s="22" t="s">
        <v>363</v>
      </c>
      <c r="B299" s="30" t="str">
        <f>VLOOKUP(A299,policy!B:C,2,0)</f>
        <v>040000196653</v>
      </c>
      <c r="C299" s="22">
        <v>7540</v>
      </c>
      <c r="D299" s="31">
        <f t="shared" si="17"/>
        <v>7540</v>
      </c>
      <c r="E299" s="29" t="s">
        <v>1280</v>
      </c>
      <c r="F299" s="32" t="str">
        <f t="shared" si="16"/>
        <v>insert into ins_premium_det (premium_rcv_code,assorted_code, rec_amount,premium_rcv_detail_code,remaining_amt, payrec, mode_code,coinsurance_code,class_cd,it_remarks) values</v>
      </c>
      <c r="G299" s="33" t="str">
        <f t="shared" si="18"/>
        <v>('23May250004','040000196653','7540',(select max(to_number(i.premium_rcv_detail_code))+1
from ins_premium_det i),'7540','7540','09', '11000003','00','Request by Mr. reheel malik 23-may-2025');</v>
      </c>
      <c r="H299" s="34" t="str">
        <f t="shared" si="19"/>
        <v>insert into ins_premium_det (premium_rcv_code,assorted_code, rec_amount,premium_rcv_detail_code,remaining_amt, payrec, mode_code,coinsurance_code,class_cd,it_remarks) values('23May250004','040000196653','7540',(select max(to_number(i.premium_rcv_detail_code))+1
from ins_premium_det i),'7540','7540','09', '11000003','00','Request by Mr. reheel malik 23-may-2025');</v>
      </c>
    </row>
    <row r="300" spans="1:8" ht="75" x14ac:dyDescent="0.25">
      <c r="A300" s="22" t="s">
        <v>364</v>
      </c>
      <c r="B300" s="30" t="str">
        <f>VLOOKUP(A300,policy!B:C,2,0)</f>
        <v>040000196654</v>
      </c>
      <c r="C300" s="22">
        <v>7540</v>
      </c>
      <c r="D300" s="31">
        <f t="shared" si="17"/>
        <v>7540</v>
      </c>
      <c r="E300" s="29" t="s">
        <v>1280</v>
      </c>
      <c r="F300" s="32" t="str">
        <f t="shared" si="16"/>
        <v>insert into ins_premium_det (premium_rcv_code,assorted_code, rec_amount,premium_rcv_detail_code,remaining_amt, payrec, mode_code,coinsurance_code,class_cd,it_remarks) values</v>
      </c>
      <c r="G300" s="33" t="str">
        <f t="shared" si="18"/>
        <v>('23May250004','040000196654','7540',(select max(to_number(i.premium_rcv_detail_code))+1
from ins_premium_det i),'7540','7540','09', '11000003','00','Request by Mr. reheel malik 23-may-2025');</v>
      </c>
      <c r="H300" s="34" t="str">
        <f t="shared" si="19"/>
        <v>insert into ins_premium_det (premium_rcv_code,assorted_code, rec_amount,premium_rcv_detail_code,remaining_amt, payrec, mode_code,coinsurance_code,class_cd,it_remarks) values('23May250004','040000196654','7540',(select max(to_number(i.premium_rcv_detail_code))+1
from ins_premium_det i),'7540','7540','09', '11000003','00','Request by Mr. reheel malik 23-may-2025');</v>
      </c>
    </row>
    <row r="301" spans="1:8" ht="75" x14ac:dyDescent="0.25">
      <c r="A301" s="22" t="s">
        <v>365</v>
      </c>
      <c r="B301" s="30" t="str">
        <f>VLOOKUP(A301,policy!B:C,2,0)</f>
        <v>040000196655</v>
      </c>
      <c r="C301" s="22">
        <v>7540</v>
      </c>
      <c r="D301" s="31">
        <f t="shared" si="17"/>
        <v>7540</v>
      </c>
      <c r="E301" s="29" t="s">
        <v>1280</v>
      </c>
      <c r="F301" s="32" t="str">
        <f t="shared" si="16"/>
        <v>insert into ins_premium_det (premium_rcv_code,assorted_code, rec_amount,premium_rcv_detail_code,remaining_amt, payrec, mode_code,coinsurance_code,class_cd,it_remarks) values</v>
      </c>
      <c r="G301" s="33" t="str">
        <f t="shared" si="18"/>
        <v>('23May250004','040000196655','7540',(select max(to_number(i.premium_rcv_detail_code))+1
from ins_premium_det i),'7540','7540','09', '11000003','00','Request by Mr. reheel malik 23-may-2025');</v>
      </c>
      <c r="H301" s="34" t="str">
        <f t="shared" si="19"/>
        <v>insert into ins_premium_det (premium_rcv_code,assorted_code, rec_amount,premium_rcv_detail_code,remaining_amt, payrec, mode_code,coinsurance_code,class_cd,it_remarks) values('23May250004','040000196655','7540',(select max(to_number(i.premium_rcv_detail_code))+1
from ins_premium_det i),'7540','7540','09', '11000003','00','Request by Mr. reheel malik 23-may-2025');</v>
      </c>
    </row>
    <row r="302" spans="1:8" ht="75" x14ac:dyDescent="0.25">
      <c r="A302" s="22" t="s">
        <v>366</v>
      </c>
      <c r="B302" s="30" t="str">
        <f>VLOOKUP(A302,policy!B:C,2,0)</f>
        <v>040000196663</v>
      </c>
      <c r="C302" s="22">
        <v>7540</v>
      </c>
      <c r="D302" s="31">
        <f t="shared" si="17"/>
        <v>7540</v>
      </c>
      <c r="E302" s="29" t="s">
        <v>1280</v>
      </c>
      <c r="F302" s="32" t="str">
        <f t="shared" si="16"/>
        <v>insert into ins_premium_det (premium_rcv_code,assorted_code, rec_amount,premium_rcv_detail_code,remaining_amt, payrec, mode_code,coinsurance_code,class_cd,it_remarks) values</v>
      </c>
      <c r="G302" s="33" t="str">
        <f t="shared" si="18"/>
        <v>('23May250004','040000196663','7540',(select max(to_number(i.premium_rcv_detail_code))+1
from ins_premium_det i),'7540','7540','09', '11000003','00','Request by Mr. reheel malik 23-may-2025');</v>
      </c>
      <c r="H302" s="34" t="str">
        <f t="shared" si="19"/>
        <v>insert into ins_premium_det (premium_rcv_code,assorted_code, rec_amount,premium_rcv_detail_code,remaining_amt, payrec, mode_code,coinsurance_code,class_cd,it_remarks) values('23May250004','040000196663','7540',(select max(to_number(i.premium_rcv_detail_code))+1
from ins_premium_det i),'7540','7540','09', '11000003','00','Request by Mr. reheel malik 23-may-2025');</v>
      </c>
    </row>
    <row r="303" spans="1:8" ht="75" x14ac:dyDescent="0.25">
      <c r="A303" s="22" t="s">
        <v>367</v>
      </c>
      <c r="B303" s="30" t="str">
        <f>VLOOKUP(A303,policy!B:C,2,0)</f>
        <v>040000196665</v>
      </c>
      <c r="C303" s="22">
        <v>7540</v>
      </c>
      <c r="D303" s="31">
        <f t="shared" si="17"/>
        <v>7540</v>
      </c>
      <c r="E303" s="29" t="s">
        <v>1280</v>
      </c>
      <c r="F303" s="32" t="str">
        <f t="shared" si="16"/>
        <v>insert into ins_premium_det (premium_rcv_code,assorted_code, rec_amount,premium_rcv_detail_code,remaining_amt, payrec, mode_code,coinsurance_code,class_cd,it_remarks) values</v>
      </c>
      <c r="G303" s="33" t="str">
        <f t="shared" si="18"/>
        <v>('23May250004','040000196665','7540',(select max(to_number(i.premium_rcv_detail_code))+1
from ins_premium_det i),'7540','7540','09', '11000003','00','Request by Mr. reheel malik 23-may-2025');</v>
      </c>
      <c r="H303" s="34" t="str">
        <f t="shared" si="19"/>
        <v>insert into ins_premium_det (premium_rcv_code,assorted_code, rec_amount,premium_rcv_detail_code,remaining_amt, payrec, mode_code,coinsurance_code,class_cd,it_remarks) values('23May250004','040000196665','7540',(select max(to_number(i.premium_rcv_detail_code))+1
from ins_premium_det i),'7540','7540','09', '11000003','00','Request by Mr. reheel malik 23-may-2025');</v>
      </c>
    </row>
    <row r="304" spans="1:8" ht="75" x14ac:dyDescent="0.25">
      <c r="A304" s="22" t="s">
        <v>368</v>
      </c>
      <c r="B304" s="30" t="str">
        <f>VLOOKUP(A304,policy!B:C,2,0)</f>
        <v>040000196666</v>
      </c>
      <c r="C304" s="22">
        <v>7540</v>
      </c>
      <c r="D304" s="31">
        <f t="shared" si="17"/>
        <v>7540</v>
      </c>
      <c r="E304" s="29" t="s">
        <v>1280</v>
      </c>
      <c r="F304" s="32" t="str">
        <f t="shared" si="16"/>
        <v>insert into ins_premium_det (premium_rcv_code,assorted_code, rec_amount,premium_rcv_detail_code,remaining_amt, payrec, mode_code,coinsurance_code,class_cd,it_remarks) values</v>
      </c>
      <c r="G304" s="33" t="str">
        <f t="shared" si="18"/>
        <v>('23May250004','040000196666','7540',(select max(to_number(i.premium_rcv_detail_code))+1
from ins_premium_det i),'7540','7540','09', '11000003','00','Request by Mr. reheel malik 23-may-2025');</v>
      </c>
      <c r="H304" s="34" t="str">
        <f t="shared" si="19"/>
        <v>insert into ins_premium_det (premium_rcv_code,assorted_code, rec_amount,premium_rcv_detail_code,remaining_amt, payrec, mode_code,coinsurance_code,class_cd,it_remarks) values('23May250004','040000196666','7540',(select max(to_number(i.premium_rcv_detail_code))+1
from ins_premium_det i),'7540','7540','09', '11000003','00','Request by Mr. reheel malik 23-may-2025');</v>
      </c>
    </row>
    <row r="305" spans="1:8" ht="75" x14ac:dyDescent="0.25">
      <c r="A305" s="22" t="s">
        <v>369</v>
      </c>
      <c r="B305" s="30" t="str">
        <f>VLOOKUP(A305,policy!B:C,2,0)</f>
        <v>040000196868</v>
      </c>
      <c r="C305" s="22">
        <v>7540</v>
      </c>
      <c r="D305" s="31">
        <f t="shared" si="17"/>
        <v>7540</v>
      </c>
      <c r="E305" s="29" t="s">
        <v>1280</v>
      </c>
      <c r="F305" s="32" t="str">
        <f t="shared" si="16"/>
        <v>insert into ins_premium_det (premium_rcv_code,assorted_code, rec_amount,premium_rcv_detail_code,remaining_amt, payrec, mode_code,coinsurance_code,class_cd,it_remarks) values</v>
      </c>
      <c r="G305" s="33" t="str">
        <f t="shared" si="18"/>
        <v>('23May250004','040000196868','7540',(select max(to_number(i.premium_rcv_detail_code))+1
from ins_premium_det i),'7540','7540','09', '11000003','00','Request by Mr. reheel malik 23-may-2025');</v>
      </c>
      <c r="H305" s="34" t="str">
        <f t="shared" si="19"/>
        <v>insert into ins_premium_det (premium_rcv_code,assorted_code, rec_amount,premium_rcv_detail_code,remaining_amt, payrec, mode_code,coinsurance_code,class_cd,it_remarks) values('23May250004','040000196868','7540',(select max(to_number(i.premium_rcv_detail_code))+1
from ins_premium_det i),'7540','7540','09', '11000003','00','Request by Mr. reheel malik 23-may-2025');</v>
      </c>
    </row>
    <row r="306" spans="1:8" ht="75" x14ac:dyDescent="0.25">
      <c r="A306" s="22" t="s">
        <v>370</v>
      </c>
      <c r="B306" s="30" t="str">
        <f>VLOOKUP(A306,policy!B:C,2,0)</f>
        <v>040000196922</v>
      </c>
      <c r="C306" s="22">
        <v>7540</v>
      </c>
      <c r="D306" s="31">
        <f t="shared" si="17"/>
        <v>7540</v>
      </c>
      <c r="E306" s="29" t="s">
        <v>1280</v>
      </c>
      <c r="F306" s="32" t="str">
        <f t="shared" si="16"/>
        <v>insert into ins_premium_det (premium_rcv_code,assorted_code, rec_amount,premium_rcv_detail_code,remaining_amt, payrec, mode_code,coinsurance_code,class_cd,it_remarks) values</v>
      </c>
      <c r="G306" s="33" t="str">
        <f t="shared" si="18"/>
        <v>('23May250004','040000196922','7540',(select max(to_number(i.premium_rcv_detail_code))+1
from ins_premium_det i),'7540','7540','09', '11000003','00','Request by Mr. reheel malik 23-may-2025');</v>
      </c>
      <c r="H306" s="34" t="str">
        <f t="shared" si="19"/>
        <v>insert into ins_premium_det (premium_rcv_code,assorted_code, rec_amount,premium_rcv_detail_code,remaining_amt, payrec, mode_code,coinsurance_code,class_cd,it_remarks) values('23May250004','040000196922','7540',(select max(to_number(i.premium_rcv_detail_code))+1
from ins_premium_det i),'7540','7540','09', '11000003','00','Request by Mr. reheel malik 23-may-2025');</v>
      </c>
    </row>
    <row r="307" spans="1:8" ht="75" x14ac:dyDescent="0.25">
      <c r="A307" s="22" t="s">
        <v>371</v>
      </c>
      <c r="B307" s="30" t="str">
        <f>VLOOKUP(A307,policy!B:C,2,0)</f>
        <v>040000197034</v>
      </c>
      <c r="C307" s="22">
        <v>7540</v>
      </c>
      <c r="D307" s="31">
        <f t="shared" si="17"/>
        <v>7540</v>
      </c>
      <c r="E307" s="29" t="s">
        <v>1280</v>
      </c>
      <c r="F307" s="32" t="str">
        <f t="shared" si="16"/>
        <v>insert into ins_premium_det (premium_rcv_code,assorted_code, rec_amount,premium_rcv_detail_code,remaining_amt, payrec, mode_code,coinsurance_code,class_cd,it_remarks) values</v>
      </c>
      <c r="G307" s="33" t="str">
        <f t="shared" si="18"/>
        <v>('23May250004','040000197034','7540',(select max(to_number(i.premium_rcv_detail_code))+1
from ins_premium_det i),'7540','7540','09', '11000003','00','Request by Mr. reheel malik 23-may-2025');</v>
      </c>
      <c r="H307" s="34" t="str">
        <f t="shared" si="19"/>
        <v>insert into ins_premium_det (premium_rcv_code,assorted_code, rec_amount,premium_rcv_detail_code,remaining_amt, payrec, mode_code,coinsurance_code,class_cd,it_remarks) values('23May250004','040000197034','7540',(select max(to_number(i.premium_rcv_detail_code))+1
from ins_premium_det i),'7540','7540','09', '11000003','00','Request by Mr. reheel malik 23-may-2025');</v>
      </c>
    </row>
    <row r="308" spans="1:8" ht="75" x14ac:dyDescent="0.25">
      <c r="A308" s="22" t="s">
        <v>372</v>
      </c>
      <c r="B308" s="30" t="str">
        <f>VLOOKUP(A308,policy!B:C,2,0)</f>
        <v>040000197078</v>
      </c>
      <c r="C308" s="22">
        <v>7540</v>
      </c>
      <c r="D308" s="31">
        <f t="shared" si="17"/>
        <v>7540</v>
      </c>
      <c r="E308" s="29" t="s">
        <v>1280</v>
      </c>
      <c r="F308" s="32" t="str">
        <f t="shared" si="16"/>
        <v>insert into ins_premium_det (premium_rcv_code,assorted_code, rec_amount,premium_rcv_detail_code,remaining_amt, payrec, mode_code,coinsurance_code,class_cd,it_remarks) values</v>
      </c>
      <c r="G308" s="33" t="str">
        <f t="shared" si="18"/>
        <v>('23May250004','040000197078','7540',(select max(to_number(i.premium_rcv_detail_code))+1
from ins_premium_det i),'7540','7540','09', '11000003','00','Request by Mr. reheel malik 23-may-2025');</v>
      </c>
      <c r="H308" s="34" t="str">
        <f t="shared" si="19"/>
        <v>insert into ins_premium_det (premium_rcv_code,assorted_code, rec_amount,premium_rcv_detail_code,remaining_amt, payrec, mode_code,coinsurance_code,class_cd,it_remarks) values('23May250004','040000197078','7540',(select max(to_number(i.premium_rcv_detail_code))+1
from ins_premium_det i),'7540','7540','09', '11000003','00','Request by Mr. reheel malik 23-may-2025');</v>
      </c>
    </row>
    <row r="309" spans="1:8" ht="75" x14ac:dyDescent="0.25">
      <c r="A309" s="22" t="s">
        <v>373</v>
      </c>
      <c r="B309" s="30" t="str">
        <f>VLOOKUP(A309,policy!B:C,2,0)</f>
        <v>040000197185</v>
      </c>
      <c r="C309" s="22">
        <v>7540</v>
      </c>
      <c r="D309" s="31">
        <f t="shared" si="17"/>
        <v>7540</v>
      </c>
      <c r="E309" s="29" t="s">
        <v>1280</v>
      </c>
      <c r="F309" s="32" t="str">
        <f t="shared" si="16"/>
        <v>insert into ins_premium_det (premium_rcv_code,assorted_code, rec_amount,premium_rcv_detail_code,remaining_amt, payrec, mode_code,coinsurance_code,class_cd,it_remarks) values</v>
      </c>
      <c r="G309" s="33" t="str">
        <f t="shared" si="18"/>
        <v>('23May250004','040000197185','7540',(select max(to_number(i.premium_rcv_detail_code))+1
from ins_premium_det i),'7540','7540','09', '11000003','00','Request by Mr. reheel malik 23-may-2025');</v>
      </c>
      <c r="H309" s="34" t="str">
        <f t="shared" si="19"/>
        <v>insert into ins_premium_det (premium_rcv_code,assorted_code, rec_amount,premium_rcv_detail_code,remaining_amt, payrec, mode_code,coinsurance_code,class_cd,it_remarks) values('23May250004','040000197185','7540',(select max(to_number(i.premium_rcv_detail_code))+1
from ins_premium_det i),'7540','7540','09', '11000003','00','Request by Mr. reheel malik 23-may-2025');</v>
      </c>
    </row>
    <row r="310" spans="1:8" ht="75" x14ac:dyDescent="0.25">
      <c r="A310" s="22" t="s">
        <v>374</v>
      </c>
      <c r="B310" s="30" t="str">
        <f>VLOOKUP(A310,policy!B:C,2,0)</f>
        <v>040000198076</v>
      </c>
      <c r="C310" s="22">
        <v>7540</v>
      </c>
      <c r="D310" s="31">
        <f t="shared" si="17"/>
        <v>7540</v>
      </c>
      <c r="E310" s="29" t="s">
        <v>1280</v>
      </c>
      <c r="F310" s="32" t="str">
        <f t="shared" si="16"/>
        <v>insert into ins_premium_det (premium_rcv_code,assorted_code, rec_amount,premium_rcv_detail_code,remaining_amt, payrec, mode_code,coinsurance_code,class_cd,it_remarks) values</v>
      </c>
      <c r="G310" s="33" t="str">
        <f t="shared" si="18"/>
        <v>('23May250004','040000198076','7540',(select max(to_number(i.premium_rcv_detail_code))+1
from ins_premium_det i),'7540','7540','09', '11000003','00','Request by Mr. reheel malik 23-may-2025');</v>
      </c>
      <c r="H310" s="34" t="str">
        <f t="shared" si="19"/>
        <v>insert into ins_premium_det (premium_rcv_code,assorted_code, rec_amount,premium_rcv_detail_code,remaining_amt, payrec, mode_code,coinsurance_code,class_cd,it_remarks) values('23May250004','040000198076','7540',(select max(to_number(i.premium_rcv_detail_code))+1
from ins_premium_det i),'7540','7540','09', '11000003','00','Request by Mr. reheel malik 23-may-2025');</v>
      </c>
    </row>
    <row r="311" spans="1:8" ht="75" x14ac:dyDescent="0.25">
      <c r="A311" s="22" t="s">
        <v>375</v>
      </c>
      <c r="B311" s="30" t="str">
        <f>VLOOKUP(A311,Sheet7!B:C,2,0)</f>
        <v>070000177201</v>
      </c>
      <c r="C311" s="22">
        <v>7540</v>
      </c>
      <c r="D311" s="31">
        <f t="shared" si="17"/>
        <v>7540</v>
      </c>
      <c r="E311" s="29" t="s">
        <v>1280</v>
      </c>
      <c r="F311" s="32" t="str">
        <f t="shared" si="16"/>
        <v>insert into ins_premium_det (premium_rcv_code,assorted_code, rec_amount,premium_rcv_detail_code,remaining_amt, payrec, mode_code,coinsurance_code,class_cd,it_remarks) values</v>
      </c>
      <c r="G311" s="33" t="str">
        <f t="shared" si="18"/>
        <v>('23May250004','070000177201','7540',(select max(to_number(i.premium_rcv_detail_code))+1
from ins_premium_det i),'7540','7540','09', '11000003','00','Request by Mr. reheel malik 23-may-2025');</v>
      </c>
      <c r="H311" s="34" t="str">
        <f t="shared" si="19"/>
        <v>insert into ins_premium_det (premium_rcv_code,assorted_code, rec_amount,premium_rcv_detail_code,remaining_amt, payrec, mode_code,coinsurance_code,class_cd,it_remarks) values('23May250004','070000177201','7540',(select max(to_number(i.premium_rcv_detail_code))+1
from ins_premium_det i),'7540','7540','09', '11000003','00','Request by Mr. reheel malik 23-may-2025');</v>
      </c>
    </row>
    <row r="312" spans="1:8" ht="75" x14ac:dyDescent="0.25">
      <c r="A312" s="22" t="s">
        <v>376</v>
      </c>
      <c r="B312" s="30" t="str">
        <f>VLOOKUP(A312,Sheet7!B:C,2,0)</f>
        <v>070000177873</v>
      </c>
      <c r="C312" s="22">
        <v>7540</v>
      </c>
      <c r="D312" s="31">
        <f t="shared" si="17"/>
        <v>7540</v>
      </c>
      <c r="E312" s="29" t="s">
        <v>1280</v>
      </c>
      <c r="F312" s="32" t="str">
        <f t="shared" si="16"/>
        <v>insert into ins_premium_det (premium_rcv_code,assorted_code, rec_amount,premium_rcv_detail_code,remaining_amt, payrec, mode_code,coinsurance_code,class_cd,it_remarks) values</v>
      </c>
      <c r="G312" s="33" t="str">
        <f t="shared" si="18"/>
        <v>('23May250004','070000177873','7540',(select max(to_number(i.premium_rcv_detail_code))+1
from ins_premium_det i),'7540','7540','09', '11000003','00','Request by Mr. reheel malik 23-may-2025');</v>
      </c>
      <c r="H312" s="34" t="str">
        <f t="shared" si="19"/>
        <v>insert into ins_premium_det (premium_rcv_code,assorted_code, rec_amount,premium_rcv_detail_code,remaining_amt, payrec, mode_code,coinsurance_code,class_cd,it_remarks) values('23May250004','070000177873','7540',(select max(to_number(i.premium_rcv_detail_code))+1
from ins_premium_det i),'7540','7540','09', '11000003','00','Request by Mr. reheel malik 23-may-2025');</v>
      </c>
    </row>
    <row r="313" spans="1:8" ht="75" x14ac:dyDescent="0.25">
      <c r="A313" s="22" t="s">
        <v>377</v>
      </c>
      <c r="B313" s="30" t="str">
        <f>VLOOKUP(A313,Sheet7!B:C,2,0)</f>
        <v>070000177874</v>
      </c>
      <c r="C313" s="22">
        <v>7540</v>
      </c>
      <c r="D313" s="31">
        <f t="shared" si="17"/>
        <v>7540</v>
      </c>
      <c r="E313" s="29" t="s">
        <v>1280</v>
      </c>
      <c r="F313" s="32" t="str">
        <f t="shared" si="16"/>
        <v>insert into ins_premium_det (premium_rcv_code,assorted_code, rec_amount,premium_rcv_detail_code,remaining_amt, payrec, mode_code,coinsurance_code,class_cd,it_remarks) values</v>
      </c>
      <c r="G313" s="33" t="str">
        <f t="shared" si="18"/>
        <v>('23May250004','070000177874','7540',(select max(to_number(i.premium_rcv_detail_code))+1
from ins_premium_det i),'7540','7540','09', '11000003','00','Request by Mr. reheel malik 23-may-2025');</v>
      </c>
      <c r="H313" s="34" t="str">
        <f t="shared" si="19"/>
        <v>insert into ins_premium_det (premium_rcv_code,assorted_code, rec_amount,premium_rcv_detail_code,remaining_amt, payrec, mode_code,coinsurance_code,class_cd,it_remarks) values('23May250004','070000177874','7540',(select max(to_number(i.premium_rcv_detail_code))+1
from ins_premium_det i),'7540','7540','09', '11000003','00','Request by Mr. reheel malik 23-may-2025');</v>
      </c>
    </row>
    <row r="314" spans="1:8" ht="75" x14ac:dyDescent="0.25">
      <c r="A314" s="22" t="s">
        <v>378</v>
      </c>
      <c r="B314" s="30" t="str">
        <f>VLOOKUP(A314,Sheet7!B:C,2,0)</f>
        <v>070000177875</v>
      </c>
      <c r="C314" s="22">
        <v>7540</v>
      </c>
      <c r="D314" s="31">
        <f t="shared" si="17"/>
        <v>7540</v>
      </c>
      <c r="E314" s="29" t="s">
        <v>1280</v>
      </c>
      <c r="F314" s="32" t="str">
        <f t="shared" si="16"/>
        <v>insert into ins_premium_det (premium_rcv_code,assorted_code, rec_amount,premium_rcv_detail_code,remaining_amt, payrec, mode_code,coinsurance_code,class_cd,it_remarks) values</v>
      </c>
      <c r="G314" s="33" t="str">
        <f t="shared" si="18"/>
        <v>('23May250004','070000177875','7540',(select max(to_number(i.premium_rcv_detail_code))+1
from ins_premium_det i),'7540','7540','09', '11000003','00','Request by Mr. reheel malik 23-may-2025');</v>
      </c>
      <c r="H314" s="34" t="str">
        <f t="shared" si="19"/>
        <v>insert into ins_premium_det (premium_rcv_code,assorted_code, rec_amount,premium_rcv_detail_code,remaining_amt, payrec, mode_code,coinsurance_code,class_cd,it_remarks) values('23May250004','070000177875','7540',(select max(to_number(i.premium_rcv_detail_code))+1
from ins_premium_det i),'7540','7540','09', '11000003','00','Request by Mr. reheel malik 23-may-2025');</v>
      </c>
    </row>
    <row r="315" spans="1:8" ht="75" x14ac:dyDescent="0.25">
      <c r="A315" s="22" t="s">
        <v>379</v>
      </c>
      <c r="B315" s="30" t="str">
        <f>VLOOKUP(A315,Sheet7!B:C,2,0)</f>
        <v>070000177876</v>
      </c>
      <c r="C315" s="22">
        <v>7540</v>
      </c>
      <c r="D315" s="31">
        <f t="shared" si="17"/>
        <v>7540</v>
      </c>
      <c r="E315" s="29" t="s">
        <v>1280</v>
      </c>
      <c r="F315" s="32" t="str">
        <f t="shared" si="16"/>
        <v>insert into ins_premium_det (premium_rcv_code,assorted_code, rec_amount,premium_rcv_detail_code,remaining_amt, payrec, mode_code,coinsurance_code,class_cd,it_remarks) values</v>
      </c>
      <c r="G315" s="33" t="str">
        <f t="shared" si="18"/>
        <v>('23May250004','070000177876','7540',(select max(to_number(i.premium_rcv_detail_code))+1
from ins_premium_det i),'7540','7540','09', '11000003','00','Request by Mr. reheel malik 23-may-2025');</v>
      </c>
      <c r="H315" s="34" t="str">
        <f t="shared" si="19"/>
        <v>insert into ins_premium_det (premium_rcv_code,assorted_code, rec_amount,premium_rcv_detail_code,remaining_amt, payrec, mode_code,coinsurance_code,class_cd,it_remarks) values('23May250004','070000177876','7540',(select max(to_number(i.premium_rcv_detail_code))+1
from ins_premium_det i),'7540','7540','09', '11000003','00','Request by Mr. reheel malik 23-may-2025');</v>
      </c>
    </row>
    <row r="316" spans="1:8" ht="75" x14ac:dyDescent="0.25">
      <c r="A316" s="22" t="s">
        <v>380</v>
      </c>
      <c r="B316" s="30" t="str">
        <f>VLOOKUP(A316,Sheet7!B:C,2,0)</f>
        <v>070000177877</v>
      </c>
      <c r="C316" s="22">
        <v>7540</v>
      </c>
      <c r="D316" s="31">
        <f t="shared" si="17"/>
        <v>7540</v>
      </c>
      <c r="E316" s="29" t="s">
        <v>1280</v>
      </c>
      <c r="F316" s="32" t="str">
        <f t="shared" si="16"/>
        <v>insert into ins_premium_det (premium_rcv_code,assorted_code, rec_amount,premium_rcv_detail_code,remaining_amt, payrec, mode_code,coinsurance_code,class_cd,it_remarks) values</v>
      </c>
      <c r="G316" s="33" t="str">
        <f t="shared" si="18"/>
        <v>('23May250004','070000177877','7540',(select max(to_number(i.premium_rcv_detail_code))+1
from ins_premium_det i),'7540','7540','09', '11000003','00','Request by Mr. reheel malik 23-may-2025');</v>
      </c>
      <c r="H316" s="34" t="str">
        <f t="shared" si="19"/>
        <v>insert into ins_premium_det (premium_rcv_code,assorted_code, rec_amount,premium_rcv_detail_code,remaining_amt, payrec, mode_code,coinsurance_code,class_cd,it_remarks) values('23May250004','070000177877','7540',(select max(to_number(i.premium_rcv_detail_code))+1
from ins_premium_det i),'7540','7540','09', '11000003','00','Request by Mr. reheel malik 23-may-2025');</v>
      </c>
    </row>
    <row r="317" spans="1:8" ht="75" x14ac:dyDescent="0.25">
      <c r="A317" s="22" t="s">
        <v>381</v>
      </c>
      <c r="B317" s="30" t="str">
        <f>VLOOKUP(A317,Sheet7!B:C,2,0)</f>
        <v>070000177879</v>
      </c>
      <c r="C317" s="22">
        <v>7540</v>
      </c>
      <c r="D317" s="31">
        <f t="shared" si="17"/>
        <v>7540</v>
      </c>
      <c r="E317" s="29" t="s">
        <v>1280</v>
      </c>
      <c r="F317" s="32" t="str">
        <f t="shared" si="16"/>
        <v>insert into ins_premium_det (premium_rcv_code,assorted_code, rec_amount,premium_rcv_detail_code,remaining_amt, payrec, mode_code,coinsurance_code,class_cd,it_remarks) values</v>
      </c>
      <c r="G317" s="33" t="str">
        <f t="shared" si="18"/>
        <v>('23May250004','070000177879','7540',(select max(to_number(i.premium_rcv_detail_code))+1
from ins_premium_det i),'7540','7540','09', '11000003','00','Request by Mr. reheel malik 23-may-2025');</v>
      </c>
      <c r="H317" s="34" t="str">
        <f t="shared" si="19"/>
        <v>insert into ins_premium_det (premium_rcv_code,assorted_code, rec_amount,premium_rcv_detail_code,remaining_amt, payrec, mode_code,coinsurance_code,class_cd,it_remarks) values('23May250004','070000177879','7540',(select max(to_number(i.premium_rcv_detail_code))+1
from ins_premium_det i),'7540','7540','09', '11000003','00','Request by Mr. reheel malik 23-may-2025');</v>
      </c>
    </row>
    <row r="318" spans="1:8" ht="75" x14ac:dyDescent="0.25">
      <c r="A318" s="22" t="s">
        <v>382</v>
      </c>
      <c r="B318" s="30" t="str">
        <f>VLOOKUP(A318,Sheet7!B:C,2,0)</f>
        <v>070000177880</v>
      </c>
      <c r="C318" s="22">
        <v>7540</v>
      </c>
      <c r="D318" s="31">
        <f t="shared" si="17"/>
        <v>7540</v>
      </c>
      <c r="E318" s="29" t="s">
        <v>1280</v>
      </c>
      <c r="F318" s="32" t="str">
        <f t="shared" si="16"/>
        <v>insert into ins_premium_det (premium_rcv_code,assorted_code, rec_amount,premium_rcv_detail_code,remaining_amt, payrec, mode_code,coinsurance_code,class_cd,it_remarks) values</v>
      </c>
      <c r="G318" s="33" t="str">
        <f t="shared" si="18"/>
        <v>('23May250004','070000177880','7540',(select max(to_number(i.premium_rcv_detail_code))+1
from ins_premium_det i),'7540','7540','09', '11000003','00','Request by Mr. reheel malik 23-may-2025');</v>
      </c>
      <c r="H318" s="34" t="str">
        <f t="shared" si="19"/>
        <v>insert into ins_premium_det (premium_rcv_code,assorted_code, rec_amount,premium_rcv_detail_code,remaining_amt, payrec, mode_code,coinsurance_code,class_cd,it_remarks) values('23May250004','070000177880','7540',(select max(to_number(i.premium_rcv_detail_code))+1
from ins_premium_det i),'7540','7540','09', '11000003','00','Request by Mr. reheel malik 23-may-2025');</v>
      </c>
    </row>
    <row r="319" spans="1:8" ht="75" x14ac:dyDescent="0.25">
      <c r="A319" s="22" t="s">
        <v>383</v>
      </c>
      <c r="B319" s="30" t="str">
        <f>VLOOKUP(A319,Sheet7!B:C,2,0)</f>
        <v>070000179192</v>
      </c>
      <c r="C319" s="22">
        <v>7540</v>
      </c>
      <c r="D319" s="31">
        <f t="shared" si="17"/>
        <v>7540</v>
      </c>
      <c r="E319" s="29" t="s">
        <v>1280</v>
      </c>
      <c r="F319" s="32" t="str">
        <f t="shared" si="16"/>
        <v>insert into ins_premium_det (premium_rcv_code,assorted_code, rec_amount,premium_rcv_detail_code,remaining_amt, payrec, mode_code,coinsurance_code,class_cd,it_remarks) values</v>
      </c>
      <c r="G319" s="33" t="str">
        <f t="shared" si="18"/>
        <v>('23May250004','070000179192','7540',(select max(to_number(i.premium_rcv_detail_code))+1
from ins_premium_det i),'7540','7540','09', '11000003','00','Request by Mr. reheel malik 23-may-2025');</v>
      </c>
      <c r="H319" s="34" t="str">
        <f t="shared" si="19"/>
        <v>insert into ins_premium_det (premium_rcv_code,assorted_code, rec_amount,premium_rcv_detail_code,remaining_amt, payrec, mode_code,coinsurance_code,class_cd,it_remarks) values('23May250004','070000179192','7540',(select max(to_number(i.premium_rcv_detail_code))+1
from ins_premium_det i),'7540','7540','09', '11000003','00','Request by Mr. reheel malik 23-may-2025');</v>
      </c>
    </row>
    <row r="320" spans="1:8" ht="75" x14ac:dyDescent="0.25">
      <c r="A320" s="22" t="s">
        <v>384</v>
      </c>
      <c r="B320" s="30" t="str">
        <f>VLOOKUP(A320,Sheet7!B:C,2,0)</f>
        <v>070000179193</v>
      </c>
      <c r="C320" s="22">
        <v>7540</v>
      </c>
      <c r="D320" s="31">
        <f t="shared" si="17"/>
        <v>7540</v>
      </c>
      <c r="E320" s="29" t="s">
        <v>1280</v>
      </c>
      <c r="F320" s="32" t="str">
        <f t="shared" si="16"/>
        <v>insert into ins_premium_det (premium_rcv_code,assorted_code, rec_amount,premium_rcv_detail_code,remaining_amt, payrec, mode_code,coinsurance_code,class_cd,it_remarks) values</v>
      </c>
      <c r="G320" s="33" t="str">
        <f t="shared" si="18"/>
        <v>('23May250004','070000179193','7540',(select max(to_number(i.premium_rcv_detail_code))+1
from ins_premium_det i),'7540','7540','09', '11000003','00','Request by Mr. reheel malik 23-may-2025');</v>
      </c>
      <c r="H320" s="34" t="str">
        <f t="shared" si="19"/>
        <v>insert into ins_premium_det (premium_rcv_code,assorted_code, rec_amount,premium_rcv_detail_code,remaining_amt, payrec, mode_code,coinsurance_code,class_cd,it_remarks) values('23May250004','070000179193','7540',(select max(to_number(i.premium_rcv_detail_code))+1
from ins_premium_det i),'7540','7540','09', '11000003','00','Request by Mr. reheel malik 23-may-2025');</v>
      </c>
    </row>
    <row r="321" spans="1:8" ht="75" x14ac:dyDescent="0.25">
      <c r="A321" s="22" t="s">
        <v>385</v>
      </c>
      <c r="B321" s="30" t="str">
        <f>VLOOKUP(A321,Sheet7!B:C,2,0)</f>
        <v>070000179194</v>
      </c>
      <c r="C321" s="22">
        <v>7540</v>
      </c>
      <c r="D321" s="31">
        <f t="shared" si="17"/>
        <v>7540</v>
      </c>
      <c r="E321" s="29" t="s">
        <v>1280</v>
      </c>
      <c r="F321" s="32" t="str">
        <f t="shared" si="16"/>
        <v>insert into ins_premium_det (premium_rcv_code,assorted_code, rec_amount,premium_rcv_detail_code,remaining_amt, payrec, mode_code,coinsurance_code,class_cd,it_remarks) values</v>
      </c>
      <c r="G321" s="33" t="str">
        <f t="shared" si="18"/>
        <v>('23May250004','070000179194','7540',(select max(to_number(i.premium_rcv_detail_code))+1
from ins_premium_det i),'7540','7540','09', '11000003','00','Request by Mr. reheel malik 23-may-2025');</v>
      </c>
      <c r="H321" s="34" t="str">
        <f t="shared" si="19"/>
        <v>insert into ins_premium_det (premium_rcv_code,assorted_code, rec_amount,premium_rcv_detail_code,remaining_amt, payrec, mode_code,coinsurance_code,class_cd,it_remarks) values('23May250004','070000179194','7540',(select max(to_number(i.premium_rcv_detail_code))+1
from ins_premium_det i),'7540','7540','09', '11000003','00','Request by Mr. reheel malik 23-may-2025');</v>
      </c>
    </row>
    <row r="322" spans="1:8" ht="75" x14ac:dyDescent="0.25">
      <c r="A322" s="22" t="s">
        <v>386</v>
      </c>
      <c r="B322" s="30" t="str">
        <f>VLOOKUP(A322,Sheet7!B:C,2,0)</f>
        <v>070000180108</v>
      </c>
      <c r="C322" s="22">
        <v>7540</v>
      </c>
      <c r="D322" s="31">
        <f t="shared" si="17"/>
        <v>7540</v>
      </c>
      <c r="E322" s="29" t="s">
        <v>1280</v>
      </c>
      <c r="F322" s="32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33" t="str">
        <f t="shared" si="18"/>
        <v>('23May250004','070000180108','7540',(select max(to_number(i.premium_rcv_detail_code))+1
from ins_premium_det i),'7540','7540','09', '11000003','00','Request by Mr. reheel malik 23-may-2025');</v>
      </c>
      <c r="H322" s="34" t="str">
        <f t="shared" si="19"/>
        <v>insert into ins_premium_det (premium_rcv_code,assorted_code, rec_amount,premium_rcv_detail_code,remaining_amt, payrec, mode_code,coinsurance_code,class_cd,it_remarks) values('23May250004','070000180108','7540',(select max(to_number(i.premium_rcv_detail_code))+1
from ins_premium_det i),'7540','7540','09', '11000003','00','Request by Mr. reheel malik 23-may-2025');</v>
      </c>
    </row>
    <row r="323" spans="1:8" ht="75" x14ac:dyDescent="0.25">
      <c r="A323" s="22" t="s">
        <v>387</v>
      </c>
      <c r="B323" s="30" t="str">
        <f>VLOOKUP(A323,Sheet7!B:C,2,0)</f>
        <v>070000171590</v>
      </c>
      <c r="C323" s="22">
        <v>7540</v>
      </c>
      <c r="D323" s="31">
        <f t="shared" ref="D323:D386" si="21">ROUND(C323,0)</f>
        <v>7540</v>
      </c>
      <c r="E323" s="29" t="s">
        <v>1280</v>
      </c>
      <c r="F323" s="32" t="str">
        <f t="shared" si="20"/>
        <v>insert into ins_premium_det (premium_rcv_code,assorted_code, rec_amount,premium_rcv_detail_code,remaining_amt, payrec, mode_code,coinsurance_code,class_cd,it_remarks) values</v>
      </c>
      <c r="G323" s="33" t="str">
        <f t="shared" ref="G323:G386" si="22">"('"&amp;E323&amp;"','"&amp;B323&amp;"','"&amp;C323&amp;"',(select max(to_number(i.premium_rcv_detail_code))+1
from ins_premium_det i),'"&amp;C323&amp;"','"&amp;C323&amp;"','09', '11000003','00','Request by Mr. reheel malik 23-may-2025');"</f>
        <v>('23May250004','070000171590','7540',(select max(to_number(i.premium_rcv_detail_code))+1
from ins_premium_det i),'7540','7540','09', '11000003','00','Request by Mr. reheel malik 23-may-2025');</v>
      </c>
      <c r="H323" s="34" t="str">
        <f t="shared" ref="H323:H386" si="23">F323&amp;G323</f>
        <v>insert into ins_premium_det (premium_rcv_code,assorted_code, rec_amount,premium_rcv_detail_code,remaining_amt, payrec, mode_code,coinsurance_code,class_cd,it_remarks) values('23May250004','070000171590','7540',(select max(to_number(i.premium_rcv_detail_code))+1
from ins_premium_det i),'7540','7540','09', '11000003','00','Request by Mr. reheel malik 23-may-2025');</v>
      </c>
    </row>
    <row r="324" spans="1:8" ht="75" x14ac:dyDescent="0.25">
      <c r="A324" s="22" t="s">
        <v>388</v>
      </c>
      <c r="B324" s="30" t="str">
        <f>VLOOKUP(A324,Sheet7!B:C,2,0)</f>
        <v>070000171591</v>
      </c>
      <c r="C324" s="22">
        <v>7540</v>
      </c>
      <c r="D324" s="31">
        <f t="shared" si="21"/>
        <v>7540</v>
      </c>
      <c r="E324" s="29" t="s">
        <v>1280</v>
      </c>
      <c r="F324" s="32" t="str">
        <f t="shared" si="20"/>
        <v>insert into ins_premium_det (premium_rcv_code,assorted_code, rec_amount,premium_rcv_detail_code,remaining_amt, payrec, mode_code,coinsurance_code,class_cd,it_remarks) values</v>
      </c>
      <c r="G324" s="33" t="str">
        <f t="shared" si="22"/>
        <v>('23May250004','070000171591','7540',(select max(to_number(i.premium_rcv_detail_code))+1
from ins_premium_det i),'7540','7540','09', '11000003','00','Request by Mr. reheel malik 23-may-2025');</v>
      </c>
      <c r="H324" s="34" t="str">
        <f t="shared" si="23"/>
        <v>insert into ins_premium_det (premium_rcv_code,assorted_code, rec_amount,premium_rcv_detail_code,remaining_amt, payrec, mode_code,coinsurance_code,class_cd,it_remarks) values('23May250004','070000171591','7540',(select max(to_number(i.premium_rcv_detail_code))+1
from ins_premium_det i),'7540','7540','09', '11000003','00','Request by Mr. reheel malik 23-may-2025');</v>
      </c>
    </row>
    <row r="325" spans="1:8" ht="90" x14ac:dyDescent="0.25">
      <c r="A325" s="22" t="s">
        <v>389</v>
      </c>
      <c r="B325" s="30" t="str">
        <f>VLOOKUP(A325,policy!B:C,2,0)</f>
        <v>040000179991</v>
      </c>
      <c r="C325" s="22">
        <v>90480</v>
      </c>
      <c r="D325" s="31">
        <f t="shared" si="21"/>
        <v>90480</v>
      </c>
      <c r="E325" s="29" t="s">
        <v>1280</v>
      </c>
      <c r="F325" s="32" t="str">
        <f t="shared" si="20"/>
        <v>insert into ins_premium_det (premium_rcv_code,assorted_code, rec_amount,premium_rcv_detail_code,remaining_amt, payrec, mode_code,coinsurance_code,class_cd,it_remarks) values</v>
      </c>
      <c r="G325" s="33" t="str">
        <f t="shared" si="22"/>
        <v>('23May250004','040000179991','90480',(select max(to_number(i.premium_rcv_detail_code))+1
from ins_premium_det i),'90480','90480','09', '11000003','00','Request by Mr. reheel malik 23-may-2025');</v>
      </c>
      <c r="H325" s="34" t="str">
        <f t="shared" si="23"/>
        <v>insert into ins_premium_det (premium_rcv_code,assorted_code, rec_amount,premium_rcv_detail_code,remaining_amt, payrec, mode_code,coinsurance_code,class_cd,it_remarks) values('23May250004','040000179991','90480',(select max(to_number(i.premium_rcv_detail_code))+1
from ins_premium_det i),'90480','90480','09', '11000003','00','Request by Mr. reheel malik 23-may-2025');</v>
      </c>
    </row>
    <row r="326" spans="1:8" ht="75" x14ac:dyDescent="0.25">
      <c r="A326" s="22" t="s">
        <v>390</v>
      </c>
      <c r="B326" s="30" t="str">
        <f>VLOOKUP(A326,policy!B:C,2,0)</f>
        <v>040000191157</v>
      </c>
      <c r="C326" s="22">
        <v>7540</v>
      </c>
      <c r="D326" s="31">
        <f t="shared" si="21"/>
        <v>7540</v>
      </c>
      <c r="E326" s="29" t="s">
        <v>1280</v>
      </c>
      <c r="F326" s="32" t="str">
        <f t="shared" si="20"/>
        <v>insert into ins_premium_det (premium_rcv_code,assorted_code, rec_amount,premium_rcv_detail_code,remaining_amt, payrec, mode_code,coinsurance_code,class_cd,it_remarks) values</v>
      </c>
      <c r="G326" s="33" t="str">
        <f t="shared" si="22"/>
        <v>('23May250004','040000191157','7540',(select max(to_number(i.premium_rcv_detail_code))+1
from ins_premium_det i),'7540','7540','09', '11000003','00','Request by Mr. reheel malik 23-may-2025');</v>
      </c>
      <c r="H326" s="34" t="str">
        <f t="shared" si="23"/>
        <v>insert into ins_premium_det (premium_rcv_code,assorted_code, rec_amount,premium_rcv_detail_code,remaining_amt, payrec, mode_code,coinsurance_code,class_cd,it_remarks) values('23May250004','040000191157','7540',(select max(to_number(i.premium_rcv_detail_code))+1
from ins_premium_det i),'7540','7540','09', '11000003','00','Request by Mr. reheel malik 23-may-2025');</v>
      </c>
    </row>
    <row r="327" spans="1:8" ht="75" x14ac:dyDescent="0.25">
      <c r="A327" s="22" t="s">
        <v>391</v>
      </c>
      <c r="B327" s="30" t="str">
        <f>VLOOKUP(A327,policy!B:C,2,0)</f>
        <v>040000192608</v>
      </c>
      <c r="C327" s="22">
        <v>7540</v>
      </c>
      <c r="D327" s="31">
        <f t="shared" si="21"/>
        <v>7540</v>
      </c>
      <c r="E327" s="29" t="s">
        <v>1280</v>
      </c>
      <c r="F327" s="32" t="str">
        <f t="shared" si="20"/>
        <v>insert into ins_premium_det (premium_rcv_code,assorted_code, rec_amount,premium_rcv_detail_code,remaining_amt, payrec, mode_code,coinsurance_code,class_cd,it_remarks) values</v>
      </c>
      <c r="G327" s="33" t="str">
        <f t="shared" si="22"/>
        <v>('23May250004','040000192608','7540',(select max(to_number(i.premium_rcv_detail_code))+1
from ins_premium_det i),'7540','7540','09', '11000003','00','Request by Mr. reheel malik 23-may-2025');</v>
      </c>
      <c r="H327" s="34" t="str">
        <f t="shared" si="23"/>
        <v>insert into ins_premium_det (premium_rcv_code,assorted_code, rec_amount,premium_rcv_detail_code,remaining_amt, payrec, mode_code,coinsurance_code,class_cd,it_remarks) values('23May250004','040000192608','7540',(select max(to_number(i.premium_rcv_detail_code))+1
from ins_premium_det i),'7540','7540','09', '11000003','00','Request by Mr. reheel malik 23-may-2025');</v>
      </c>
    </row>
    <row r="328" spans="1:8" ht="75" x14ac:dyDescent="0.25">
      <c r="A328" s="22" t="s">
        <v>392</v>
      </c>
      <c r="B328" s="30" t="str">
        <f>VLOOKUP(A328,policy!B:C,2,0)</f>
        <v>040000193272</v>
      </c>
      <c r="C328" s="22">
        <v>7540</v>
      </c>
      <c r="D328" s="31">
        <f t="shared" si="21"/>
        <v>7540</v>
      </c>
      <c r="E328" s="29" t="s">
        <v>1280</v>
      </c>
      <c r="F328" s="32" t="str">
        <f t="shared" si="20"/>
        <v>insert into ins_premium_det (premium_rcv_code,assorted_code, rec_amount,premium_rcv_detail_code,remaining_amt, payrec, mode_code,coinsurance_code,class_cd,it_remarks) values</v>
      </c>
      <c r="G328" s="33" t="str">
        <f t="shared" si="22"/>
        <v>('23May250004','040000193272','7540',(select max(to_number(i.premium_rcv_detail_code))+1
from ins_premium_det i),'7540','7540','09', '11000003','00','Request by Mr. reheel malik 23-may-2025');</v>
      </c>
      <c r="H328" s="34" t="str">
        <f t="shared" si="23"/>
        <v>insert into ins_premium_det (premium_rcv_code,assorted_code, rec_amount,premium_rcv_detail_code,remaining_amt, payrec, mode_code,coinsurance_code,class_cd,it_remarks) values('23May250004','040000193272','7540',(select max(to_number(i.premium_rcv_detail_code))+1
from ins_premium_det i),'7540','7540','09', '11000003','00','Request by Mr. reheel malik 23-may-2025');</v>
      </c>
    </row>
    <row r="329" spans="1:8" ht="75" x14ac:dyDescent="0.25">
      <c r="A329" s="22" t="s">
        <v>393</v>
      </c>
      <c r="B329" s="30" t="str">
        <f>VLOOKUP(A329,policy!B:C,2,0)</f>
        <v>040000193328</v>
      </c>
      <c r="C329" s="22">
        <v>7540</v>
      </c>
      <c r="D329" s="31">
        <f t="shared" si="21"/>
        <v>7540</v>
      </c>
      <c r="E329" s="29" t="s">
        <v>1280</v>
      </c>
      <c r="F329" s="32" t="str">
        <f t="shared" si="20"/>
        <v>insert into ins_premium_det (premium_rcv_code,assorted_code, rec_amount,premium_rcv_detail_code,remaining_amt, payrec, mode_code,coinsurance_code,class_cd,it_remarks) values</v>
      </c>
      <c r="G329" s="33" t="str">
        <f t="shared" si="22"/>
        <v>('23May250004','040000193328','7540',(select max(to_number(i.premium_rcv_detail_code))+1
from ins_premium_det i),'7540','7540','09', '11000003','00','Request by Mr. reheel malik 23-may-2025');</v>
      </c>
      <c r="H329" s="34" t="str">
        <f t="shared" si="23"/>
        <v>insert into ins_premium_det (premium_rcv_code,assorted_code, rec_amount,premium_rcv_detail_code,remaining_amt, payrec, mode_code,coinsurance_code,class_cd,it_remarks) values('23May250004','040000193328','7540',(select max(to_number(i.premium_rcv_detail_code))+1
from ins_premium_det i),'7540','7540','09', '11000003','00','Request by Mr. reheel malik 23-may-2025');</v>
      </c>
    </row>
    <row r="330" spans="1:8" ht="75" x14ac:dyDescent="0.25">
      <c r="A330" s="22" t="s">
        <v>394</v>
      </c>
      <c r="B330" s="30" t="str">
        <f>VLOOKUP(A330,policy!B:C,2,0)</f>
        <v>040000193340</v>
      </c>
      <c r="C330" s="22">
        <v>7540</v>
      </c>
      <c r="D330" s="31">
        <f t="shared" si="21"/>
        <v>7540</v>
      </c>
      <c r="E330" s="29" t="s">
        <v>1280</v>
      </c>
      <c r="F330" s="32" t="str">
        <f t="shared" si="20"/>
        <v>insert into ins_premium_det (premium_rcv_code,assorted_code, rec_amount,premium_rcv_detail_code,remaining_amt, payrec, mode_code,coinsurance_code,class_cd,it_remarks) values</v>
      </c>
      <c r="G330" s="33" t="str">
        <f t="shared" si="22"/>
        <v>('23May250004','040000193340','7540',(select max(to_number(i.premium_rcv_detail_code))+1
from ins_premium_det i),'7540','7540','09', '11000003','00','Request by Mr. reheel malik 23-may-2025');</v>
      </c>
      <c r="H330" s="34" t="str">
        <f t="shared" si="23"/>
        <v>insert into ins_premium_det (premium_rcv_code,assorted_code, rec_amount,premium_rcv_detail_code,remaining_amt, payrec, mode_code,coinsurance_code,class_cd,it_remarks) values('23May250004','040000193340','7540',(select max(to_number(i.premium_rcv_detail_code))+1
from ins_premium_det i),'7540','7540','09', '11000003','00','Request by Mr. reheel malik 23-may-2025');</v>
      </c>
    </row>
    <row r="331" spans="1:8" ht="75" x14ac:dyDescent="0.25">
      <c r="A331" s="22" t="s">
        <v>395</v>
      </c>
      <c r="B331" s="30" t="str">
        <f>VLOOKUP(A331,policy!B:C,2,0)</f>
        <v>040000193343</v>
      </c>
      <c r="C331" s="22">
        <v>7540</v>
      </c>
      <c r="D331" s="31">
        <f t="shared" si="21"/>
        <v>7540</v>
      </c>
      <c r="E331" s="29" t="s">
        <v>1280</v>
      </c>
      <c r="F331" s="32" t="str">
        <f t="shared" si="20"/>
        <v>insert into ins_premium_det (premium_rcv_code,assorted_code, rec_amount,premium_rcv_detail_code,remaining_amt, payrec, mode_code,coinsurance_code,class_cd,it_remarks) values</v>
      </c>
      <c r="G331" s="33" t="str">
        <f t="shared" si="22"/>
        <v>('23May250004','040000193343','7540',(select max(to_number(i.premium_rcv_detail_code))+1
from ins_premium_det i),'7540','7540','09', '11000003','00','Request by Mr. reheel malik 23-may-2025');</v>
      </c>
      <c r="H331" s="34" t="str">
        <f t="shared" si="23"/>
        <v>insert into ins_premium_det (premium_rcv_code,assorted_code, rec_amount,premium_rcv_detail_code,remaining_amt, payrec, mode_code,coinsurance_code,class_cd,it_remarks) values('23May250004','040000193343','7540',(select max(to_number(i.premium_rcv_detail_code))+1
from ins_premium_det i),'7540','7540','09', '11000003','00','Request by Mr. reheel malik 23-may-2025');</v>
      </c>
    </row>
    <row r="332" spans="1:8" ht="75" x14ac:dyDescent="0.25">
      <c r="A332" s="22" t="s">
        <v>396</v>
      </c>
      <c r="B332" s="30" t="str">
        <f>VLOOKUP(A332,policy!B:C,2,0)</f>
        <v>040000193345</v>
      </c>
      <c r="C332" s="22">
        <v>7540</v>
      </c>
      <c r="D332" s="31">
        <f t="shared" si="21"/>
        <v>7540</v>
      </c>
      <c r="E332" s="29" t="s">
        <v>1280</v>
      </c>
      <c r="F332" s="32" t="str">
        <f t="shared" si="20"/>
        <v>insert into ins_premium_det (premium_rcv_code,assorted_code, rec_amount,premium_rcv_detail_code,remaining_amt, payrec, mode_code,coinsurance_code,class_cd,it_remarks) values</v>
      </c>
      <c r="G332" s="33" t="str">
        <f t="shared" si="22"/>
        <v>('23May250004','040000193345','7540',(select max(to_number(i.premium_rcv_detail_code))+1
from ins_premium_det i),'7540','7540','09', '11000003','00','Request by Mr. reheel malik 23-may-2025');</v>
      </c>
      <c r="H332" s="34" t="str">
        <f t="shared" si="23"/>
        <v>insert into ins_premium_det (premium_rcv_code,assorted_code, rec_amount,premium_rcv_detail_code,remaining_amt, payrec, mode_code,coinsurance_code,class_cd,it_remarks) values('23May250004','040000193345','7540',(select max(to_number(i.premium_rcv_detail_code))+1
from ins_premium_det i),'7540','7540','09', '11000003','00','Request by Mr. reheel malik 23-may-2025');</v>
      </c>
    </row>
    <row r="333" spans="1:8" ht="75" x14ac:dyDescent="0.25">
      <c r="A333" s="22" t="s">
        <v>397</v>
      </c>
      <c r="B333" s="30" t="str">
        <f>VLOOKUP(A333,policy!B:C,2,0)</f>
        <v>040000193347</v>
      </c>
      <c r="C333" s="22">
        <v>7540</v>
      </c>
      <c r="D333" s="31">
        <f t="shared" si="21"/>
        <v>7540</v>
      </c>
      <c r="E333" s="29" t="s">
        <v>1280</v>
      </c>
      <c r="F333" s="32" t="str">
        <f t="shared" si="20"/>
        <v>insert into ins_premium_det (premium_rcv_code,assorted_code, rec_amount,premium_rcv_detail_code,remaining_amt, payrec, mode_code,coinsurance_code,class_cd,it_remarks) values</v>
      </c>
      <c r="G333" s="33" t="str">
        <f t="shared" si="22"/>
        <v>('23May250004','040000193347','7540',(select max(to_number(i.premium_rcv_detail_code))+1
from ins_premium_det i),'7540','7540','09', '11000003','00','Request by Mr. reheel malik 23-may-2025');</v>
      </c>
      <c r="H333" s="34" t="str">
        <f t="shared" si="23"/>
        <v>insert into ins_premium_det (premium_rcv_code,assorted_code, rec_amount,premium_rcv_detail_code,remaining_amt, payrec, mode_code,coinsurance_code,class_cd,it_remarks) values('23May250004','040000193347','7540',(select max(to_number(i.premium_rcv_detail_code))+1
from ins_premium_det i),'7540','7540','09', '11000003','00','Request by Mr. reheel malik 23-may-2025');</v>
      </c>
    </row>
    <row r="334" spans="1:8" ht="75" x14ac:dyDescent="0.25">
      <c r="A334" s="22" t="s">
        <v>398</v>
      </c>
      <c r="B334" s="30" t="str">
        <f>VLOOKUP(A334,policy!B:C,2,0)</f>
        <v>040000193374</v>
      </c>
      <c r="C334" s="22">
        <v>7540</v>
      </c>
      <c r="D334" s="31">
        <f t="shared" si="21"/>
        <v>7540</v>
      </c>
      <c r="E334" s="29" t="s">
        <v>1280</v>
      </c>
      <c r="F334" s="32" t="str">
        <f t="shared" si="20"/>
        <v>insert into ins_premium_det (premium_rcv_code,assorted_code, rec_amount,premium_rcv_detail_code,remaining_amt, payrec, mode_code,coinsurance_code,class_cd,it_remarks) values</v>
      </c>
      <c r="G334" s="33" t="str">
        <f t="shared" si="22"/>
        <v>('23May250004','040000193374','7540',(select max(to_number(i.premium_rcv_detail_code))+1
from ins_premium_det i),'7540','7540','09', '11000003','00','Request by Mr. reheel malik 23-may-2025');</v>
      </c>
      <c r="H334" s="34" t="str">
        <f t="shared" si="23"/>
        <v>insert into ins_premium_det (premium_rcv_code,assorted_code, rec_amount,premium_rcv_detail_code,remaining_amt, payrec, mode_code,coinsurance_code,class_cd,it_remarks) values('23May250004','040000193374','7540',(select max(to_number(i.premium_rcv_detail_code))+1
from ins_premium_det i),'7540','7540','09', '11000003','00','Request by Mr. reheel malik 23-may-2025');</v>
      </c>
    </row>
    <row r="335" spans="1:8" ht="75" x14ac:dyDescent="0.25">
      <c r="A335" s="22" t="s">
        <v>399</v>
      </c>
      <c r="B335" s="30" t="str">
        <f>VLOOKUP(A335,policy!B:C,2,0)</f>
        <v>040000193518</v>
      </c>
      <c r="C335" s="22">
        <v>7540</v>
      </c>
      <c r="D335" s="31">
        <f t="shared" si="21"/>
        <v>7540</v>
      </c>
      <c r="E335" s="29" t="s">
        <v>1280</v>
      </c>
      <c r="F335" s="32" t="str">
        <f t="shared" si="20"/>
        <v>insert into ins_premium_det (premium_rcv_code,assorted_code, rec_amount,premium_rcv_detail_code,remaining_amt, payrec, mode_code,coinsurance_code,class_cd,it_remarks) values</v>
      </c>
      <c r="G335" s="33" t="str">
        <f t="shared" si="22"/>
        <v>('23May250004','040000193518','7540',(select max(to_number(i.premium_rcv_detail_code))+1
from ins_premium_det i),'7540','7540','09', '11000003','00','Request by Mr. reheel malik 23-may-2025');</v>
      </c>
      <c r="H335" s="34" t="str">
        <f t="shared" si="23"/>
        <v>insert into ins_premium_det (premium_rcv_code,assorted_code, rec_amount,premium_rcv_detail_code,remaining_amt, payrec, mode_code,coinsurance_code,class_cd,it_remarks) values('23May250004','040000193518','7540',(select max(to_number(i.premium_rcv_detail_code))+1
from ins_premium_det i),'7540','7540','09', '11000003','00','Request by Mr. reheel malik 23-may-2025');</v>
      </c>
    </row>
    <row r="336" spans="1:8" ht="75" x14ac:dyDescent="0.25">
      <c r="A336" s="22" t="s">
        <v>400</v>
      </c>
      <c r="B336" s="30" t="str">
        <f>VLOOKUP(A336,policy!B:C,2,0)</f>
        <v>040000193639</v>
      </c>
      <c r="C336" s="22">
        <v>7540</v>
      </c>
      <c r="D336" s="31">
        <f t="shared" si="21"/>
        <v>7540</v>
      </c>
      <c r="E336" s="29" t="s">
        <v>1280</v>
      </c>
      <c r="F336" s="32" t="str">
        <f t="shared" si="20"/>
        <v>insert into ins_premium_det (premium_rcv_code,assorted_code, rec_amount,premium_rcv_detail_code,remaining_amt, payrec, mode_code,coinsurance_code,class_cd,it_remarks) values</v>
      </c>
      <c r="G336" s="33" t="str">
        <f t="shared" si="22"/>
        <v>('23May250004','040000193639','7540',(select max(to_number(i.premium_rcv_detail_code))+1
from ins_premium_det i),'7540','7540','09', '11000003','00','Request by Mr. reheel malik 23-may-2025');</v>
      </c>
      <c r="H336" s="34" t="str">
        <f t="shared" si="23"/>
        <v>insert into ins_premium_det (premium_rcv_code,assorted_code, rec_amount,premium_rcv_detail_code,remaining_amt, payrec, mode_code,coinsurance_code,class_cd,it_remarks) values('23May250004','040000193639','7540',(select max(to_number(i.premium_rcv_detail_code))+1
from ins_premium_det i),'7540','7540','09', '11000003','00','Request by Mr. reheel malik 23-may-2025');</v>
      </c>
    </row>
    <row r="337" spans="1:8" ht="75" x14ac:dyDescent="0.25">
      <c r="A337" s="22" t="s">
        <v>401</v>
      </c>
      <c r="B337" s="30" t="str">
        <f>VLOOKUP(A337,policy!B:C,2,0)</f>
        <v>040000193764</v>
      </c>
      <c r="C337" s="22">
        <v>7540</v>
      </c>
      <c r="D337" s="31">
        <f t="shared" si="21"/>
        <v>7540</v>
      </c>
      <c r="E337" s="29" t="s">
        <v>1280</v>
      </c>
      <c r="F337" s="32" t="str">
        <f t="shared" si="20"/>
        <v>insert into ins_premium_det (premium_rcv_code,assorted_code, rec_amount,premium_rcv_detail_code,remaining_amt, payrec, mode_code,coinsurance_code,class_cd,it_remarks) values</v>
      </c>
      <c r="G337" s="33" t="str">
        <f t="shared" si="22"/>
        <v>('23May250004','040000193764','7540',(select max(to_number(i.premium_rcv_detail_code))+1
from ins_premium_det i),'7540','7540','09', '11000003','00','Request by Mr. reheel malik 23-may-2025');</v>
      </c>
      <c r="H337" s="34" t="str">
        <f t="shared" si="23"/>
        <v>insert into ins_premium_det (premium_rcv_code,assorted_code, rec_amount,premium_rcv_detail_code,remaining_amt, payrec, mode_code,coinsurance_code,class_cd,it_remarks) values('23May250004','040000193764','7540',(select max(to_number(i.premium_rcv_detail_code))+1
from ins_premium_det i),'7540','7540','09', '11000003','00','Request by Mr. reheel malik 23-may-2025');</v>
      </c>
    </row>
    <row r="338" spans="1:8" ht="75" x14ac:dyDescent="0.25">
      <c r="A338" s="22" t="s">
        <v>402</v>
      </c>
      <c r="B338" s="30" t="str">
        <f>VLOOKUP(A338,policy!B:C,2,0)</f>
        <v>040000193980</v>
      </c>
      <c r="C338" s="22">
        <v>7540</v>
      </c>
      <c r="D338" s="31">
        <f t="shared" si="21"/>
        <v>7540</v>
      </c>
      <c r="E338" s="29" t="s">
        <v>1280</v>
      </c>
      <c r="F338" s="32" t="str">
        <f t="shared" si="20"/>
        <v>insert into ins_premium_det (premium_rcv_code,assorted_code, rec_amount,premium_rcv_detail_code,remaining_amt, payrec, mode_code,coinsurance_code,class_cd,it_remarks) values</v>
      </c>
      <c r="G338" s="33" t="str">
        <f t="shared" si="22"/>
        <v>('23May250004','040000193980','7540',(select max(to_number(i.premium_rcv_detail_code))+1
from ins_premium_det i),'7540','7540','09', '11000003','00','Request by Mr. reheel malik 23-may-2025');</v>
      </c>
      <c r="H338" s="34" t="str">
        <f t="shared" si="23"/>
        <v>insert into ins_premium_det (premium_rcv_code,assorted_code, rec_amount,premium_rcv_detail_code,remaining_amt, payrec, mode_code,coinsurance_code,class_cd,it_remarks) values('23May250004','040000193980','7540',(select max(to_number(i.premium_rcv_detail_code))+1
from ins_premium_det i),'7540','7540','09', '11000003','00','Request by Mr. reheel malik 23-may-2025');</v>
      </c>
    </row>
    <row r="339" spans="1:8" ht="75" x14ac:dyDescent="0.25">
      <c r="A339" s="22" t="s">
        <v>403</v>
      </c>
      <c r="B339" s="30" t="str">
        <f>VLOOKUP(A339,policy!B:C,2,0)</f>
        <v>040000194275</v>
      </c>
      <c r="C339" s="22">
        <v>7540</v>
      </c>
      <c r="D339" s="31">
        <f t="shared" si="21"/>
        <v>7540</v>
      </c>
      <c r="E339" s="29" t="s">
        <v>1280</v>
      </c>
      <c r="F339" s="32" t="str">
        <f t="shared" si="20"/>
        <v>insert into ins_premium_det (premium_rcv_code,assorted_code, rec_amount,premium_rcv_detail_code,remaining_amt, payrec, mode_code,coinsurance_code,class_cd,it_remarks) values</v>
      </c>
      <c r="G339" s="33" t="str">
        <f t="shared" si="22"/>
        <v>('23May250004','040000194275','7540',(select max(to_number(i.premium_rcv_detail_code))+1
from ins_premium_det i),'7540','7540','09', '11000003','00','Request by Mr. reheel malik 23-may-2025');</v>
      </c>
      <c r="H339" s="34" t="str">
        <f t="shared" si="23"/>
        <v>insert into ins_premium_det (premium_rcv_code,assorted_code, rec_amount,premium_rcv_detail_code,remaining_amt, payrec, mode_code,coinsurance_code,class_cd,it_remarks) values('23May250004','040000194275','7540',(select max(to_number(i.premium_rcv_detail_code))+1
from ins_premium_det i),'7540','7540','09', '11000003','00','Request by Mr. reheel malik 23-may-2025');</v>
      </c>
    </row>
    <row r="340" spans="1:8" ht="75" x14ac:dyDescent="0.25">
      <c r="A340" s="22" t="s">
        <v>404</v>
      </c>
      <c r="B340" s="30" t="str">
        <f>VLOOKUP(A340,policy!B:C,2,0)</f>
        <v>040000194318</v>
      </c>
      <c r="C340" s="22">
        <v>7540</v>
      </c>
      <c r="D340" s="31">
        <f t="shared" si="21"/>
        <v>7540</v>
      </c>
      <c r="E340" s="29" t="s">
        <v>1280</v>
      </c>
      <c r="F340" s="32" t="str">
        <f t="shared" si="20"/>
        <v>insert into ins_premium_det (premium_rcv_code,assorted_code, rec_amount,premium_rcv_detail_code,remaining_amt, payrec, mode_code,coinsurance_code,class_cd,it_remarks) values</v>
      </c>
      <c r="G340" s="33" t="str">
        <f t="shared" si="22"/>
        <v>('23May250004','040000194318','7540',(select max(to_number(i.premium_rcv_detail_code))+1
from ins_premium_det i),'7540','7540','09', '11000003','00','Request by Mr. reheel malik 23-may-2025');</v>
      </c>
      <c r="H340" s="34" t="str">
        <f t="shared" si="23"/>
        <v>insert into ins_premium_det (premium_rcv_code,assorted_code, rec_amount,premium_rcv_detail_code,remaining_amt, payrec, mode_code,coinsurance_code,class_cd,it_remarks) values('23May250004','040000194318','7540',(select max(to_number(i.premium_rcv_detail_code))+1
from ins_premium_det i),'7540','7540','09', '11000003','00','Request by Mr. reheel malik 23-may-2025');</v>
      </c>
    </row>
    <row r="341" spans="1:8" ht="75" x14ac:dyDescent="0.25">
      <c r="A341" s="22" t="s">
        <v>405</v>
      </c>
      <c r="B341" s="30" t="str">
        <f>VLOOKUP(A341,policy!B:C,2,0)</f>
        <v>040000194325</v>
      </c>
      <c r="C341" s="22">
        <v>7540</v>
      </c>
      <c r="D341" s="31">
        <f t="shared" si="21"/>
        <v>7540</v>
      </c>
      <c r="E341" s="29" t="s">
        <v>1280</v>
      </c>
      <c r="F341" s="32" t="str">
        <f t="shared" si="20"/>
        <v>insert into ins_premium_det (premium_rcv_code,assorted_code, rec_amount,premium_rcv_detail_code,remaining_amt, payrec, mode_code,coinsurance_code,class_cd,it_remarks) values</v>
      </c>
      <c r="G341" s="33" t="str">
        <f t="shared" si="22"/>
        <v>('23May250004','040000194325','7540',(select max(to_number(i.premium_rcv_detail_code))+1
from ins_premium_det i),'7540','7540','09', '11000003','00','Request by Mr. reheel malik 23-may-2025');</v>
      </c>
      <c r="H341" s="34" t="str">
        <f t="shared" si="23"/>
        <v>insert into ins_premium_det (premium_rcv_code,assorted_code, rec_amount,premium_rcv_detail_code,remaining_amt, payrec, mode_code,coinsurance_code,class_cd,it_remarks) values('23May250004','040000194325','7540',(select max(to_number(i.premium_rcv_detail_code))+1
from ins_premium_det i),'7540','7540','09', '11000003','00','Request by Mr. reheel malik 23-may-2025');</v>
      </c>
    </row>
    <row r="342" spans="1:8" ht="75" x14ac:dyDescent="0.25">
      <c r="A342" s="22" t="s">
        <v>406</v>
      </c>
      <c r="B342" s="30" t="str">
        <f>VLOOKUP(A342,policy!B:C,2,0)</f>
        <v>040000194702</v>
      </c>
      <c r="C342" s="22">
        <v>7540</v>
      </c>
      <c r="D342" s="31">
        <f t="shared" si="21"/>
        <v>7540</v>
      </c>
      <c r="E342" s="29" t="s">
        <v>1280</v>
      </c>
      <c r="F342" s="32" t="str">
        <f t="shared" si="20"/>
        <v>insert into ins_premium_det (premium_rcv_code,assorted_code, rec_amount,premium_rcv_detail_code,remaining_amt, payrec, mode_code,coinsurance_code,class_cd,it_remarks) values</v>
      </c>
      <c r="G342" s="33" t="str">
        <f t="shared" si="22"/>
        <v>('23May250004','040000194702','7540',(select max(to_number(i.premium_rcv_detail_code))+1
from ins_premium_det i),'7540','7540','09', '11000003','00','Request by Mr. reheel malik 23-may-2025');</v>
      </c>
      <c r="H342" s="34" t="str">
        <f t="shared" si="23"/>
        <v>insert into ins_premium_det (premium_rcv_code,assorted_code, rec_amount,premium_rcv_detail_code,remaining_amt, payrec, mode_code,coinsurance_code,class_cd,it_remarks) values('23May250004','040000194702','7540',(select max(to_number(i.premium_rcv_detail_code))+1
from ins_premium_det i),'7540','7540','09', '11000003','00','Request by Mr. reheel malik 23-may-2025');</v>
      </c>
    </row>
    <row r="343" spans="1:8" ht="75" x14ac:dyDescent="0.25">
      <c r="A343" s="22" t="s">
        <v>407</v>
      </c>
      <c r="B343" s="30" t="str">
        <f>VLOOKUP(A343,policy!B:C,2,0)</f>
        <v>040000194834</v>
      </c>
      <c r="C343" s="22">
        <v>7540</v>
      </c>
      <c r="D343" s="31">
        <f t="shared" si="21"/>
        <v>7540</v>
      </c>
      <c r="E343" s="29" t="s">
        <v>1280</v>
      </c>
      <c r="F343" s="32" t="str">
        <f t="shared" si="20"/>
        <v>insert into ins_premium_det (premium_rcv_code,assorted_code, rec_amount,premium_rcv_detail_code,remaining_amt, payrec, mode_code,coinsurance_code,class_cd,it_remarks) values</v>
      </c>
      <c r="G343" s="33" t="str">
        <f t="shared" si="22"/>
        <v>('23May250004','040000194834','7540',(select max(to_number(i.premium_rcv_detail_code))+1
from ins_premium_det i),'7540','7540','09', '11000003','00','Request by Mr. reheel malik 23-may-2025');</v>
      </c>
      <c r="H343" s="34" t="str">
        <f t="shared" si="23"/>
        <v>insert into ins_premium_det (premium_rcv_code,assorted_code, rec_amount,premium_rcv_detail_code,remaining_amt, payrec, mode_code,coinsurance_code,class_cd,it_remarks) values('23May250004','040000194834','7540',(select max(to_number(i.premium_rcv_detail_code))+1
from ins_premium_det i),'7540','7540','09', '11000003','00','Request by Mr. reheel malik 23-may-2025');</v>
      </c>
    </row>
    <row r="344" spans="1:8" ht="75" x14ac:dyDescent="0.25">
      <c r="A344" s="22" t="s">
        <v>408</v>
      </c>
      <c r="B344" s="30" t="str">
        <f>VLOOKUP(A344,policy!B:C,2,0)</f>
        <v>040000195189</v>
      </c>
      <c r="C344" s="22">
        <v>7540</v>
      </c>
      <c r="D344" s="31">
        <f t="shared" si="21"/>
        <v>7540</v>
      </c>
      <c r="E344" s="29" t="s">
        <v>1280</v>
      </c>
      <c r="F344" s="32" t="str">
        <f t="shared" si="20"/>
        <v>insert into ins_premium_det (premium_rcv_code,assorted_code, rec_amount,premium_rcv_detail_code,remaining_amt, payrec, mode_code,coinsurance_code,class_cd,it_remarks) values</v>
      </c>
      <c r="G344" s="33" t="str">
        <f t="shared" si="22"/>
        <v>('23May250004','040000195189','7540',(select max(to_number(i.premium_rcv_detail_code))+1
from ins_premium_det i),'7540','7540','09', '11000003','00','Request by Mr. reheel malik 23-may-2025');</v>
      </c>
      <c r="H344" s="34" t="str">
        <f t="shared" si="23"/>
        <v>insert into ins_premium_det (premium_rcv_code,assorted_code, rec_amount,premium_rcv_detail_code,remaining_amt, payrec, mode_code,coinsurance_code,class_cd,it_remarks) values('23May250004','040000195189','7540',(select max(to_number(i.premium_rcv_detail_code))+1
from ins_premium_det i),'7540','7540','09', '11000003','00','Request by Mr. reheel malik 23-may-2025');</v>
      </c>
    </row>
    <row r="345" spans="1:8" ht="75" x14ac:dyDescent="0.25">
      <c r="A345" s="22" t="s">
        <v>409</v>
      </c>
      <c r="B345" s="30" t="str">
        <f>VLOOKUP(A345,policy!B:C,2,0)</f>
        <v>040000195237</v>
      </c>
      <c r="C345" s="22">
        <v>7540</v>
      </c>
      <c r="D345" s="31">
        <f t="shared" si="21"/>
        <v>7540</v>
      </c>
      <c r="E345" s="29" t="s">
        <v>1280</v>
      </c>
      <c r="F345" s="32" t="str">
        <f t="shared" si="20"/>
        <v>insert into ins_premium_det (premium_rcv_code,assorted_code, rec_amount,premium_rcv_detail_code,remaining_amt, payrec, mode_code,coinsurance_code,class_cd,it_remarks) values</v>
      </c>
      <c r="G345" s="33" t="str">
        <f t="shared" si="22"/>
        <v>('23May250004','040000195237','7540',(select max(to_number(i.premium_rcv_detail_code))+1
from ins_premium_det i),'7540','7540','09', '11000003','00','Request by Mr. reheel malik 23-may-2025');</v>
      </c>
      <c r="H345" s="34" t="str">
        <f t="shared" si="23"/>
        <v>insert into ins_premium_det (premium_rcv_code,assorted_code, rec_amount,premium_rcv_detail_code,remaining_amt, payrec, mode_code,coinsurance_code,class_cd,it_remarks) values('23May250004','040000195237','7540',(select max(to_number(i.premium_rcv_detail_code))+1
from ins_premium_det i),'7540','7540','09', '11000003','00','Request by Mr. reheel malik 23-may-2025');</v>
      </c>
    </row>
    <row r="346" spans="1:8" ht="75" x14ac:dyDescent="0.25">
      <c r="A346" s="22" t="s">
        <v>410</v>
      </c>
      <c r="B346" s="30" t="str">
        <f>VLOOKUP(A346,policy!B:C,2,0)</f>
        <v>040000195254</v>
      </c>
      <c r="C346" s="22">
        <v>7540</v>
      </c>
      <c r="D346" s="31">
        <f t="shared" si="21"/>
        <v>7540</v>
      </c>
      <c r="E346" s="29" t="s">
        <v>1280</v>
      </c>
      <c r="F346" s="32" t="str">
        <f t="shared" si="20"/>
        <v>insert into ins_premium_det (premium_rcv_code,assorted_code, rec_amount,premium_rcv_detail_code,remaining_amt, payrec, mode_code,coinsurance_code,class_cd,it_remarks) values</v>
      </c>
      <c r="G346" s="33" t="str">
        <f t="shared" si="22"/>
        <v>('23May250004','040000195254','7540',(select max(to_number(i.premium_rcv_detail_code))+1
from ins_premium_det i),'7540','7540','09', '11000003','00','Request by Mr. reheel malik 23-may-2025');</v>
      </c>
      <c r="H346" s="34" t="str">
        <f t="shared" si="23"/>
        <v>insert into ins_premium_det (premium_rcv_code,assorted_code, rec_amount,premium_rcv_detail_code,remaining_amt, payrec, mode_code,coinsurance_code,class_cd,it_remarks) values('23May250004','040000195254','7540',(select max(to_number(i.premium_rcv_detail_code))+1
from ins_premium_det i),'7540','7540','09', '11000003','00','Request by Mr. reheel malik 23-may-2025');</v>
      </c>
    </row>
    <row r="347" spans="1:8" ht="75" x14ac:dyDescent="0.25">
      <c r="A347" s="22" t="s">
        <v>411</v>
      </c>
      <c r="B347" s="30" t="str">
        <f>VLOOKUP(A347,policy!B:C,2,0)</f>
        <v>040000195507</v>
      </c>
      <c r="C347" s="22">
        <v>7540</v>
      </c>
      <c r="D347" s="31">
        <f t="shared" si="21"/>
        <v>7540</v>
      </c>
      <c r="E347" s="29" t="s">
        <v>1280</v>
      </c>
      <c r="F347" s="32" t="str">
        <f t="shared" si="20"/>
        <v>insert into ins_premium_det (premium_rcv_code,assorted_code, rec_amount,premium_rcv_detail_code,remaining_amt, payrec, mode_code,coinsurance_code,class_cd,it_remarks) values</v>
      </c>
      <c r="G347" s="33" t="str">
        <f t="shared" si="22"/>
        <v>('23May250004','040000195507','7540',(select max(to_number(i.premium_rcv_detail_code))+1
from ins_premium_det i),'7540','7540','09', '11000003','00','Request by Mr. reheel malik 23-may-2025');</v>
      </c>
      <c r="H347" s="34" t="str">
        <f t="shared" si="23"/>
        <v>insert into ins_premium_det (premium_rcv_code,assorted_code, rec_amount,premium_rcv_detail_code,remaining_amt, payrec, mode_code,coinsurance_code,class_cd,it_remarks) values('23May250004','040000195507','7540',(select max(to_number(i.premium_rcv_detail_code))+1
from ins_premium_det i),'7540','7540','09', '11000003','00','Request by Mr. reheel malik 23-may-2025');</v>
      </c>
    </row>
    <row r="348" spans="1:8" ht="75" x14ac:dyDescent="0.25">
      <c r="A348" s="22" t="s">
        <v>412</v>
      </c>
      <c r="B348" s="30" t="str">
        <f>VLOOKUP(A348,policy!B:C,2,0)</f>
        <v>040000195604</v>
      </c>
      <c r="C348" s="22">
        <v>7540</v>
      </c>
      <c r="D348" s="31">
        <f t="shared" si="21"/>
        <v>7540</v>
      </c>
      <c r="E348" s="29" t="s">
        <v>1280</v>
      </c>
      <c r="F348" s="32" t="str">
        <f t="shared" si="20"/>
        <v>insert into ins_premium_det (premium_rcv_code,assorted_code, rec_amount,premium_rcv_detail_code,remaining_amt, payrec, mode_code,coinsurance_code,class_cd,it_remarks) values</v>
      </c>
      <c r="G348" s="33" t="str">
        <f t="shared" si="22"/>
        <v>('23May250004','040000195604','7540',(select max(to_number(i.premium_rcv_detail_code))+1
from ins_premium_det i),'7540','7540','09', '11000003','00','Request by Mr. reheel malik 23-may-2025');</v>
      </c>
      <c r="H348" s="34" t="str">
        <f t="shared" si="23"/>
        <v>insert into ins_premium_det (premium_rcv_code,assorted_code, rec_amount,premium_rcv_detail_code,remaining_amt, payrec, mode_code,coinsurance_code,class_cd,it_remarks) values('23May250004','040000195604','7540',(select max(to_number(i.premium_rcv_detail_code))+1
from ins_premium_det i),'7540','7540','09', '11000003','00','Request by Mr. reheel malik 23-may-2025');</v>
      </c>
    </row>
    <row r="349" spans="1:8" ht="75" x14ac:dyDescent="0.25">
      <c r="A349" s="22" t="s">
        <v>413</v>
      </c>
      <c r="B349" s="30" t="str">
        <f>VLOOKUP(A349,policy!B:C,2,0)</f>
        <v>040000195727</v>
      </c>
      <c r="C349" s="22">
        <v>7540</v>
      </c>
      <c r="D349" s="31">
        <f t="shared" si="21"/>
        <v>7540</v>
      </c>
      <c r="E349" s="29" t="s">
        <v>1280</v>
      </c>
      <c r="F349" s="32" t="str">
        <f t="shared" si="20"/>
        <v>insert into ins_premium_det (premium_rcv_code,assorted_code, rec_amount,premium_rcv_detail_code,remaining_amt, payrec, mode_code,coinsurance_code,class_cd,it_remarks) values</v>
      </c>
      <c r="G349" s="33" t="str">
        <f t="shared" si="22"/>
        <v>('23May250004','040000195727','7540',(select max(to_number(i.premium_rcv_detail_code))+1
from ins_premium_det i),'7540','7540','09', '11000003','00','Request by Mr. reheel malik 23-may-2025');</v>
      </c>
      <c r="H349" s="34" t="str">
        <f t="shared" si="23"/>
        <v>insert into ins_premium_det (premium_rcv_code,assorted_code, rec_amount,premium_rcv_detail_code,remaining_amt, payrec, mode_code,coinsurance_code,class_cd,it_remarks) values('23May250004','040000195727','7540',(select max(to_number(i.premium_rcv_detail_code))+1
from ins_premium_det i),'7540','7540','09', '11000003','00','Request by Mr. reheel malik 23-may-2025');</v>
      </c>
    </row>
    <row r="350" spans="1:8" ht="75" x14ac:dyDescent="0.25">
      <c r="A350" s="22" t="s">
        <v>414</v>
      </c>
      <c r="B350" s="30" t="str">
        <f>VLOOKUP(A350,policy!B:C,2,0)</f>
        <v>040000196006</v>
      </c>
      <c r="C350" s="22">
        <v>7540</v>
      </c>
      <c r="D350" s="31">
        <f t="shared" si="21"/>
        <v>7540</v>
      </c>
      <c r="E350" s="29" t="s">
        <v>1280</v>
      </c>
      <c r="F350" s="32" t="str">
        <f t="shared" si="20"/>
        <v>insert into ins_premium_det (premium_rcv_code,assorted_code, rec_amount,premium_rcv_detail_code,remaining_amt, payrec, mode_code,coinsurance_code,class_cd,it_remarks) values</v>
      </c>
      <c r="G350" s="33" t="str">
        <f t="shared" si="22"/>
        <v>('23May250004','040000196006','7540',(select max(to_number(i.premium_rcv_detail_code))+1
from ins_premium_det i),'7540','7540','09', '11000003','00','Request by Mr. reheel malik 23-may-2025');</v>
      </c>
      <c r="H350" s="34" t="str">
        <f t="shared" si="23"/>
        <v>insert into ins_premium_det (premium_rcv_code,assorted_code, rec_amount,premium_rcv_detail_code,remaining_amt, payrec, mode_code,coinsurance_code,class_cd,it_remarks) values('23May250004','040000196006','7540',(select max(to_number(i.premium_rcv_detail_code))+1
from ins_premium_det i),'7540','7540','09', '11000003','00','Request by Mr. reheel malik 23-may-2025');</v>
      </c>
    </row>
    <row r="351" spans="1:8" ht="75" x14ac:dyDescent="0.25">
      <c r="A351" s="22" t="s">
        <v>415</v>
      </c>
      <c r="B351" s="30" t="str">
        <f>VLOOKUP(A351,policy!B:C,2,0)</f>
        <v>050000834841</v>
      </c>
      <c r="C351" s="22">
        <v>7540</v>
      </c>
      <c r="D351" s="31">
        <f t="shared" si="21"/>
        <v>7540</v>
      </c>
      <c r="E351" s="29" t="s">
        <v>1280</v>
      </c>
      <c r="F351" s="32" t="str">
        <f t="shared" si="20"/>
        <v>insert into ins_premium_det (premium_rcv_code,assorted_code, rec_amount,premium_rcv_detail_code,remaining_amt, payrec, mode_code,coinsurance_code,class_cd,it_remarks) values</v>
      </c>
      <c r="G351" s="33" t="str">
        <f t="shared" si="22"/>
        <v>('23May250004','050000834841','7540',(select max(to_number(i.premium_rcv_detail_code))+1
from ins_premium_det i),'7540','7540','09', '11000003','00','Request by Mr. reheel malik 23-may-2025');</v>
      </c>
      <c r="H351" s="34" t="str">
        <f t="shared" si="23"/>
        <v>insert into ins_premium_det (premium_rcv_code,assorted_code, rec_amount,premium_rcv_detail_code,remaining_amt, payrec, mode_code,coinsurance_code,class_cd,it_remarks) values('23May250004','050000834841','7540',(select max(to_number(i.premium_rcv_detail_code))+1
from ins_premium_det i),'7540','7540','09', '11000003','00','Request by Mr. reheel malik 23-may-2025');</v>
      </c>
    </row>
    <row r="352" spans="1:8" ht="75" x14ac:dyDescent="0.25">
      <c r="A352" s="22" t="s">
        <v>416</v>
      </c>
      <c r="B352" s="30" t="str">
        <f>VLOOKUP(A352,Sheet8!B:C,2,0)</f>
        <v>050000846215</v>
      </c>
      <c r="C352" s="22">
        <v>7540</v>
      </c>
      <c r="D352" s="31">
        <f t="shared" si="21"/>
        <v>7540</v>
      </c>
      <c r="E352" s="29" t="s">
        <v>1280</v>
      </c>
      <c r="F352" s="32" t="str">
        <f t="shared" si="20"/>
        <v>insert into ins_premium_det (premium_rcv_code,assorted_code, rec_amount,premium_rcv_detail_code,remaining_amt, payrec, mode_code,coinsurance_code,class_cd,it_remarks) values</v>
      </c>
      <c r="G352" s="33" t="str">
        <f t="shared" si="22"/>
        <v>('23May250004','050000846215','7540',(select max(to_number(i.premium_rcv_detail_code))+1
from ins_premium_det i),'7540','7540','09', '11000003','00','Request by Mr. reheel malik 23-may-2025');</v>
      </c>
      <c r="H352" s="34" t="str">
        <f t="shared" si="23"/>
        <v>insert into ins_premium_det (premium_rcv_code,assorted_code, rec_amount,premium_rcv_detail_code,remaining_amt, payrec, mode_code,coinsurance_code,class_cd,it_remarks) values('23May250004','050000846215','7540',(select max(to_number(i.premium_rcv_detail_code))+1
from ins_premium_det i),'7540','7540','09', '11000003','00','Request by Mr. reheel malik 23-may-2025');</v>
      </c>
    </row>
    <row r="353" spans="1:8" ht="75" x14ac:dyDescent="0.25">
      <c r="A353" s="22" t="s">
        <v>417</v>
      </c>
      <c r="B353" s="30" t="str">
        <f>VLOOKUP(A353,policy!B:C,2,0)</f>
        <v>050000846217</v>
      </c>
      <c r="C353" s="22">
        <v>7540</v>
      </c>
      <c r="D353" s="31">
        <f t="shared" si="21"/>
        <v>7540</v>
      </c>
      <c r="E353" s="29" t="s">
        <v>1280</v>
      </c>
      <c r="F353" s="32" t="str">
        <f t="shared" si="20"/>
        <v>insert into ins_premium_det (premium_rcv_code,assorted_code, rec_amount,premium_rcv_detail_code,remaining_amt, payrec, mode_code,coinsurance_code,class_cd,it_remarks) values</v>
      </c>
      <c r="G353" s="33" t="str">
        <f t="shared" si="22"/>
        <v>('23May250004','050000846217','7540',(select max(to_number(i.premium_rcv_detail_code))+1
from ins_premium_det i),'7540','7540','09', '11000003','00','Request by Mr. reheel malik 23-may-2025');</v>
      </c>
      <c r="H353" s="34" t="str">
        <f t="shared" si="23"/>
        <v>insert into ins_premium_det (premium_rcv_code,assorted_code, rec_amount,premium_rcv_detail_code,remaining_amt, payrec, mode_code,coinsurance_code,class_cd,it_remarks) values('23May250004','050000846217','7540',(select max(to_number(i.premium_rcv_detail_code))+1
from ins_premium_det i),'7540','7540','09', '11000003','00','Request by Mr. reheel malik 23-may-2025');</v>
      </c>
    </row>
    <row r="354" spans="1:8" ht="75" x14ac:dyDescent="0.25">
      <c r="A354" s="22" t="s">
        <v>418</v>
      </c>
      <c r="B354" s="30" t="str">
        <f>VLOOKUP(A354,policy!B:C,2,0)</f>
        <v>050000846218</v>
      </c>
      <c r="C354" s="22">
        <v>7540</v>
      </c>
      <c r="D354" s="31">
        <f t="shared" si="21"/>
        <v>7540</v>
      </c>
      <c r="E354" s="29" t="s">
        <v>1280</v>
      </c>
      <c r="F354" s="32" t="str">
        <f t="shared" si="20"/>
        <v>insert into ins_premium_det (premium_rcv_code,assorted_code, rec_amount,premium_rcv_detail_code,remaining_amt, payrec, mode_code,coinsurance_code,class_cd,it_remarks) values</v>
      </c>
      <c r="G354" s="33" t="str">
        <f t="shared" si="22"/>
        <v>('23May250004','050000846218','7540',(select max(to_number(i.premium_rcv_detail_code))+1
from ins_premium_det i),'7540','7540','09', '11000003','00','Request by Mr. reheel malik 23-may-2025');</v>
      </c>
      <c r="H354" s="34" t="str">
        <f t="shared" si="23"/>
        <v>insert into ins_premium_det (premium_rcv_code,assorted_code, rec_amount,premium_rcv_detail_code,remaining_amt, payrec, mode_code,coinsurance_code,class_cd,it_remarks) values('23May250004','050000846218','7540',(select max(to_number(i.premium_rcv_detail_code))+1
from ins_premium_det i),'7540','7540','09', '11000003','00','Request by Mr. reheel malik 23-may-2025');</v>
      </c>
    </row>
    <row r="355" spans="1:8" ht="75" x14ac:dyDescent="0.25">
      <c r="A355" s="22" t="s">
        <v>419</v>
      </c>
      <c r="B355" s="30" t="str">
        <f>VLOOKUP(A355,Sheet7!B:C,2,0)</f>
        <v>070000174470</v>
      </c>
      <c r="C355" s="22">
        <v>7540</v>
      </c>
      <c r="D355" s="31">
        <f t="shared" si="21"/>
        <v>7540</v>
      </c>
      <c r="E355" s="29" t="s">
        <v>1280</v>
      </c>
      <c r="F355" s="32" t="str">
        <f t="shared" si="20"/>
        <v>insert into ins_premium_det (premium_rcv_code,assorted_code, rec_amount,premium_rcv_detail_code,remaining_amt, payrec, mode_code,coinsurance_code,class_cd,it_remarks) values</v>
      </c>
      <c r="G355" s="33" t="str">
        <f t="shared" si="22"/>
        <v>('23May250004','070000174470','7540',(select max(to_number(i.premium_rcv_detail_code))+1
from ins_premium_det i),'7540','7540','09', '11000003','00','Request by Mr. reheel malik 23-may-2025');</v>
      </c>
      <c r="H355" s="34" t="str">
        <f t="shared" si="23"/>
        <v>insert into ins_premium_det (premium_rcv_code,assorted_code, rec_amount,premium_rcv_detail_code,remaining_amt, payrec, mode_code,coinsurance_code,class_cd,it_remarks) values('23May250004','070000174470','7540',(select max(to_number(i.premium_rcv_detail_code))+1
from ins_premium_det i),'7540','7540','09', '11000003','00','Request by Mr. reheel malik 23-may-2025');</v>
      </c>
    </row>
    <row r="356" spans="1:8" ht="75" x14ac:dyDescent="0.25">
      <c r="A356" s="22" t="s">
        <v>420</v>
      </c>
      <c r="B356" s="30" t="str">
        <f>VLOOKUP(A356,Sheet7!B:C,2,0)</f>
        <v>070000174472</v>
      </c>
      <c r="C356" s="22">
        <v>7540</v>
      </c>
      <c r="D356" s="31">
        <f t="shared" si="21"/>
        <v>7540</v>
      </c>
      <c r="E356" s="29" t="s">
        <v>1280</v>
      </c>
      <c r="F356" s="32" t="str">
        <f t="shared" si="20"/>
        <v>insert into ins_premium_det (premium_rcv_code,assorted_code, rec_amount,premium_rcv_detail_code,remaining_amt, payrec, mode_code,coinsurance_code,class_cd,it_remarks) values</v>
      </c>
      <c r="G356" s="33" t="str">
        <f t="shared" si="22"/>
        <v>('23May250004','070000174472','7540',(select max(to_number(i.premium_rcv_detail_code))+1
from ins_premium_det i),'7540','7540','09', '11000003','00','Request by Mr. reheel malik 23-may-2025');</v>
      </c>
      <c r="H356" s="34" t="str">
        <f t="shared" si="23"/>
        <v>insert into ins_premium_det (premium_rcv_code,assorted_code, rec_amount,premium_rcv_detail_code,remaining_amt, payrec, mode_code,coinsurance_code,class_cd,it_remarks) values('23May250004','070000174472','7540',(select max(to_number(i.premium_rcv_detail_code))+1
from ins_premium_det i),'7540','7540','09', '11000003','00','Request by Mr. reheel malik 23-may-2025');</v>
      </c>
    </row>
    <row r="357" spans="1:8" ht="75" x14ac:dyDescent="0.25">
      <c r="A357" s="22" t="s">
        <v>421</v>
      </c>
      <c r="B357" s="30" t="str">
        <f>VLOOKUP(A357,Sheet7!B:C,2,0)</f>
        <v>070000174473</v>
      </c>
      <c r="C357" s="22">
        <v>7540</v>
      </c>
      <c r="D357" s="31">
        <f t="shared" si="21"/>
        <v>7540</v>
      </c>
      <c r="E357" s="29" t="s">
        <v>1280</v>
      </c>
      <c r="F357" s="32" t="str">
        <f t="shared" si="20"/>
        <v>insert into ins_premium_det (premium_rcv_code,assorted_code, rec_amount,premium_rcv_detail_code,remaining_amt, payrec, mode_code,coinsurance_code,class_cd,it_remarks) values</v>
      </c>
      <c r="G357" s="33" t="str">
        <f t="shared" si="22"/>
        <v>('23May250004','070000174473','7540',(select max(to_number(i.premium_rcv_detail_code))+1
from ins_premium_det i),'7540','7540','09', '11000003','00','Request by Mr. reheel malik 23-may-2025');</v>
      </c>
      <c r="H357" s="34" t="str">
        <f t="shared" si="23"/>
        <v>insert into ins_premium_det (premium_rcv_code,assorted_code, rec_amount,premium_rcv_detail_code,remaining_amt, payrec, mode_code,coinsurance_code,class_cd,it_remarks) values('23May250004','070000174473','7540',(select max(to_number(i.premium_rcv_detail_code))+1
from ins_premium_det i),'7540','7540','09', '11000003','00','Request by Mr. reheel malik 23-may-2025');</v>
      </c>
    </row>
    <row r="358" spans="1:8" ht="75" x14ac:dyDescent="0.25">
      <c r="A358" s="22" t="s">
        <v>422</v>
      </c>
      <c r="B358" s="30" t="str">
        <f>VLOOKUP(A358,policy!B:C,2,0)</f>
        <v>040000179443</v>
      </c>
      <c r="C358" s="22">
        <v>7540</v>
      </c>
      <c r="D358" s="31">
        <f t="shared" si="21"/>
        <v>7540</v>
      </c>
      <c r="E358" s="29" t="s">
        <v>1280</v>
      </c>
      <c r="F358" s="32" t="str">
        <f t="shared" si="20"/>
        <v>insert into ins_premium_det (premium_rcv_code,assorted_code, rec_amount,premium_rcv_detail_code,remaining_amt, payrec, mode_code,coinsurance_code,class_cd,it_remarks) values</v>
      </c>
      <c r="G358" s="33" t="str">
        <f t="shared" si="22"/>
        <v>('23May250004','040000179443','7540',(select max(to_number(i.premium_rcv_detail_code))+1
from ins_premium_det i),'7540','7540','09', '11000003','00','Request by Mr. reheel malik 23-may-2025');</v>
      </c>
      <c r="H358" s="34" t="str">
        <f t="shared" si="23"/>
        <v>insert into ins_premium_det (premium_rcv_code,assorted_code, rec_amount,premium_rcv_detail_code,remaining_amt, payrec, mode_code,coinsurance_code,class_cd,it_remarks) values('23May250004','040000179443','7540',(select max(to_number(i.premium_rcv_detail_code))+1
from ins_premium_det i),'7540','7540','09', '11000003','00','Request by Mr. reheel malik 23-may-2025');</v>
      </c>
    </row>
    <row r="359" spans="1:8" ht="75" x14ac:dyDescent="0.25">
      <c r="A359" s="22" t="s">
        <v>423</v>
      </c>
      <c r="B359" s="30" t="str">
        <f>VLOOKUP(A359,policy!B:C,2,0)</f>
        <v>040000179446</v>
      </c>
      <c r="C359" s="22">
        <v>7540</v>
      </c>
      <c r="D359" s="31">
        <f t="shared" si="21"/>
        <v>7540</v>
      </c>
      <c r="E359" s="29" t="s">
        <v>1280</v>
      </c>
      <c r="F359" s="32" t="str">
        <f t="shared" si="20"/>
        <v>insert into ins_premium_det (premium_rcv_code,assorted_code, rec_amount,premium_rcv_detail_code,remaining_amt, payrec, mode_code,coinsurance_code,class_cd,it_remarks) values</v>
      </c>
      <c r="G359" s="33" t="str">
        <f t="shared" si="22"/>
        <v>('23May250004','040000179446','7540',(select max(to_number(i.premium_rcv_detail_code))+1
from ins_premium_det i),'7540','7540','09', '11000003','00','Request by Mr. reheel malik 23-may-2025');</v>
      </c>
      <c r="H359" s="34" t="str">
        <f t="shared" si="23"/>
        <v>insert into ins_premium_det (premium_rcv_code,assorted_code, rec_amount,premium_rcv_detail_code,remaining_amt, payrec, mode_code,coinsurance_code,class_cd,it_remarks) values('23May250004','040000179446','7540',(select max(to_number(i.premium_rcv_detail_code))+1
from ins_premium_det i),'7540','7540','09', '11000003','00','Request by Mr. reheel malik 23-may-2025');</v>
      </c>
    </row>
    <row r="360" spans="1:8" ht="90" x14ac:dyDescent="0.25">
      <c r="A360" s="22" t="s">
        <v>424</v>
      </c>
      <c r="B360" s="30" t="str">
        <f>VLOOKUP(A360,policy!B:C,2,0)</f>
        <v>040000180935</v>
      </c>
      <c r="C360" s="22">
        <v>15080</v>
      </c>
      <c r="D360" s="31">
        <f t="shared" si="21"/>
        <v>15080</v>
      </c>
      <c r="E360" s="29" t="s">
        <v>1280</v>
      </c>
      <c r="F360" s="32" t="str">
        <f t="shared" si="20"/>
        <v>insert into ins_premium_det (premium_rcv_code,assorted_code, rec_amount,premium_rcv_detail_code,remaining_amt, payrec, mode_code,coinsurance_code,class_cd,it_remarks) values</v>
      </c>
      <c r="G360" s="33" t="str">
        <f t="shared" si="22"/>
        <v>('23May250004','040000180935','15080',(select max(to_number(i.premium_rcv_detail_code))+1
from ins_premium_det i),'15080','15080','09', '11000003','00','Request by Mr. reheel malik 23-may-2025');</v>
      </c>
      <c r="H360" s="34" t="str">
        <f t="shared" si="23"/>
        <v>insert into ins_premium_det (premium_rcv_code,assorted_code, rec_amount,premium_rcv_detail_code,remaining_amt, payrec, mode_code,coinsurance_code,class_cd,it_remarks) values('23May250004','040000180935','15080',(select max(to_number(i.premium_rcv_detail_code))+1
from ins_premium_det i),'15080','15080','09', '11000003','00','Request by Mr. reheel malik 23-may-2025');</v>
      </c>
    </row>
    <row r="361" spans="1:8" ht="75" x14ac:dyDescent="0.25">
      <c r="A361" s="22" t="s">
        <v>425</v>
      </c>
      <c r="B361" s="30" t="str">
        <f>VLOOKUP(A361,policy!B:C,2,0)</f>
        <v>040000196194</v>
      </c>
      <c r="C361" s="22">
        <v>7540</v>
      </c>
      <c r="D361" s="31">
        <f t="shared" si="21"/>
        <v>7540</v>
      </c>
      <c r="E361" s="29" t="s">
        <v>1280</v>
      </c>
      <c r="F361" s="32" t="str">
        <f t="shared" si="20"/>
        <v>insert into ins_premium_det (premium_rcv_code,assorted_code, rec_amount,premium_rcv_detail_code,remaining_amt, payrec, mode_code,coinsurance_code,class_cd,it_remarks) values</v>
      </c>
      <c r="G361" s="33" t="str">
        <f t="shared" si="22"/>
        <v>('23May250004','040000196194','7540',(select max(to_number(i.premium_rcv_detail_code))+1
from ins_premium_det i),'7540','7540','09', '11000003','00','Request by Mr. reheel malik 23-may-2025');</v>
      </c>
      <c r="H361" s="34" t="str">
        <f t="shared" si="23"/>
        <v>insert into ins_premium_det (premium_rcv_code,assorted_code, rec_amount,premium_rcv_detail_code,remaining_amt, payrec, mode_code,coinsurance_code,class_cd,it_remarks) values('23May250004','040000196194','7540',(select max(to_number(i.premium_rcv_detail_code))+1
from ins_premium_det i),'7540','7540','09', '11000003','00','Request by Mr. reheel malik 23-may-2025');</v>
      </c>
    </row>
    <row r="362" spans="1:8" ht="75" x14ac:dyDescent="0.25">
      <c r="A362" s="22" t="s">
        <v>426</v>
      </c>
      <c r="B362" s="30" t="str">
        <f>VLOOKUP(A362,Sheet8!B:C,2,0)</f>
        <v>050000846212</v>
      </c>
      <c r="C362" s="22">
        <v>7540</v>
      </c>
      <c r="D362" s="31">
        <f t="shared" si="21"/>
        <v>7540</v>
      </c>
      <c r="E362" s="29" t="s">
        <v>1280</v>
      </c>
      <c r="F362" s="32" t="str">
        <f t="shared" si="20"/>
        <v>insert into ins_premium_det (premium_rcv_code,assorted_code, rec_amount,premium_rcv_detail_code,remaining_amt, payrec, mode_code,coinsurance_code,class_cd,it_remarks) values</v>
      </c>
      <c r="G362" s="33" t="str">
        <f t="shared" si="22"/>
        <v>('23May250004','050000846212','7540',(select max(to_number(i.premium_rcv_detail_code))+1
from ins_premium_det i),'7540','7540','09', '11000003','00','Request by Mr. reheel malik 23-may-2025');</v>
      </c>
      <c r="H362" s="34" t="str">
        <f t="shared" si="23"/>
        <v>insert into ins_premium_det (premium_rcv_code,assorted_code, rec_amount,premium_rcv_detail_code,remaining_amt, payrec, mode_code,coinsurance_code,class_cd,it_remarks) values('23May250004','050000846212','7540',(select max(to_number(i.premium_rcv_detail_code))+1
from ins_premium_det i),'7540','7540','09', '11000003','00','Request by Mr. reheel malik 23-may-2025');</v>
      </c>
    </row>
    <row r="363" spans="1:8" ht="75" x14ac:dyDescent="0.25">
      <c r="A363" s="22" t="s">
        <v>427</v>
      </c>
      <c r="B363" s="30" t="str">
        <f>VLOOKUP(A363,policy!B:C,2,0)</f>
        <v>050000846477</v>
      </c>
      <c r="C363" s="22">
        <v>7540</v>
      </c>
      <c r="D363" s="31">
        <f t="shared" si="21"/>
        <v>7540</v>
      </c>
      <c r="E363" s="29" t="s">
        <v>1280</v>
      </c>
      <c r="F363" s="32" t="str">
        <f t="shared" si="20"/>
        <v>insert into ins_premium_det (premium_rcv_code,assorted_code, rec_amount,premium_rcv_detail_code,remaining_amt, payrec, mode_code,coinsurance_code,class_cd,it_remarks) values</v>
      </c>
      <c r="G363" s="33" t="str">
        <f t="shared" si="22"/>
        <v>('23May250004','050000846477','7540',(select max(to_number(i.premium_rcv_detail_code))+1
from ins_premium_det i),'7540','7540','09', '11000003','00','Request by Mr. reheel malik 23-may-2025');</v>
      </c>
      <c r="H363" s="34" t="str">
        <f t="shared" si="23"/>
        <v>insert into ins_premium_det (premium_rcv_code,assorted_code, rec_amount,premium_rcv_detail_code,remaining_amt, payrec, mode_code,coinsurance_code,class_cd,it_remarks) values('23May250004','050000846477','7540',(select max(to_number(i.premium_rcv_detail_code))+1
from ins_premium_det i),'7540','7540','09', '11000003','00','Request by Mr. reheel malik 23-may-2025');</v>
      </c>
    </row>
    <row r="364" spans="1:8" ht="75" x14ac:dyDescent="0.25">
      <c r="A364" s="22" t="s">
        <v>428</v>
      </c>
      <c r="B364" s="30" t="str">
        <f>VLOOKUP(A364,Sheet8!B:C,2,0)</f>
        <v>050000858754</v>
      </c>
      <c r="C364" s="22">
        <v>7540</v>
      </c>
      <c r="D364" s="31">
        <f t="shared" si="21"/>
        <v>7540</v>
      </c>
      <c r="E364" s="29" t="s">
        <v>1280</v>
      </c>
      <c r="F364" s="32" t="str">
        <f t="shared" si="20"/>
        <v>insert into ins_premium_det (premium_rcv_code,assorted_code, rec_amount,premium_rcv_detail_code,remaining_amt, payrec, mode_code,coinsurance_code,class_cd,it_remarks) values</v>
      </c>
      <c r="G364" s="33" t="str">
        <f t="shared" si="22"/>
        <v>('23May250004','050000858754','7540',(select max(to_number(i.premium_rcv_detail_code))+1
from ins_premium_det i),'7540','7540','09', '11000003','00','Request by Mr. reheel malik 23-may-2025');</v>
      </c>
      <c r="H364" s="34" t="str">
        <f t="shared" si="23"/>
        <v>insert into ins_premium_det (premium_rcv_code,assorted_code, rec_amount,premium_rcv_detail_code,remaining_amt, payrec, mode_code,coinsurance_code,class_cd,it_remarks) values('23May250004','050000858754','7540',(select max(to_number(i.premium_rcv_detail_code))+1
from ins_premium_det i),'7540','7540','09', '11000003','00','Request by Mr. reheel malik 23-may-2025');</v>
      </c>
    </row>
    <row r="365" spans="1:8" ht="75" x14ac:dyDescent="0.25">
      <c r="A365" s="22" t="s">
        <v>429</v>
      </c>
      <c r="B365" s="30" t="str">
        <f>VLOOKUP(A365,Sheet8!B:C,2,0)</f>
        <v>050000858760</v>
      </c>
      <c r="C365" s="22">
        <v>7540</v>
      </c>
      <c r="D365" s="31">
        <f t="shared" si="21"/>
        <v>7540</v>
      </c>
      <c r="E365" s="29" t="s">
        <v>1280</v>
      </c>
      <c r="F365" s="32" t="str">
        <f t="shared" si="20"/>
        <v>insert into ins_premium_det (premium_rcv_code,assorted_code, rec_amount,premium_rcv_detail_code,remaining_amt, payrec, mode_code,coinsurance_code,class_cd,it_remarks) values</v>
      </c>
      <c r="G365" s="33" t="str">
        <f t="shared" si="22"/>
        <v>('23May250004','050000858760','7540',(select max(to_number(i.premium_rcv_detail_code))+1
from ins_premium_det i),'7540','7540','09', '11000003','00','Request by Mr. reheel malik 23-may-2025');</v>
      </c>
      <c r="H365" s="34" t="str">
        <f t="shared" si="23"/>
        <v>insert into ins_premium_det (premium_rcv_code,assorted_code, rec_amount,premium_rcv_detail_code,remaining_amt, payrec, mode_code,coinsurance_code,class_cd,it_remarks) values('23May250004','050000858760','7540',(select max(to_number(i.premium_rcv_detail_code))+1
from ins_premium_det i),'7540','7540','09', '11000003','00','Request by Mr. reheel malik 23-may-2025');</v>
      </c>
    </row>
    <row r="366" spans="1:8" ht="75" x14ac:dyDescent="0.25">
      <c r="A366" s="22" t="s">
        <v>430</v>
      </c>
      <c r="B366" s="30" t="str">
        <f>VLOOKUP(A366,Sheet8!B:C,2,0)</f>
        <v>050000858777</v>
      </c>
      <c r="C366" s="22">
        <v>7540</v>
      </c>
      <c r="D366" s="31">
        <f t="shared" si="21"/>
        <v>7540</v>
      </c>
      <c r="E366" s="29" t="s">
        <v>1280</v>
      </c>
      <c r="F366" s="32" t="str">
        <f t="shared" si="20"/>
        <v>insert into ins_premium_det (premium_rcv_code,assorted_code, rec_amount,premium_rcv_detail_code,remaining_amt, payrec, mode_code,coinsurance_code,class_cd,it_remarks) values</v>
      </c>
      <c r="G366" s="33" t="str">
        <f t="shared" si="22"/>
        <v>('23May250004','050000858777','7540',(select max(to_number(i.premium_rcv_detail_code))+1
from ins_premium_det i),'7540','7540','09', '11000003','00','Request by Mr. reheel malik 23-may-2025');</v>
      </c>
      <c r="H366" s="34" t="str">
        <f t="shared" si="23"/>
        <v>insert into ins_premium_det (premium_rcv_code,assorted_code, rec_amount,premium_rcv_detail_code,remaining_amt, payrec, mode_code,coinsurance_code,class_cd,it_remarks) values('23May250004','050000858777','7540',(select max(to_number(i.premium_rcv_detail_code))+1
from ins_premium_det i),'7540','7540','09', '11000003','00','Request by Mr. reheel malik 23-may-2025');</v>
      </c>
    </row>
    <row r="367" spans="1:8" ht="75" x14ac:dyDescent="0.25">
      <c r="A367" s="22" t="s">
        <v>431</v>
      </c>
      <c r="B367" s="30" t="str">
        <f>VLOOKUP(A367,policy!B:C,2,0)</f>
        <v>040000193331</v>
      </c>
      <c r="C367" s="22">
        <v>7540</v>
      </c>
      <c r="D367" s="31">
        <f t="shared" si="21"/>
        <v>7540</v>
      </c>
      <c r="E367" s="29" t="s">
        <v>1280</v>
      </c>
      <c r="F367" s="32" t="str">
        <f t="shared" si="20"/>
        <v>insert into ins_premium_det (premium_rcv_code,assorted_code, rec_amount,premium_rcv_detail_code,remaining_amt, payrec, mode_code,coinsurance_code,class_cd,it_remarks) values</v>
      </c>
      <c r="G367" s="33" t="str">
        <f t="shared" si="22"/>
        <v>('23May250004','040000193331','7540',(select max(to_number(i.premium_rcv_detail_code))+1
from ins_premium_det i),'7540','7540','09', '11000003','00','Request by Mr. reheel malik 23-may-2025');</v>
      </c>
      <c r="H367" s="34" t="str">
        <f t="shared" si="23"/>
        <v>insert into ins_premium_det (premium_rcv_code,assorted_code, rec_amount,premium_rcv_detail_code,remaining_amt, payrec, mode_code,coinsurance_code,class_cd,it_remarks) values('23May250004','040000193331','7540',(select max(to_number(i.premium_rcv_detail_code))+1
from ins_premium_det i),'7540','7540','09', '11000003','00','Request by Mr. reheel malik 23-may-2025');</v>
      </c>
    </row>
    <row r="368" spans="1:8" ht="75" x14ac:dyDescent="0.25">
      <c r="A368" s="22" t="s">
        <v>432</v>
      </c>
      <c r="B368" s="30" t="str">
        <f>VLOOKUP(A368,policy!B:C,2,0)</f>
        <v>040000193332</v>
      </c>
      <c r="C368" s="22">
        <v>7540</v>
      </c>
      <c r="D368" s="31">
        <f t="shared" si="21"/>
        <v>7540</v>
      </c>
      <c r="E368" s="29" t="s">
        <v>1280</v>
      </c>
      <c r="F368" s="32" t="str">
        <f t="shared" si="20"/>
        <v>insert into ins_premium_det (premium_rcv_code,assorted_code, rec_amount,premium_rcv_detail_code,remaining_amt, payrec, mode_code,coinsurance_code,class_cd,it_remarks) values</v>
      </c>
      <c r="G368" s="33" t="str">
        <f t="shared" si="22"/>
        <v>('23May250004','040000193332','7540',(select max(to_number(i.premium_rcv_detail_code))+1
from ins_premium_det i),'7540','7540','09', '11000003','00','Request by Mr. reheel malik 23-may-2025');</v>
      </c>
      <c r="H368" s="34" t="str">
        <f t="shared" si="23"/>
        <v>insert into ins_premium_det (premium_rcv_code,assorted_code, rec_amount,premium_rcv_detail_code,remaining_amt, payrec, mode_code,coinsurance_code,class_cd,it_remarks) values('23May250004','040000193332','7540',(select max(to_number(i.premium_rcv_detail_code))+1
from ins_premium_det i),'7540','7540','09', '11000003','00','Request by Mr. reheel malik 23-may-2025');</v>
      </c>
    </row>
    <row r="369" spans="1:8" ht="75" x14ac:dyDescent="0.25">
      <c r="A369" s="22" t="s">
        <v>433</v>
      </c>
      <c r="B369" s="30" t="str">
        <f>VLOOKUP(A369,policy!B:C,2,0)</f>
        <v>040000193335</v>
      </c>
      <c r="C369" s="22">
        <v>7540</v>
      </c>
      <c r="D369" s="31">
        <f t="shared" si="21"/>
        <v>7540</v>
      </c>
      <c r="E369" s="29" t="s">
        <v>1280</v>
      </c>
      <c r="F369" s="32" t="str">
        <f t="shared" si="20"/>
        <v>insert into ins_premium_det (premium_rcv_code,assorted_code, rec_amount,premium_rcv_detail_code,remaining_amt, payrec, mode_code,coinsurance_code,class_cd,it_remarks) values</v>
      </c>
      <c r="G369" s="33" t="str">
        <f t="shared" si="22"/>
        <v>('23May250004','040000193335','7540',(select max(to_number(i.premium_rcv_detail_code))+1
from ins_premium_det i),'7540','7540','09', '11000003','00','Request by Mr. reheel malik 23-may-2025');</v>
      </c>
      <c r="H369" s="34" t="str">
        <f t="shared" si="23"/>
        <v>insert into ins_premium_det (premium_rcv_code,assorted_code, rec_amount,premium_rcv_detail_code,remaining_amt, payrec, mode_code,coinsurance_code,class_cd,it_remarks) values('23May250004','040000193335','7540',(select max(to_number(i.premium_rcv_detail_code))+1
from ins_premium_det i),'7540','7540','09', '11000003','00','Request by Mr. reheel malik 23-may-2025');</v>
      </c>
    </row>
    <row r="370" spans="1:8" ht="75" x14ac:dyDescent="0.25">
      <c r="A370" s="22" t="s">
        <v>434</v>
      </c>
      <c r="B370" s="30" t="str">
        <f>VLOOKUP(A370,policy!B:C,2,0)</f>
        <v>040000193338</v>
      </c>
      <c r="C370" s="22">
        <v>7540</v>
      </c>
      <c r="D370" s="31">
        <f t="shared" si="21"/>
        <v>7540</v>
      </c>
      <c r="E370" s="29" t="s">
        <v>1280</v>
      </c>
      <c r="F370" s="32" t="str">
        <f t="shared" si="20"/>
        <v>insert into ins_premium_det (premium_rcv_code,assorted_code, rec_amount,premium_rcv_detail_code,remaining_amt, payrec, mode_code,coinsurance_code,class_cd,it_remarks) values</v>
      </c>
      <c r="G370" s="33" t="str">
        <f t="shared" si="22"/>
        <v>('23May250004','040000193338','7540',(select max(to_number(i.premium_rcv_detail_code))+1
from ins_premium_det i),'7540','7540','09', '11000003','00','Request by Mr. reheel malik 23-may-2025');</v>
      </c>
      <c r="H370" s="34" t="str">
        <f t="shared" si="23"/>
        <v>insert into ins_premium_det (premium_rcv_code,assorted_code, rec_amount,premium_rcv_detail_code,remaining_amt, payrec, mode_code,coinsurance_code,class_cd,it_remarks) values('23May250004','040000193338','7540',(select max(to_number(i.premium_rcv_detail_code))+1
from ins_premium_det i),'7540','7540','09', '11000003','00','Request by Mr. reheel malik 23-may-2025');</v>
      </c>
    </row>
    <row r="371" spans="1:8" ht="75" x14ac:dyDescent="0.25">
      <c r="A371" s="22" t="s">
        <v>435</v>
      </c>
      <c r="B371" s="30" t="str">
        <f>VLOOKUP(A371,policy!B:C,2,0)</f>
        <v>040000193354</v>
      </c>
      <c r="C371" s="22">
        <v>7540</v>
      </c>
      <c r="D371" s="31">
        <f t="shared" si="21"/>
        <v>7540</v>
      </c>
      <c r="E371" s="29" t="s">
        <v>1280</v>
      </c>
      <c r="F371" s="32" t="str">
        <f t="shared" si="20"/>
        <v>insert into ins_premium_det (premium_rcv_code,assorted_code, rec_amount,premium_rcv_detail_code,remaining_amt, payrec, mode_code,coinsurance_code,class_cd,it_remarks) values</v>
      </c>
      <c r="G371" s="33" t="str">
        <f t="shared" si="22"/>
        <v>('23May250004','040000193354','7540',(select max(to_number(i.premium_rcv_detail_code))+1
from ins_premium_det i),'7540','7540','09', '11000003','00','Request by Mr. reheel malik 23-may-2025');</v>
      </c>
      <c r="H371" s="34" t="str">
        <f t="shared" si="23"/>
        <v>insert into ins_premium_det (premium_rcv_code,assorted_code, rec_amount,premium_rcv_detail_code,remaining_amt, payrec, mode_code,coinsurance_code,class_cd,it_remarks) values('23May250004','040000193354','7540',(select max(to_number(i.premium_rcv_detail_code))+1
from ins_premium_det i),'7540','7540','09', '11000003','00','Request by Mr. reheel malik 23-may-2025');</v>
      </c>
    </row>
    <row r="372" spans="1:8" ht="75" x14ac:dyDescent="0.25">
      <c r="A372" s="22" t="s">
        <v>436</v>
      </c>
      <c r="B372" s="30" t="str">
        <f>VLOOKUP(A372,policy!B:C,2,0)</f>
        <v>040000193355</v>
      </c>
      <c r="C372" s="22">
        <v>7540</v>
      </c>
      <c r="D372" s="31">
        <f t="shared" si="21"/>
        <v>7540</v>
      </c>
      <c r="E372" s="29" t="s">
        <v>1280</v>
      </c>
      <c r="F372" s="32" t="str">
        <f t="shared" si="20"/>
        <v>insert into ins_premium_det (premium_rcv_code,assorted_code, rec_amount,premium_rcv_detail_code,remaining_amt, payrec, mode_code,coinsurance_code,class_cd,it_remarks) values</v>
      </c>
      <c r="G372" s="33" t="str">
        <f t="shared" si="22"/>
        <v>('23May250004','040000193355','7540',(select max(to_number(i.premium_rcv_detail_code))+1
from ins_premium_det i),'7540','7540','09', '11000003','00','Request by Mr. reheel malik 23-may-2025');</v>
      </c>
      <c r="H372" s="34" t="str">
        <f t="shared" si="23"/>
        <v>insert into ins_premium_det (premium_rcv_code,assorted_code, rec_amount,premium_rcv_detail_code,remaining_amt, payrec, mode_code,coinsurance_code,class_cd,it_remarks) values('23May250004','040000193355','7540',(select max(to_number(i.premium_rcv_detail_code))+1
from ins_premium_det i),'7540','7540','09', '11000003','00','Request by Mr. reheel malik 23-may-2025');</v>
      </c>
    </row>
    <row r="373" spans="1:8" ht="75" x14ac:dyDescent="0.25">
      <c r="A373" s="22" t="s">
        <v>437</v>
      </c>
      <c r="B373" s="30" t="str">
        <f>VLOOKUP(A373,policy!B:C,2,0)</f>
        <v>040000195045</v>
      </c>
      <c r="C373" s="22">
        <v>7540</v>
      </c>
      <c r="D373" s="31">
        <f t="shared" si="21"/>
        <v>7540</v>
      </c>
      <c r="E373" s="29" t="s">
        <v>1280</v>
      </c>
      <c r="F373" s="32" t="str">
        <f t="shared" si="20"/>
        <v>insert into ins_premium_det (premium_rcv_code,assorted_code, rec_amount,premium_rcv_detail_code,remaining_amt, payrec, mode_code,coinsurance_code,class_cd,it_remarks) values</v>
      </c>
      <c r="G373" s="33" t="str">
        <f t="shared" si="22"/>
        <v>('23May250004','040000195045','7540',(select max(to_number(i.premium_rcv_detail_code))+1
from ins_premium_det i),'7540','7540','09', '11000003','00','Request by Mr. reheel malik 23-may-2025');</v>
      </c>
      <c r="H373" s="34" t="str">
        <f t="shared" si="23"/>
        <v>insert into ins_premium_det (premium_rcv_code,assorted_code, rec_amount,premium_rcv_detail_code,remaining_amt, payrec, mode_code,coinsurance_code,class_cd,it_remarks) values('23May250004','040000195045','7540',(select max(to_number(i.premium_rcv_detail_code))+1
from ins_premium_det i),'7540','7540','09', '11000003','00','Request by Mr. reheel malik 23-may-2025');</v>
      </c>
    </row>
    <row r="374" spans="1:8" ht="75" x14ac:dyDescent="0.25">
      <c r="A374" s="22" t="s">
        <v>438</v>
      </c>
      <c r="B374" s="30" t="str">
        <f>VLOOKUP(A374,policy!B:C,2,0)</f>
        <v>040000195048</v>
      </c>
      <c r="C374" s="22">
        <v>7540</v>
      </c>
      <c r="D374" s="31">
        <f t="shared" si="21"/>
        <v>7540</v>
      </c>
      <c r="E374" s="29" t="s">
        <v>1280</v>
      </c>
      <c r="F374" s="32" t="str">
        <f t="shared" si="20"/>
        <v>insert into ins_premium_det (premium_rcv_code,assorted_code, rec_amount,premium_rcv_detail_code,remaining_amt, payrec, mode_code,coinsurance_code,class_cd,it_remarks) values</v>
      </c>
      <c r="G374" s="33" t="str">
        <f t="shared" si="22"/>
        <v>('23May250004','040000195048','7540',(select max(to_number(i.premium_rcv_detail_code))+1
from ins_premium_det i),'7540','7540','09', '11000003','00','Request by Mr. reheel malik 23-may-2025');</v>
      </c>
      <c r="H374" s="34" t="str">
        <f t="shared" si="23"/>
        <v>insert into ins_premium_det (premium_rcv_code,assorted_code, rec_amount,premium_rcv_detail_code,remaining_amt, payrec, mode_code,coinsurance_code,class_cd,it_remarks) values('23May250004','040000195048','7540',(select max(to_number(i.premium_rcv_detail_code))+1
from ins_premium_det i),'7540','7540','09', '11000003','00','Request by Mr. reheel malik 23-may-2025');</v>
      </c>
    </row>
    <row r="375" spans="1:8" ht="75" x14ac:dyDescent="0.25">
      <c r="A375" s="22" t="s">
        <v>439</v>
      </c>
      <c r="B375" s="30" t="str">
        <f>VLOOKUP(A375,policy!B:C,2,0)</f>
        <v>040000195053</v>
      </c>
      <c r="C375" s="22">
        <v>7540</v>
      </c>
      <c r="D375" s="31">
        <f t="shared" si="21"/>
        <v>7540</v>
      </c>
      <c r="E375" s="29" t="s">
        <v>1280</v>
      </c>
      <c r="F375" s="32" t="str">
        <f t="shared" si="20"/>
        <v>insert into ins_premium_det (premium_rcv_code,assorted_code, rec_amount,premium_rcv_detail_code,remaining_amt, payrec, mode_code,coinsurance_code,class_cd,it_remarks) values</v>
      </c>
      <c r="G375" s="33" t="str">
        <f t="shared" si="22"/>
        <v>('23May250004','040000195053','7540',(select max(to_number(i.premium_rcv_detail_code))+1
from ins_premium_det i),'7540','7540','09', '11000003','00','Request by Mr. reheel malik 23-may-2025');</v>
      </c>
      <c r="H375" s="34" t="str">
        <f t="shared" si="23"/>
        <v>insert into ins_premium_det (premium_rcv_code,assorted_code, rec_amount,premium_rcv_detail_code,remaining_amt, payrec, mode_code,coinsurance_code,class_cd,it_remarks) values('23May250004','040000195053','7540',(select max(to_number(i.premium_rcv_detail_code))+1
from ins_premium_det i),'7540','7540','09', '11000003','00','Request by Mr. reheel malik 23-may-2025');</v>
      </c>
    </row>
    <row r="376" spans="1:8" ht="75" x14ac:dyDescent="0.25">
      <c r="A376" s="22" t="s">
        <v>440</v>
      </c>
      <c r="B376" s="30" t="str">
        <f>VLOOKUP(A376,policy!B:C,2,0)</f>
        <v>040000195057</v>
      </c>
      <c r="C376" s="22">
        <v>7540</v>
      </c>
      <c r="D376" s="31">
        <f t="shared" si="21"/>
        <v>7540</v>
      </c>
      <c r="E376" s="29" t="s">
        <v>1280</v>
      </c>
      <c r="F376" s="32" t="str">
        <f t="shared" si="20"/>
        <v>insert into ins_premium_det (premium_rcv_code,assorted_code, rec_amount,premium_rcv_detail_code,remaining_amt, payrec, mode_code,coinsurance_code,class_cd,it_remarks) values</v>
      </c>
      <c r="G376" s="33" t="str">
        <f t="shared" si="22"/>
        <v>('23May250004','040000195057','7540',(select max(to_number(i.premium_rcv_detail_code))+1
from ins_premium_det i),'7540','7540','09', '11000003','00','Request by Mr. reheel malik 23-may-2025');</v>
      </c>
      <c r="H376" s="34" t="str">
        <f t="shared" si="23"/>
        <v>insert into ins_premium_det (premium_rcv_code,assorted_code, rec_amount,premium_rcv_detail_code,remaining_amt, payrec, mode_code,coinsurance_code,class_cd,it_remarks) values('23May250004','040000195057','7540',(select max(to_number(i.premium_rcv_detail_code))+1
from ins_premium_det i),'7540','7540','09', '11000003','00','Request by Mr. reheel malik 23-may-2025');</v>
      </c>
    </row>
    <row r="377" spans="1:8" ht="75" x14ac:dyDescent="0.25">
      <c r="A377" s="22" t="s">
        <v>441</v>
      </c>
      <c r="B377" s="30" t="str">
        <f>VLOOKUP(A377,policy!B:C,2,0)</f>
        <v>040000195060</v>
      </c>
      <c r="C377" s="22">
        <v>7540</v>
      </c>
      <c r="D377" s="31">
        <f t="shared" si="21"/>
        <v>7540</v>
      </c>
      <c r="E377" s="29" t="s">
        <v>1280</v>
      </c>
      <c r="F377" s="32" t="str">
        <f t="shared" si="20"/>
        <v>insert into ins_premium_det (premium_rcv_code,assorted_code, rec_amount,premium_rcv_detail_code,remaining_amt, payrec, mode_code,coinsurance_code,class_cd,it_remarks) values</v>
      </c>
      <c r="G377" s="33" t="str">
        <f t="shared" si="22"/>
        <v>('23May250004','040000195060','7540',(select max(to_number(i.premium_rcv_detail_code))+1
from ins_premium_det i),'7540','7540','09', '11000003','00','Request by Mr. reheel malik 23-may-2025');</v>
      </c>
      <c r="H377" s="34" t="str">
        <f t="shared" si="23"/>
        <v>insert into ins_premium_det (premium_rcv_code,assorted_code, rec_amount,premium_rcv_detail_code,remaining_amt, payrec, mode_code,coinsurance_code,class_cd,it_remarks) values('23May250004','040000195060','7540',(select max(to_number(i.premium_rcv_detail_code))+1
from ins_premium_det i),'7540','7540','09', '11000003','00','Request by Mr. reheel malik 23-may-2025');</v>
      </c>
    </row>
    <row r="378" spans="1:8" ht="75" x14ac:dyDescent="0.25">
      <c r="A378" s="22" t="s">
        <v>442</v>
      </c>
      <c r="B378" s="30" t="str">
        <f>VLOOKUP(A378,policy!B:C,2,0)</f>
        <v>040000195606</v>
      </c>
      <c r="C378" s="22">
        <v>7540</v>
      </c>
      <c r="D378" s="31">
        <f t="shared" si="21"/>
        <v>7540</v>
      </c>
      <c r="E378" s="29" t="s">
        <v>1280</v>
      </c>
      <c r="F378" s="32" t="str">
        <f t="shared" si="20"/>
        <v>insert into ins_premium_det (premium_rcv_code,assorted_code, rec_amount,premium_rcv_detail_code,remaining_amt, payrec, mode_code,coinsurance_code,class_cd,it_remarks) values</v>
      </c>
      <c r="G378" s="33" t="str">
        <f t="shared" si="22"/>
        <v>('23May250004','040000195606','7540',(select max(to_number(i.premium_rcv_detail_code))+1
from ins_premium_det i),'7540','7540','09', '11000003','00','Request by Mr. reheel malik 23-may-2025');</v>
      </c>
      <c r="H378" s="34" t="str">
        <f t="shared" si="23"/>
        <v>insert into ins_premium_det (premium_rcv_code,assorted_code, rec_amount,premium_rcv_detail_code,remaining_amt, payrec, mode_code,coinsurance_code,class_cd,it_remarks) values('23May250004','040000195606','7540',(select max(to_number(i.premium_rcv_detail_code))+1
from ins_premium_det i),'7540','7540','09', '11000003','00','Request by Mr. reheel malik 23-may-2025');</v>
      </c>
    </row>
    <row r="379" spans="1:8" ht="75" x14ac:dyDescent="0.25">
      <c r="A379" s="22" t="s">
        <v>443</v>
      </c>
      <c r="B379" s="30" t="str">
        <f>VLOOKUP(A379,policy!B:C,2,0)</f>
        <v>040000195609</v>
      </c>
      <c r="C379" s="22">
        <v>7540</v>
      </c>
      <c r="D379" s="31">
        <f t="shared" si="21"/>
        <v>7540</v>
      </c>
      <c r="E379" s="29" t="s">
        <v>1280</v>
      </c>
      <c r="F379" s="32" t="str">
        <f t="shared" si="20"/>
        <v>insert into ins_premium_det (premium_rcv_code,assorted_code, rec_amount,premium_rcv_detail_code,remaining_amt, payrec, mode_code,coinsurance_code,class_cd,it_remarks) values</v>
      </c>
      <c r="G379" s="33" t="str">
        <f t="shared" si="22"/>
        <v>('23May250004','040000195609','7540',(select max(to_number(i.premium_rcv_detail_code))+1
from ins_premium_det i),'7540','7540','09', '11000003','00','Request by Mr. reheel malik 23-may-2025');</v>
      </c>
      <c r="H379" s="34" t="str">
        <f t="shared" si="23"/>
        <v>insert into ins_premium_det (premium_rcv_code,assorted_code, rec_amount,premium_rcv_detail_code,remaining_amt, payrec, mode_code,coinsurance_code,class_cd,it_remarks) values('23May250004','040000195609','7540',(select max(to_number(i.premium_rcv_detail_code))+1
from ins_premium_det i),'7540','7540','09', '11000003','00','Request by Mr. reheel malik 23-may-2025');</v>
      </c>
    </row>
    <row r="380" spans="1:8" ht="75" x14ac:dyDescent="0.25">
      <c r="A380" s="22" t="s">
        <v>444</v>
      </c>
      <c r="B380" s="30" t="str">
        <f>VLOOKUP(A380,policy!B:C,2,0)</f>
        <v>040000195611</v>
      </c>
      <c r="C380" s="22">
        <v>7540</v>
      </c>
      <c r="D380" s="31">
        <f t="shared" si="21"/>
        <v>7540</v>
      </c>
      <c r="E380" s="29" t="s">
        <v>1280</v>
      </c>
      <c r="F380" s="32" t="str">
        <f t="shared" si="20"/>
        <v>insert into ins_premium_det (premium_rcv_code,assorted_code, rec_amount,premium_rcv_detail_code,remaining_amt, payrec, mode_code,coinsurance_code,class_cd,it_remarks) values</v>
      </c>
      <c r="G380" s="33" t="str">
        <f t="shared" si="22"/>
        <v>('23May250004','040000195611','7540',(select max(to_number(i.premium_rcv_detail_code))+1
from ins_premium_det i),'7540','7540','09', '11000003','00','Request by Mr. reheel malik 23-may-2025');</v>
      </c>
      <c r="H380" s="34" t="str">
        <f t="shared" si="23"/>
        <v>insert into ins_premium_det (premium_rcv_code,assorted_code, rec_amount,premium_rcv_detail_code,remaining_amt, payrec, mode_code,coinsurance_code,class_cd,it_remarks) values('23May250004','040000195611','7540',(select max(to_number(i.premium_rcv_detail_code))+1
from ins_premium_det i),'7540','7540','09', '11000003','00','Request by Mr. reheel malik 23-may-2025');</v>
      </c>
    </row>
    <row r="381" spans="1:8" ht="75" x14ac:dyDescent="0.25">
      <c r="A381" s="22" t="s">
        <v>445</v>
      </c>
      <c r="B381" s="30" t="str">
        <f>VLOOKUP(A381,policy!B:C,2,0)</f>
        <v>040000195616</v>
      </c>
      <c r="C381" s="22">
        <v>7540</v>
      </c>
      <c r="D381" s="31">
        <f t="shared" si="21"/>
        <v>7540</v>
      </c>
      <c r="E381" s="29" t="s">
        <v>1280</v>
      </c>
      <c r="F381" s="32" t="str">
        <f t="shared" si="20"/>
        <v>insert into ins_premium_det (premium_rcv_code,assorted_code, rec_amount,premium_rcv_detail_code,remaining_amt, payrec, mode_code,coinsurance_code,class_cd,it_remarks) values</v>
      </c>
      <c r="G381" s="33" t="str">
        <f t="shared" si="22"/>
        <v>('23May250004','040000195616','7540',(select max(to_number(i.premium_rcv_detail_code))+1
from ins_premium_det i),'7540','7540','09', '11000003','00','Request by Mr. reheel malik 23-may-2025');</v>
      </c>
      <c r="H381" s="34" t="str">
        <f t="shared" si="23"/>
        <v>insert into ins_premium_det (premium_rcv_code,assorted_code, rec_amount,premium_rcv_detail_code,remaining_amt, payrec, mode_code,coinsurance_code,class_cd,it_remarks) values('23May250004','040000195616','7540',(select max(to_number(i.premium_rcv_detail_code))+1
from ins_premium_det i),'7540','7540','09', '11000003','00','Request by Mr. reheel malik 23-may-2025');</v>
      </c>
    </row>
    <row r="382" spans="1:8" ht="75" x14ac:dyDescent="0.25">
      <c r="A382" s="22" t="s">
        <v>446</v>
      </c>
      <c r="B382" s="30" t="str">
        <f>VLOOKUP(A382,policy!B:C,2,0)</f>
        <v>040000195617</v>
      </c>
      <c r="C382" s="22">
        <v>7540</v>
      </c>
      <c r="D382" s="31">
        <f t="shared" si="21"/>
        <v>7540</v>
      </c>
      <c r="E382" s="29" t="s">
        <v>1280</v>
      </c>
      <c r="F382" s="32" t="str">
        <f t="shared" si="20"/>
        <v>insert into ins_premium_det (premium_rcv_code,assorted_code, rec_amount,premium_rcv_detail_code,remaining_amt, payrec, mode_code,coinsurance_code,class_cd,it_remarks) values</v>
      </c>
      <c r="G382" s="33" t="str">
        <f t="shared" si="22"/>
        <v>('23May250004','040000195617','7540',(select max(to_number(i.premium_rcv_detail_code))+1
from ins_premium_det i),'7540','7540','09', '11000003','00','Request by Mr. reheel malik 23-may-2025');</v>
      </c>
      <c r="H382" s="34" t="str">
        <f t="shared" si="23"/>
        <v>insert into ins_premium_det (premium_rcv_code,assorted_code, rec_amount,premium_rcv_detail_code,remaining_amt, payrec, mode_code,coinsurance_code,class_cd,it_remarks) values('23May250004','040000195617','7540',(select max(to_number(i.premium_rcv_detail_code))+1
from ins_premium_det i),'7540','7540','09', '11000003','00','Request by Mr. reheel malik 23-may-2025');</v>
      </c>
    </row>
    <row r="383" spans="1:8" ht="75" x14ac:dyDescent="0.25">
      <c r="A383" s="22" t="s">
        <v>447</v>
      </c>
      <c r="B383" s="30" t="str">
        <f>VLOOKUP(A383,policy!B:C,2,0)</f>
        <v>040000195619</v>
      </c>
      <c r="C383" s="22">
        <v>7540</v>
      </c>
      <c r="D383" s="31">
        <f t="shared" si="21"/>
        <v>7540</v>
      </c>
      <c r="E383" s="29" t="s">
        <v>1280</v>
      </c>
      <c r="F383" s="32" t="str">
        <f t="shared" si="20"/>
        <v>insert into ins_premium_det (premium_rcv_code,assorted_code, rec_amount,premium_rcv_detail_code,remaining_amt, payrec, mode_code,coinsurance_code,class_cd,it_remarks) values</v>
      </c>
      <c r="G383" s="33" t="str">
        <f t="shared" si="22"/>
        <v>('23May250004','040000195619','7540',(select max(to_number(i.premium_rcv_detail_code))+1
from ins_premium_det i),'7540','7540','09', '11000003','00','Request by Mr. reheel malik 23-may-2025');</v>
      </c>
      <c r="H383" s="34" t="str">
        <f t="shared" si="23"/>
        <v>insert into ins_premium_det (premium_rcv_code,assorted_code, rec_amount,premium_rcv_detail_code,remaining_amt, payrec, mode_code,coinsurance_code,class_cd,it_remarks) values('23May250004','040000195619','7540',(select max(to_number(i.premium_rcv_detail_code))+1
from ins_premium_det i),'7540','7540','09', '11000003','00','Request by Mr. reheel malik 23-may-2025');</v>
      </c>
    </row>
    <row r="384" spans="1:8" ht="75" x14ac:dyDescent="0.25">
      <c r="A384" s="22" t="s">
        <v>448</v>
      </c>
      <c r="B384" s="30" t="str">
        <f>VLOOKUP(A384,policy!B:C,2,0)</f>
        <v>040000196408</v>
      </c>
      <c r="C384" s="22">
        <v>7540</v>
      </c>
      <c r="D384" s="31">
        <f t="shared" si="21"/>
        <v>7540</v>
      </c>
      <c r="E384" s="29" t="s">
        <v>1280</v>
      </c>
      <c r="F384" s="32" t="str">
        <f t="shared" si="20"/>
        <v>insert into ins_premium_det (premium_rcv_code,assorted_code, rec_amount,premium_rcv_detail_code,remaining_amt, payrec, mode_code,coinsurance_code,class_cd,it_remarks) values</v>
      </c>
      <c r="G384" s="33" t="str">
        <f t="shared" si="22"/>
        <v>('23May250004','040000196408','7540',(select max(to_number(i.premium_rcv_detail_code))+1
from ins_premium_det i),'7540','7540','09', '11000003','00','Request by Mr. reheel malik 23-may-2025');</v>
      </c>
      <c r="H384" s="34" t="str">
        <f t="shared" si="23"/>
        <v>insert into ins_premium_det (premium_rcv_code,assorted_code, rec_amount,premium_rcv_detail_code,remaining_amt, payrec, mode_code,coinsurance_code,class_cd,it_remarks) values('23May250004','040000196408','7540',(select max(to_number(i.premium_rcv_detail_code))+1
from ins_premium_det i),'7540','7540','09', '11000003','00','Request by Mr. reheel malik 23-may-2025');</v>
      </c>
    </row>
    <row r="385" spans="1:8" ht="75" x14ac:dyDescent="0.25">
      <c r="A385" s="22" t="s">
        <v>449</v>
      </c>
      <c r="B385" s="30" t="str">
        <f>VLOOKUP(A385,policy!B:C,2,0)</f>
        <v>040000197541</v>
      </c>
      <c r="C385" s="22">
        <v>7540</v>
      </c>
      <c r="D385" s="31">
        <f t="shared" si="21"/>
        <v>7540</v>
      </c>
      <c r="E385" s="29" t="s">
        <v>1280</v>
      </c>
      <c r="F385" s="32" t="str">
        <f t="shared" si="20"/>
        <v>insert into ins_premium_det (premium_rcv_code,assorted_code, rec_amount,premium_rcv_detail_code,remaining_amt, payrec, mode_code,coinsurance_code,class_cd,it_remarks) values</v>
      </c>
      <c r="G385" s="33" t="str">
        <f t="shared" si="22"/>
        <v>('23May250004','040000197541','7540',(select max(to_number(i.premium_rcv_detail_code))+1
from ins_premium_det i),'7540','7540','09', '11000003','00','Request by Mr. reheel malik 23-may-2025');</v>
      </c>
      <c r="H385" s="34" t="str">
        <f t="shared" si="23"/>
        <v>insert into ins_premium_det (premium_rcv_code,assorted_code, rec_amount,premium_rcv_detail_code,remaining_amt, payrec, mode_code,coinsurance_code,class_cd,it_remarks) values('23May250004','040000197541','7540',(select max(to_number(i.premium_rcv_detail_code))+1
from ins_premium_det i),'7540','7540','09', '11000003','00','Request by Mr. reheel malik 23-may-2025');</v>
      </c>
    </row>
    <row r="386" spans="1:8" ht="75" x14ac:dyDescent="0.25">
      <c r="A386" s="22" t="s">
        <v>450</v>
      </c>
      <c r="B386" s="30" t="str">
        <f>VLOOKUP(A386,Sheet8!B:C,2,0)</f>
        <v>050000855916</v>
      </c>
      <c r="C386" s="22">
        <v>7540</v>
      </c>
      <c r="D386" s="31">
        <f t="shared" si="21"/>
        <v>7540</v>
      </c>
      <c r="E386" s="29" t="s">
        <v>1280</v>
      </c>
      <c r="F386" s="32" t="str">
        <f t="shared" ref="F386:F417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33" t="str">
        <f t="shared" si="22"/>
        <v>('23May250004','050000855916','7540',(select max(to_number(i.premium_rcv_detail_code))+1
from ins_premium_det i),'7540','7540','09', '11000003','00','Request by Mr. reheel malik 23-may-2025');</v>
      </c>
      <c r="H386" s="34" t="str">
        <f t="shared" si="23"/>
        <v>insert into ins_premium_det (premium_rcv_code,assorted_code, rec_amount,premium_rcv_detail_code,remaining_amt, payrec, mode_code,coinsurance_code,class_cd,it_remarks) values('23May250004','050000855916','7540',(select max(to_number(i.premium_rcv_detail_code))+1
from ins_premium_det i),'7540','7540','09', '11000003','00','Request by Mr. reheel malik 23-may-2025');</v>
      </c>
    </row>
    <row r="387" spans="1:8" ht="75" x14ac:dyDescent="0.25">
      <c r="A387" s="22" t="s">
        <v>451</v>
      </c>
      <c r="B387" s="30" t="str">
        <f>VLOOKUP(A387,Sheet8!B:C,2,0)</f>
        <v>050000855917</v>
      </c>
      <c r="C387" s="22">
        <v>7540</v>
      </c>
      <c r="D387" s="31">
        <f t="shared" ref="D387:D417" si="25">ROUND(C387,0)</f>
        <v>7540</v>
      </c>
      <c r="E387" s="29" t="s">
        <v>1280</v>
      </c>
      <c r="F387" s="32" t="str">
        <f t="shared" si="24"/>
        <v>insert into ins_premium_det (premium_rcv_code,assorted_code, rec_amount,premium_rcv_detail_code,remaining_amt, payrec, mode_code,coinsurance_code,class_cd,it_remarks) values</v>
      </c>
      <c r="G387" s="33" t="str">
        <f t="shared" ref="G387:G417" si="26">"('"&amp;E387&amp;"','"&amp;B387&amp;"','"&amp;C387&amp;"',(select max(to_number(i.premium_rcv_detail_code))+1
from ins_premium_det i),'"&amp;C387&amp;"','"&amp;C387&amp;"','09', '11000003','00','Request by Mr. reheel malik 23-may-2025');"</f>
        <v>('23May250004','050000855917','7540',(select max(to_number(i.premium_rcv_detail_code))+1
from ins_premium_det i),'7540','7540','09', '11000003','00','Request by Mr. reheel malik 23-may-2025');</v>
      </c>
      <c r="H387" s="34" t="str">
        <f t="shared" ref="H387:H417" si="27">F387&amp;G387</f>
        <v>insert into ins_premium_det (premium_rcv_code,assorted_code, rec_amount,premium_rcv_detail_code,remaining_amt, payrec, mode_code,coinsurance_code,class_cd,it_remarks) values('23May250004','050000855917','7540',(select max(to_number(i.premium_rcv_detail_code))+1
from ins_premium_det i),'7540','7540','09', '11000003','00','Request by Mr. reheel malik 23-may-2025');</v>
      </c>
    </row>
    <row r="388" spans="1:8" ht="75" x14ac:dyDescent="0.25">
      <c r="A388" s="22" t="s">
        <v>452</v>
      </c>
      <c r="B388" s="30" t="str">
        <f>VLOOKUP(A388,Sheet7!B:C,2,0)</f>
        <v>070000176396</v>
      </c>
      <c r="C388" s="22">
        <v>7540</v>
      </c>
      <c r="D388" s="31">
        <f t="shared" si="25"/>
        <v>7540</v>
      </c>
      <c r="E388" s="29" t="s">
        <v>1280</v>
      </c>
      <c r="F388" s="32" t="str">
        <f t="shared" si="24"/>
        <v>insert into ins_premium_det (premium_rcv_code,assorted_code, rec_amount,premium_rcv_detail_code,remaining_amt, payrec, mode_code,coinsurance_code,class_cd,it_remarks) values</v>
      </c>
      <c r="G388" s="33" t="str">
        <f t="shared" si="26"/>
        <v>('23May250004','070000176396','7540',(select max(to_number(i.premium_rcv_detail_code))+1
from ins_premium_det i),'7540','7540','09', '11000003','00','Request by Mr. reheel malik 23-may-2025');</v>
      </c>
      <c r="H388" s="34" t="str">
        <f t="shared" si="27"/>
        <v>insert into ins_premium_det (premium_rcv_code,assorted_code, rec_amount,premium_rcv_detail_code,remaining_amt, payrec, mode_code,coinsurance_code,class_cd,it_remarks) values('23May250004','070000176396','7540',(select max(to_number(i.premium_rcv_detail_code))+1
from ins_premium_det i),'7540','7540','09', '11000003','00','Request by Mr. reheel malik 23-may-2025');</v>
      </c>
    </row>
    <row r="389" spans="1:8" ht="75" x14ac:dyDescent="0.25">
      <c r="A389" s="22" t="s">
        <v>453</v>
      </c>
      <c r="B389" s="30" t="str">
        <f>VLOOKUP(A389,Sheet7!B:C,2,0)</f>
        <v>070000176399</v>
      </c>
      <c r="C389" s="22">
        <v>7540</v>
      </c>
      <c r="D389" s="31">
        <f t="shared" si="25"/>
        <v>7540</v>
      </c>
      <c r="E389" s="29" t="s">
        <v>1280</v>
      </c>
      <c r="F389" s="32" t="str">
        <f t="shared" si="24"/>
        <v>insert into ins_premium_det (premium_rcv_code,assorted_code, rec_amount,premium_rcv_detail_code,remaining_amt, payrec, mode_code,coinsurance_code,class_cd,it_remarks) values</v>
      </c>
      <c r="G389" s="33" t="str">
        <f t="shared" si="26"/>
        <v>('23May250004','070000176399','7540',(select max(to_number(i.premium_rcv_detail_code))+1
from ins_premium_det i),'7540','7540','09', '11000003','00','Request by Mr. reheel malik 23-may-2025');</v>
      </c>
      <c r="H389" s="34" t="str">
        <f t="shared" si="27"/>
        <v>insert into ins_premium_det (premium_rcv_code,assorted_code, rec_amount,premium_rcv_detail_code,remaining_amt, payrec, mode_code,coinsurance_code,class_cd,it_remarks) values('23May250004','070000176399','7540',(select max(to_number(i.premium_rcv_detail_code))+1
from ins_premium_det i),'7540','7540','09', '11000003','00','Request by Mr. reheel malik 23-may-2025');</v>
      </c>
    </row>
    <row r="390" spans="1:8" ht="75" x14ac:dyDescent="0.25">
      <c r="A390" s="22" t="s">
        <v>454</v>
      </c>
      <c r="B390" s="30" t="str">
        <f>VLOOKUP(A390,Sheet7!B:C,2,0)</f>
        <v>070000177196</v>
      </c>
      <c r="C390" s="22">
        <v>7540</v>
      </c>
      <c r="D390" s="31">
        <f t="shared" si="25"/>
        <v>7540</v>
      </c>
      <c r="E390" s="29" t="s">
        <v>1280</v>
      </c>
      <c r="F390" s="32" t="str">
        <f t="shared" si="24"/>
        <v>insert into ins_premium_det (premium_rcv_code,assorted_code, rec_amount,premium_rcv_detail_code,remaining_amt, payrec, mode_code,coinsurance_code,class_cd,it_remarks) values</v>
      </c>
      <c r="G390" s="33" t="str">
        <f t="shared" si="26"/>
        <v>('23May250004','070000177196','7540',(select max(to_number(i.premium_rcv_detail_code))+1
from ins_premium_det i),'7540','7540','09', '11000003','00','Request by Mr. reheel malik 23-may-2025');</v>
      </c>
      <c r="H390" s="34" t="str">
        <f t="shared" si="27"/>
        <v>insert into ins_premium_det (premium_rcv_code,assorted_code, rec_amount,premium_rcv_detail_code,remaining_amt, payrec, mode_code,coinsurance_code,class_cd,it_remarks) values('23May250004','070000177196','7540',(select max(to_number(i.premium_rcv_detail_code))+1
from ins_premium_det i),'7540','7540','09', '11000003','00','Request by Mr. reheel malik 23-may-2025');</v>
      </c>
    </row>
    <row r="391" spans="1:8" ht="75" x14ac:dyDescent="0.25">
      <c r="A391" s="22" t="s">
        <v>455</v>
      </c>
      <c r="B391" s="30" t="str">
        <f>VLOOKUP(A391,Sheet7!B:C,2,0)</f>
        <v>070000177199</v>
      </c>
      <c r="C391" s="22">
        <v>7540</v>
      </c>
      <c r="D391" s="31">
        <f t="shared" si="25"/>
        <v>7540</v>
      </c>
      <c r="E391" s="29" t="s">
        <v>1280</v>
      </c>
      <c r="F391" s="32" t="str">
        <f t="shared" si="24"/>
        <v>insert into ins_premium_det (premium_rcv_code,assorted_code, rec_amount,premium_rcv_detail_code,remaining_amt, payrec, mode_code,coinsurance_code,class_cd,it_remarks) values</v>
      </c>
      <c r="G391" s="33" t="str">
        <f t="shared" si="26"/>
        <v>('23May250004','070000177199','7540',(select max(to_number(i.premium_rcv_detail_code))+1
from ins_premium_det i),'7540','7540','09', '11000003','00','Request by Mr. reheel malik 23-may-2025');</v>
      </c>
      <c r="H391" s="34" t="str">
        <f t="shared" si="27"/>
        <v>insert into ins_premium_det (premium_rcv_code,assorted_code, rec_amount,premium_rcv_detail_code,remaining_amt, payrec, mode_code,coinsurance_code,class_cd,it_remarks) values('23May250004','070000177199','7540',(select max(to_number(i.premium_rcv_detail_code))+1
from ins_premium_det i),'7540','7540','09', '11000003','00','Request by Mr. reheel malik 23-may-2025');</v>
      </c>
    </row>
    <row r="392" spans="1:8" ht="75" x14ac:dyDescent="0.25">
      <c r="A392" s="22" t="s">
        <v>456</v>
      </c>
      <c r="B392" s="30" t="str">
        <f>VLOOKUP(A392,policy!B:C,2,0)</f>
        <v>070000178404</v>
      </c>
      <c r="C392" s="22">
        <v>7540</v>
      </c>
      <c r="D392" s="31">
        <f t="shared" si="25"/>
        <v>7540</v>
      </c>
      <c r="E392" s="29" t="s">
        <v>1280</v>
      </c>
      <c r="F392" s="32" t="str">
        <f t="shared" si="24"/>
        <v>insert into ins_premium_det (premium_rcv_code,assorted_code, rec_amount,premium_rcv_detail_code,remaining_amt, payrec, mode_code,coinsurance_code,class_cd,it_remarks) values</v>
      </c>
      <c r="G392" s="33" t="str">
        <f t="shared" si="26"/>
        <v>('23May250004','070000178404','7540',(select max(to_number(i.premium_rcv_detail_code))+1
from ins_premium_det i),'7540','7540','09', '11000003','00','Request by Mr. reheel malik 23-may-2025');</v>
      </c>
      <c r="H392" s="34" t="str">
        <f t="shared" si="27"/>
        <v>insert into ins_premium_det (premium_rcv_code,assorted_code, rec_amount,premium_rcv_detail_code,remaining_amt, payrec, mode_code,coinsurance_code,class_cd,it_remarks) values('23May250004','070000178404','7540',(select max(to_number(i.premium_rcv_detail_code))+1
from ins_premium_det i),'7540','7540','09', '11000003','00','Request by Mr. reheel malik 23-may-2025');</v>
      </c>
    </row>
    <row r="393" spans="1:8" ht="75" x14ac:dyDescent="0.25">
      <c r="A393" s="22" t="s">
        <v>457</v>
      </c>
      <c r="B393" s="30" t="str">
        <f>VLOOKUP(A393,Sheet7!B:C,2,0)</f>
        <v>070000178405</v>
      </c>
      <c r="C393" s="22">
        <v>7540</v>
      </c>
      <c r="D393" s="31">
        <f t="shared" si="25"/>
        <v>7540</v>
      </c>
      <c r="E393" s="29" t="s">
        <v>1280</v>
      </c>
      <c r="F393" s="32" t="str">
        <f t="shared" si="24"/>
        <v>insert into ins_premium_det (premium_rcv_code,assorted_code, rec_amount,premium_rcv_detail_code,remaining_amt, payrec, mode_code,coinsurance_code,class_cd,it_remarks) values</v>
      </c>
      <c r="G393" s="33" t="str">
        <f t="shared" si="26"/>
        <v>('23May250004','070000178405','7540',(select max(to_number(i.premium_rcv_detail_code))+1
from ins_premium_det i),'7540','7540','09', '11000003','00','Request by Mr. reheel malik 23-may-2025');</v>
      </c>
      <c r="H393" s="34" t="str">
        <f t="shared" si="27"/>
        <v>insert into ins_premium_det (premium_rcv_code,assorted_code, rec_amount,premium_rcv_detail_code,remaining_amt, payrec, mode_code,coinsurance_code,class_cd,it_remarks) values('23May250004','070000178405','7540',(select max(to_number(i.premium_rcv_detail_code))+1
from ins_premium_det i),'7540','7540','09', '11000003','00','Request by Mr. reheel malik 23-may-2025');</v>
      </c>
    </row>
    <row r="394" spans="1:8" ht="75" x14ac:dyDescent="0.25">
      <c r="A394" s="22" t="s">
        <v>458</v>
      </c>
      <c r="B394" s="30" t="str">
        <f>VLOOKUP(A394,Sheet7!B:C,2,0)</f>
        <v>070000178406</v>
      </c>
      <c r="C394" s="22">
        <v>7540</v>
      </c>
      <c r="D394" s="31">
        <f t="shared" si="25"/>
        <v>7540</v>
      </c>
      <c r="E394" s="29" t="s">
        <v>1280</v>
      </c>
      <c r="F394" s="32" t="str">
        <f t="shared" si="24"/>
        <v>insert into ins_premium_det (premium_rcv_code,assorted_code, rec_amount,premium_rcv_detail_code,remaining_amt, payrec, mode_code,coinsurance_code,class_cd,it_remarks) values</v>
      </c>
      <c r="G394" s="33" t="str">
        <f t="shared" si="26"/>
        <v>('23May250004','070000178406','7540',(select max(to_number(i.premium_rcv_detail_code))+1
from ins_premium_det i),'7540','7540','09', '11000003','00','Request by Mr. reheel malik 23-may-2025');</v>
      </c>
      <c r="H394" s="34" t="str">
        <f t="shared" si="27"/>
        <v>insert into ins_premium_det (premium_rcv_code,assorted_code, rec_amount,premium_rcv_detail_code,remaining_amt, payrec, mode_code,coinsurance_code,class_cd,it_remarks) values('23May250004','070000178406','7540',(select max(to_number(i.premium_rcv_detail_code))+1
from ins_premium_det i),'7540','7540','09', '11000003','00','Request by Mr. reheel malik 23-may-2025');</v>
      </c>
    </row>
    <row r="395" spans="1:8" ht="75" x14ac:dyDescent="0.25">
      <c r="A395" s="22" t="s">
        <v>459</v>
      </c>
      <c r="B395" s="30" t="str">
        <f>VLOOKUP(A395,policy!B:C,2,0)</f>
        <v>050000857487</v>
      </c>
      <c r="C395" s="22">
        <v>7540</v>
      </c>
      <c r="D395" s="31">
        <f t="shared" si="25"/>
        <v>7540</v>
      </c>
      <c r="E395" s="29" t="s">
        <v>1280</v>
      </c>
      <c r="F395" s="32" t="str">
        <f t="shared" si="24"/>
        <v>insert into ins_premium_det (premium_rcv_code,assorted_code, rec_amount,premium_rcv_detail_code,remaining_amt, payrec, mode_code,coinsurance_code,class_cd,it_remarks) values</v>
      </c>
      <c r="G395" s="33" t="str">
        <f t="shared" si="26"/>
        <v>('23May250004','050000857487','7540',(select max(to_number(i.premium_rcv_detail_code))+1
from ins_premium_det i),'7540','7540','09', '11000003','00','Request by Mr. reheel malik 23-may-2025');</v>
      </c>
      <c r="H395" s="34" t="str">
        <f t="shared" si="27"/>
        <v>insert into ins_premium_det (premium_rcv_code,assorted_code, rec_amount,premium_rcv_detail_code,remaining_amt, payrec, mode_code,coinsurance_code,class_cd,it_remarks) values('23May250004','050000857487','7540',(select max(to_number(i.premium_rcv_detail_code))+1
from ins_premium_det i),'7540','7540','09', '11000003','00','Request by Mr. reheel malik 23-may-2025');</v>
      </c>
    </row>
    <row r="396" spans="1:8" ht="75" x14ac:dyDescent="0.25">
      <c r="A396" s="22" t="s">
        <v>460</v>
      </c>
      <c r="B396" s="30" t="str">
        <f>VLOOKUP(A396,policy!B:C,2,0)</f>
        <v>040000193327</v>
      </c>
      <c r="C396" s="22">
        <v>7540</v>
      </c>
      <c r="D396" s="31">
        <f t="shared" si="25"/>
        <v>7540</v>
      </c>
      <c r="E396" s="29" t="s">
        <v>1280</v>
      </c>
      <c r="F396" s="32" t="str">
        <f t="shared" si="24"/>
        <v>insert into ins_premium_det (premium_rcv_code,assorted_code, rec_amount,premium_rcv_detail_code,remaining_amt, payrec, mode_code,coinsurance_code,class_cd,it_remarks) values</v>
      </c>
      <c r="G396" s="33" t="str">
        <f t="shared" si="26"/>
        <v>('23May250004','040000193327','7540',(select max(to_number(i.premium_rcv_detail_code))+1
from ins_premium_det i),'7540','7540','09', '11000003','00','Request by Mr. reheel malik 23-may-2025');</v>
      </c>
      <c r="H396" s="34" t="str">
        <f t="shared" si="27"/>
        <v>insert into ins_premium_det (premium_rcv_code,assorted_code, rec_amount,premium_rcv_detail_code,remaining_amt, payrec, mode_code,coinsurance_code,class_cd,it_remarks) values('23May250004','040000193327','7540',(select max(to_number(i.premium_rcv_detail_code))+1
from ins_premium_det i),'7540','7540','09', '11000003','00','Request by Mr. reheel malik 23-may-2025');</v>
      </c>
    </row>
    <row r="397" spans="1:8" ht="75" x14ac:dyDescent="0.25">
      <c r="A397" s="22" t="s">
        <v>461</v>
      </c>
      <c r="B397" s="30" t="str">
        <f>VLOOKUP(A397,policy!B:C,2,0)</f>
        <v>040000193348</v>
      </c>
      <c r="C397" s="22">
        <v>7540</v>
      </c>
      <c r="D397" s="31">
        <f t="shared" si="25"/>
        <v>7540</v>
      </c>
      <c r="E397" s="29" t="s">
        <v>1280</v>
      </c>
      <c r="F397" s="32" t="str">
        <f t="shared" si="24"/>
        <v>insert into ins_premium_det (premium_rcv_code,assorted_code, rec_amount,premium_rcv_detail_code,remaining_amt, payrec, mode_code,coinsurance_code,class_cd,it_remarks) values</v>
      </c>
      <c r="G397" s="33" t="str">
        <f t="shared" si="26"/>
        <v>('23May250004','040000193348','7540',(select max(to_number(i.premium_rcv_detail_code))+1
from ins_premium_det i),'7540','7540','09', '11000003','00','Request by Mr. reheel malik 23-may-2025');</v>
      </c>
      <c r="H397" s="34" t="str">
        <f t="shared" si="27"/>
        <v>insert into ins_premium_det (premium_rcv_code,assorted_code, rec_amount,premium_rcv_detail_code,remaining_amt, payrec, mode_code,coinsurance_code,class_cd,it_remarks) values('23May250004','040000193348','7540',(select max(to_number(i.premium_rcv_detail_code))+1
from ins_premium_det i),'7540','7540','09', '11000003','00','Request by Mr. reheel malik 23-may-2025');</v>
      </c>
    </row>
    <row r="398" spans="1:8" ht="75" x14ac:dyDescent="0.25">
      <c r="A398" s="22" t="s">
        <v>462</v>
      </c>
      <c r="B398" s="30" t="str">
        <f>VLOOKUP(A398,policy!B:C,2,0)</f>
        <v>040000193349</v>
      </c>
      <c r="C398" s="22">
        <v>7540</v>
      </c>
      <c r="D398" s="31">
        <f t="shared" si="25"/>
        <v>7540</v>
      </c>
      <c r="E398" s="29" t="s">
        <v>1280</v>
      </c>
      <c r="F398" s="32" t="str">
        <f t="shared" si="24"/>
        <v>insert into ins_premium_det (premium_rcv_code,assorted_code, rec_amount,premium_rcv_detail_code,remaining_amt, payrec, mode_code,coinsurance_code,class_cd,it_remarks) values</v>
      </c>
      <c r="G398" s="33" t="str">
        <f t="shared" si="26"/>
        <v>('23May250004','040000193349','7540',(select max(to_number(i.premium_rcv_detail_code))+1
from ins_premium_det i),'7540','7540','09', '11000003','00','Request by Mr. reheel malik 23-may-2025');</v>
      </c>
      <c r="H398" s="34" t="str">
        <f t="shared" si="27"/>
        <v>insert into ins_premium_det (premium_rcv_code,assorted_code, rec_amount,premium_rcv_detail_code,remaining_amt, payrec, mode_code,coinsurance_code,class_cd,it_remarks) values('23May250004','040000193349','7540',(select max(to_number(i.premium_rcv_detail_code))+1
from ins_premium_det i),'7540','7540','09', '11000003','00','Request by Mr. reheel malik 23-may-2025');</v>
      </c>
    </row>
    <row r="399" spans="1:8" ht="75" x14ac:dyDescent="0.25">
      <c r="A399" s="22" t="s">
        <v>463</v>
      </c>
      <c r="B399" s="30" t="str">
        <f>VLOOKUP(A399,policy!B:C,2,0)</f>
        <v>040000193350</v>
      </c>
      <c r="C399" s="22">
        <v>7540</v>
      </c>
      <c r="D399" s="31">
        <f t="shared" si="25"/>
        <v>7540</v>
      </c>
      <c r="E399" s="29" t="s">
        <v>1280</v>
      </c>
      <c r="F399" s="32" t="str">
        <f t="shared" si="24"/>
        <v>insert into ins_premium_det (premium_rcv_code,assorted_code, rec_amount,premium_rcv_detail_code,remaining_amt, payrec, mode_code,coinsurance_code,class_cd,it_remarks) values</v>
      </c>
      <c r="G399" s="33" t="str">
        <f t="shared" si="26"/>
        <v>('23May250004','040000193350','7540',(select max(to_number(i.premium_rcv_detail_code))+1
from ins_premium_det i),'7540','7540','09', '11000003','00','Request by Mr. reheel malik 23-may-2025');</v>
      </c>
      <c r="H399" s="34" t="str">
        <f t="shared" si="27"/>
        <v>insert into ins_premium_det (premium_rcv_code,assorted_code, rec_amount,premium_rcv_detail_code,remaining_amt, payrec, mode_code,coinsurance_code,class_cd,it_remarks) values('23May250004','040000193350','7540',(select max(to_number(i.premium_rcv_detail_code))+1
from ins_premium_det i),'7540','7540','09', '11000003','00','Request by Mr. reheel malik 23-may-2025');</v>
      </c>
    </row>
    <row r="400" spans="1:8" ht="75" x14ac:dyDescent="0.25">
      <c r="A400" s="22" t="s">
        <v>464</v>
      </c>
      <c r="B400" s="30" t="str">
        <f>VLOOKUP(A400,policy!B:C,2,0)</f>
        <v>040000193353</v>
      </c>
      <c r="C400" s="22">
        <v>7540</v>
      </c>
      <c r="D400" s="31">
        <f t="shared" si="25"/>
        <v>7540</v>
      </c>
      <c r="E400" s="29" t="s">
        <v>1280</v>
      </c>
      <c r="F400" s="32" t="str">
        <f t="shared" si="24"/>
        <v>insert into ins_premium_det (premium_rcv_code,assorted_code, rec_amount,premium_rcv_detail_code,remaining_amt, payrec, mode_code,coinsurance_code,class_cd,it_remarks) values</v>
      </c>
      <c r="G400" s="33" t="str">
        <f t="shared" si="26"/>
        <v>('23May250004','040000193353','7540',(select max(to_number(i.premium_rcv_detail_code))+1
from ins_premium_det i),'7540','7540','09', '11000003','00','Request by Mr. reheel malik 23-may-2025');</v>
      </c>
      <c r="H400" s="34" t="str">
        <f t="shared" si="27"/>
        <v>insert into ins_premium_det (premium_rcv_code,assorted_code, rec_amount,premium_rcv_detail_code,remaining_amt, payrec, mode_code,coinsurance_code,class_cd,it_remarks) values('23May250004','040000193353','7540',(select max(to_number(i.premium_rcv_detail_code))+1
from ins_premium_det i),'7540','7540','09', '11000003','00','Request by Mr. reheel malik 23-may-2025');</v>
      </c>
    </row>
    <row r="401" spans="1:8" ht="75" x14ac:dyDescent="0.25">
      <c r="A401" s="22" t="s">
        <v>465</v>
      </c>
      <c r="B401" s="30" t="str">
        <f>VLOOKUP(A401,policy!B:C,2,0)</f>
        <v>040000194533</v>
      </c>
      <c r="C401" s="22">
        <v>7540</v>
      </c>
      <c r="D401" s="31">
        <f t="shared" si="25"/>
        <v>7540</v>
      </c>
      <c r="E401" s="29" t="s">
        <v>1280</v>
      </c>
      <c r="F401" s="32" t="str">
        <f t="shared" si="24"/>
        <v>insert into ins_premium_det (premium_rcv_code,assorted_code, rec_amount,premium_rcv_detail_code,remaining_amt, payrec, mode_code,coinsurance_code,class_cd,it_remarks) values</v>
      </c>
      <c r="G401" s="33" t="str">
        <f t="shared" si="26"/>
        <v>('23May250004','040000194533','7540',(select max(to_number(i.premium_rcv_detail_code))+1
from ins_premium_det i),'7540','7540','09', '11000003','00','Request by Mr. reheel malik 23-may-2025');</v>
      </c>
      <c r="H401" s="34" t="str">
        <f t="shared" si="27"/>
        <v>insert into ins_premium_det (premium_rcv_code,assorted_code, rec_amount,premium_rcv_detail_code,remaining_amt, payrec, mode_code,coinsurance_code,class_cd,it_remarks) values('23May250004','040000194533','7540',(select max(to_number(i.premium_rcv_detail_code))+1
from ins_premium_det i),'7540','7540','09', '11000003','00','Request by Mr. reheel malik 23-may-2025');</v>
      </c>
    </row>
    <row r="402" spans="1:8" ht="75" x14ac:dyDescent="0.25">
      <c r="A402" s="22" t="s">
        <v>466</v>
      </c>
      <c r="B402" s="30" t="str">
        <f>VLOOKUP(A402,policy!B:C,2,0)</f>
        <v>040000194546</v>
      </c>
      <c r="C402" s="22">
        <v>7540</v>
      </c>
      <c r="D402" s="31">
        <f t="shared" si="25"/>
        <v>7540</v>
      </c>
      <c r="E402" s="29" t="s">
        <v>1280</v>
      </c>
      <c r="F402" s="32" t="str">
        <f t="shared" si="24"/>
        <v>insert into ins_premium_det (premium_rcv_code,assorted_code, rec_amount,premium_rcv_detail_code,remaining_amt, payrec, mode_code,coinsurance_code,class_cd,it_remarks) values</v>
      </c>
      <c r="G402" s="33" t="str">
        <f t="shared" si="26"/>
        <v>('23May250004','040000194546','7540',(select max(to_number(i.premium_rcv_detail_code))+1
from ins_premium_det i),'7540','7540','09', '11000003','00','Request by Mr. reheel malik 23-may-2025');</v>
      </c>
      <c r="H402" s="34" t="str">
        <f t="shared" si="27"/>
        <v>insert into ins_premium_det (premium_rcv_code,assorted_code, rec_amount,premium_rcv_detail_code,remaining_amt, payrec, mode_code,coinsurance_code,class_cd,it_remarks) values('23May250004','040000194546','7540',(select max(to_number(i.premium_rcv_detail_code))+1
from ins_premium_det i),'7540','7540','09', '11000003','00','Request by Mr. reheel malik 23-may-2025');</v>
      </c>
    </row>
    <row r="403" spans="1:8" ht="75" x14ac:dyDescent="0.25">
      <c r="A403" s="22" t="s">
        <v>467</v>
      </c>
      <c r="B403" s="30" t="str">
        <f>VLOOKUP(A403,policy!B:C,2,0)</f>
        <v>040000194747</v>
      </c>
      <c r="C403" s="22">
        <v>7540</v>
      </c>
      <c r="D403" s="31">
        <f t="shared" si="25"/>
        <v>7540</v>
      </c>
      <c r="E403" s="29" t="s">
        <v>1280</v>
      </c>
      <c r="F403" s="32" t="str">
        <f t="shared" si="24"/>
        <v>insert into ins_premium_det (premium_rcv_code,assorted_code, rec_amount,premium_rcv_detail_code,remaining_amt, payrec, mode_code,coinsurance_code,class_cd,it_remarks) values</v>
      </c>
      <c r="G403" s="33" t="str">
        <f t="shared" si="26"/>
        <v>('23May250004','040000194747','7540',(select max(to_number(i.premium_rcv_detail_code))+1
from ins_premium_det i),'7540','7540','09', '11000003','00','Request by Mr. reheel malik 23-may-2025');</v>
      </c>
      <c r="H403" s="34" t="str">
        <f t="shared" si="27"/>
        <v>insert into ins_premium_det (premium_rcv_code,assorted_code, rec_amount,premium_rcv_detail_code,remaining_amt, payrec, mode_code,coinsurance_code,class_cd,it_remarks) values('23May250004','040000194747','7540',(select max(to_number(i.premium_rcv_detail_code))+1
from ins_premium_det i),'7540','7540','09', '11000003','00','Request by Mr. reheel malik 23-may-2025');</v>
      </c>
    </row>
    <row r="404" spans="1:8" ht="75" x14ac:dyDescent="0.25">
      <c r="A404" s="22" t="s">
        <v>468</v>
      </c>
      <c r="B404" s="30" t="str">
        <f>VLOOKUP(A404,policy!B:C,2,0)</f>
        <v>040000194845</v>
      </c>
      <c r="C404" s="22">
        <v>7540</v>
      </c>
      <c r="D404" s="31">
        <f t="shared" si="25"/>
        <v>7540</v>
      </c>
      <c r="E404" s="29" t="s">
        <v>1280</v>
      </c>
      <c r="F404" s="32" t="str">
        <f t="shared" si="24"/>
        <v>insert into ins_premium_det (premium_rcv_code,assorted_code, rec_amount,premium_rcv_detail_code,remaining_amt, payrec, mode_code,coinsurance_code,class_cd,it_remarks) values</v>
      </c>
      <c r="G404" s="33" t="str">
        <f t="shared" si="26"/>
        <v>('23May250004','040000194845','7540',(select max(to_number(i.premium_rcv_detail_code))+1
from ins_premium_det i),'7540','7540','09', '11000003','00','Request by Mr. reheel malik 23-may-2025');</v>
      </c>
      <c r="H404" s="34" t="str">
        <f t="shared" si="27"/>
        <v>insert into ins_premium_det (premium_rcv_code,assorted_code, rec_amount,premium_rcv_detail_code,remaining_amt, payrec, mode_code,coinsurance_code,class_cd,it_remarks) values('23May250004','040000194845','7540',(select max(to_number(i.premium_rcv_detail_code))+1
from ins_premium_det i),'7540','7540','09', '11000003','00','Request by Mr. reheel malik 23-may-2025');</v>
      </c>
    </row>
    <row r="405" spans="1:8" ht="75" x14ac:dyDescent="0.25">
      <c r="A405" s="22" t="s">
        <v>469</v>
      </c>
      <c r="B405" s="30" t="str">
        <f>VLOOKUP(A405,policy!B:C,2,0)</f>
        <v>040000194942</v>
      </c>
      <c r="C405" s="22">
        <v>7540</v>
      </c>
      <c r="D405" s="31">
        <f t="shared" si="25"/>
        <v>7540</v>
      </c>
      <c r="E405" s="29" t="s">
        <v>1280</v>
      </c>
      <c r="F405" s="32" t="str">
        <f t="shared" si="24"/>
        <v>insert into ins_premium_det (premium_rcv_code,assorted_code, rec_amount,premium_rcv_detail_code,remaining_amt, payrec, mode_code,coinsurance_code,class_cd,it_remarks) values</v>
      </c>
      <c r="G405" s="33" t="str">
        <f t="shared" si="26"/>
        <v>('23May250004','040000194942','7540',(select max(to_number(i.premium_rcv_detail_code))+1
from ins_premium_det i),'7540','7540','09', '11000003','00','Request by Mr. reheel malik 23-may-2025');</v>
      </c>
      <c r="H405" s="34" t="str">
        <f t="shared" si="27"/>
        <v>insert into ins_premium_det (premium_rcv_code,assorted_code, rec_amount,premium_rcv_detail_code,remaining_amt, payrec, mode_code,coinsurance_code,class_cd,it_remarks) values('23May250004','040000194942','7540',(select max(to_number(i.premium_rcv_detail_code))+1
from ins_premium_det i),'7540','7540','09', '11000003','00','Request by Mr. reheel malik 23-may-2025');</v>
      </c>
    </row>
    <row r="406" spans="1:8" ht="75" x14ac:dyDescent="0.25">
      <c r="A406" s="22" t="s">
        <v>470</v>
      </c>
      <c r="B406" s="30" t="str">
        <f>VLOOKUP(A406,policy!B:C,2,0)</f>
        <v>040000195075</v>
      </c>
      <c r="C406" s="22">
        <v>7540</v>
      </c>
      <c r="D406" s="31">
        <f t="shared" si="25"/>
        <v>7540</v>
      </c>
      <c r="E406" s="29" t="s">
        <v>1280</v>
      </c>
      <c r="F406" s="32" t="str">
        <f t="shared" si="24"/>
        <v>insert into ins_premium_det (premium_rcv_code,assorted_code, rec_amount,premium_rcv_detail_code,remaining_amt, payrec, mode_code,coinsurance_code,class_cd,it_remarks) values</v>
      </c>
      <c r="G406" s="33" t="str">
        <f t="shared" si="26"/>
        <v>('23May250004','040000195075','7540',(select max(to_number(i.premium_rcv_detail_code))+1
from ins_premium_det i),'7540','7540','09', '11000003','00','Request by Mr. reheel malik 23-may-2025');</v>
      </c>
      <c r="H406" s="34" t="str">
        <f t="shared" si="27"/>
        <v>insert into ins_premium_det (premium_rcv_code,assorted_code, rec_amount,premium_rcv_detail_code,remaining_amt, payrec, mode_code,coinsurance_code,class_cd,it_remarks) values('23May250004','040000195075','7540',(select max(to_number(i.premium_rcv_detail_code))+1
from ins_premium_det i),'7540','7540','09', '11000003','00','Request by Mr. reheel malik 23-may-2025');</v>
      </c>
    </row>
    <row r="407" spans="1:8" ht="75" x14ac:dyDescent="0.25">
      <c r="A407" s="22" t="s">
        <v>471</v>
      </c>
      <c r="B407" s="30" t="str">
        <f>VLOOKUP(A407,policy!B:C,2,0)</f>
        <v>040000195523</v>
      </c>
      <c r="C407" s="22">
        <v>7540</v>
      </c>
      <c r="D407" s="31">
        <f t="shared" si="25"/>
        <v>7540</v>
      </c>
      <c r="E407" s="29" t="s">
        <v>1280</v>
      </c>
      <c r="F407" s="32" t="str">
        <f t="shared" si="24"/>
        <v>insert into ins_premium_det (premium_rcv_code,assorted_code, rec_amount,premium_rcv_detail_code,remaining_amt, payrec, mode_code,coinsurance_code,class_cd,it_remarks) values</v>
      </c>
      <c r="G407" s="33" t="str">
        <f t="shared" si="26"/>
        <v>('23May250004','040000195523','7540',(select max(to_number(i.premium_rcv_detail_code))+1
from ins_premium_det i),'7540','7540','09', '11000003','00','Request by Mr. reheel malik 23-may-2025');</v>
      </c>
      <c r="H407" s="34" t="str">
        <f t="shared" si="27"/>
        <v>insert into ins_premium_det (premium_rcv_code,assorted_code, rec_amount,premium_rcv_detail_code,remaining_amt, payrec, mode_code,coinsurance_code,class_cd,it_remarks) values('23May250004','040000195523','7540',(select max(to_number(i.premium_rcv_detail_code))+1
from ins_premium_det i),'7540','7540','09', '11000003','00','Request by Mr. reheel malik 23-may-2025');</v>
      </c>
    </row>
    <row r="408" spans="1:8" ht="75" x14ac:dyDescent="0.25">
      <c r="A408" s="22" t="s">
        <v>472</v>
      </c>
      <c r="B408" s="30" t="str">
        <f>VLOOKUP(A408,policy!B:C,2,0)</f>
        <v>040000195525</v>
      </c>
      <c r="C408" s="22">
        <v>7540</v>
      </c>
      <c r="D408" s="31">
        <f t="shared" si="25"/>
        <v>7540</v>
      </c>
      <c r="E408" s="29" t="s">
        <v>1280</v>
      </c>
      <c r="F408" s="32" t="str">
        <f t="shared" si="24"/>
        <v>insert into ins_premium_det (premium_rcv_code,assorted_code, rec_amount,premium_rcv_detail_code,remaining_amt, payrec, mode_code,coinsurance_code,class_cd,it_remarks) values</v>
      </c>
      <c r="G408" s="33" t="str">
        <f t="shared" si="26"/>
        <v>('23May250004','040000195525','7540',(select max(to_number(i.premium_rcv_detail_code))+1
from ins_premium_det i),'7540','7540','09', '11000003','00','Request by Mr. reheel malik 23-may-2025');</v>
      </c>
      <c r="H408" s="34" t="str">
        <f t="shared" si="27"/>
        <v>insert into ins_premium_det (premium_rcv_code,assorted_code, rec_amount,premium_rcv_detail_code,remaining_amt, payrec, mode_code,coinsurance_code,class_cd,it_remarks) values('23May250004','040000195525','7540',(select max(to_number(i.premium_rcv_detail_code))+1
from ins_premium_det i),'7540','7540','09', '11000003','00','Request by Mr. reheel malik 23-may-2025');</v>
      </c>
    </row>
    <row r="409" spans="1:8" ht="75" x14ac:dyDescent="0.25">
      <c r="A409" s="22" t="s">
        <v>473</v>
      </c>
      <c r="B409" s="30" t="str">
        <f>VLOOKUP(A409,Sheet7!B:C,2,0)</f>
        <v>070000174024</v>
      </c>
      <c r="C409" s="22">
        <v>7540</v>
      </c>
      <c r="D409" s="31">
        <f t="shared" si="25"/>
        <v>7540</v>
      </c>
      <c r="E409" s="29" t="s">
        <v>1280</v>
      </c>
      <c r="F409" s="32" t="str">
        <f t="shared" si="24"/>
        <v>insert into ins_premium_det (premium_rcv_code,assorted_code, rec_amount,premium_rcv_detail_code,remaining_amt, payrec, mode_code,coinsurance_code,class_cd,it_remarks) values</v>
      </c>
      <c r="G409" s="33" t="str">
        <f t="shared" si="26"/>
        <v>('23May250004','070000174024','7540',(select max(to_number(i.premium_rcv_detail_code))+1
from ins_premium_det i),'7540','7540','09', '11000003','00','Request by Mr. reheel malik 23-may-2025');</v>
      </c>
      <c r="H409" s="34" t="str">
        <f t="shared" si="27"/>
        <v>insert into ins_premium_det (premium_rcv_code,assorted_code, rec_amount,premium_rcv_detail_code,remaining_amt, payrec, mode_code,coinsurance_code,class_cd,it_remarks) values('23May250004','070000174024','7540',(select max(to_number(i.premium_rcv_detail_code))+1
from ins_premium_det i),'7540','7540','09', '11000003','00','Request by Mr. reheel malik 23-may-2025');</v>
      </c>
    </row>
    <row r="410" spans="1:8" ht="75" x14ac:dyDescent="0.25">
      <c r="A410" s="22" t="s">
        <v>474</v>
      </c>
      <c r="B410" s="30" t="str">
        <f>VLOOKUP(A410,Sheet7!B:C,2,0)</f>
        <v>070000174026</v>
      </c>
      <c r="C410" s="22">
        <v>7540</v>
      </c>
      <c r="D410" s="31">
        <f t="shared" si="25"/>
        <v>7540</v>
      </c>
      <c r="E410" s="29" t="s">
        <v>1280</v>
      </c>
      <c r="F410" s="32" t="str">
        <f t="shared" si="24"/>
        <v>insert into ins_premium_det (premium_rcv_code,assorted_code, rec_amount,premium_rcv_detail_code,remaining_amt, payrec, mode_code,coinsurance_code,class_cd,it_remarks) values</v>
      </c>
      <c r="G410" s="33" t="str">
        <f t="shared" si="26"/>
        <v>('23May250004','070000174026','7540',(select max(to_number(i.premium_rcv_detail_code))+1
from ins_premium_det i),'7540','7540','09', '11000003','00','Request by Mr. reheel malik 23-may-2025');</v>
      </c>
      <c r="H410" s="34" t="str">
        <f t="shared" si="27"/>
        <v>insert into ins_premium_det (premium_rcv_code,assorted_code, rec_amount,premium_rcv_detail_code,remaining_amt, payrec, mode_code,coinsurance_code,class_cd,it_remarks) values('23May250004','070000174026','7540',(select max(to_number(i.premium_rcv_detail_code))+1
from ins_premium_det i),'7540','7540','09', '11000003','00','Request by Mr. reheel malik 23-may-2025');</v>
      </c>
    </row>
    <row r="411" spans="1:8" ht="75" x14ac:dyDescent="0.25">
      <c r="A411" s="22" t="s">
        <v>475</v>
      </c>
      <c r="B411" s="30" t="str">
        <f>VLOOKUP(A411,Sheet7!B:C,2,0)</f>
        <v>070000174027</v>
      </c>
      <c r="C411" s="22">
        <v>7540</v>
      </c>
      <c r="D411" s="31">
        <f t="shared" si="25"/>
        <v>7540</v>
      </c>
      <c r="E411" s="29" t="s">
        <v>1280</v>
      </c>
      <c r="F411" s="32" t="str">
        <f t="shared" si="24"/>
        <v>insert into ins_premium_det (premium_rcv_code,assorted_code, rec_amount,premium_rcv_detail_code,remaining_amt, payrec, mode_code,coinsurance_code,class_cd,it_remarks) values</v>
      </c>
      <c r="G411" s="33" t="str">
        <f t="shared" si="26"/>
        <v>('23May250004','070000174027','7540',(select max(to_number(i.premium_rcv_detail_code))+1
from ins_premium_det i),'7540','7540','09', '11000003','00','Request by Mr. reheel malik 23-may-2025');</v>
      </c>
      <c r="H411" s="34" t="str">
        <f t="shared" si="27"/>
        <v>insert into ins_premium_det (premium_rcv_code,assorted_code, rec_amount,premium_rcv_detail_code,remaining_amt, payrec, mode_code,coinsurance_code,class_cd,it_remarks) values('23May250004','070000174027','7540',(select max(to_number(i.premium_rcv_detail_code))+1
from ins_premium_det i),'7540','7540','09', '11000003','00','Request by Mr. reheel malik 23-may-2025');</v>
      </c>
    </row>
    <row r="412" spans="1:8" ht="75" x14ac:dyDescent="0.25">
      <c r="A412" s="22" t="s">
        <v>476</v>
      </c>
      <c r="B412" s="30" t="str">
        <f>VLOOKUP(A412,Sheet7!B:C,2,0)</f>
        <v>070000174028</v>
      </c>
      <c r="C412" s="22">
        <v>7540</v>
      </c>
      <c r="D412" s="31">
        <f t="shared" si="25"/>
        <v>7540</v>
      </c>
      <c r="E412" s="29" t="s">
        <v>1280</v>
      </c>
      <c r="F412" s="32" t="str">
        <f t="shared" si="24"/>
        <v>insert into ins_premium_det (premium_rcv_code,assorted_code, rec_amount,premium_rcv_detail_code,remaining_amt, payrec, mode_code,coinsurance_code,class_cd,it_remarks) values</v>
      </c>
      <c r="G412" s="33" t="str">
        <f t="shared" si="26"/>
        <v>('23May250004','070000174028','7540',(select max(to_number(i.premium_rcv_detail_code))+1
from ins_premium_det i),'7540','7540','09', '11000003','00','Request by Mr. reheel malik 23-may-2025');</v>
      </c>
      <c r="H412" s="34" t="str">
        <f t="shared" si="27"/>
        <v>insert into ins_premium_det (premium_rcv_code,assorted_code, rec_amount,premium_rcv_detail_code,remaining_amt, payrec, mode_code,coinsurance_code,class_cd,it_remarks) values('23May250004','070000174028','7540',(select max(to_number(i.premium_rcv_detail_code))+1
from ins_premium_det i),'7540','7540','09', '11000003','00','Request by Mr. reheel malik 23-may-2025');</v>
      </c>
    </row>
    <row r="413" spans="1:8" ht="75" x14ac:dyDescent="0.25">
      <c r="A413" s="22" t="s">
        <v>477</v>
      </c>
      <c r="B413" s="30" t="str">
        <f>VLOOKUP(A413,Sheet7!B:C,2,0)</f>
        <v>070000174029</v>
      </c>
      <c r="C413" s="22">
        <v>7540</v>
      </c>
      <c r="D413" s="31">
        <f t="shared" si="25"/>
        <v>7540</v>
      </c>
      <c r="E413" s="29" t="s">
        <v>1280</v>
      </c>
      <c r="F413" s="32" t="str">
        <f t="shared" si="24"/>
        <v>insert into ins_premium_det (premium_rcv_code,assorted_code, rec_amount,premium_rcv_detail_code,remaining_amt, payrec, mode_code,coinsurance_code,class_cd,it_remarks) values</v>
      </c>
      <c r="G413" s="33" t="str">
        <f t="shared" si="26"/>
        <v>('23May250004','070000174029','7540',(select max(to_number(i.premium_rcv_detail_code))+1
from ins_premium_det i),'7540','7540','09', '11000003','00','Request by Mr. reheel malik 23-may-2025');</v>
      </c>
      <c r="H413" s="34" t="str">
        <f t="shared" si="27"/>
        <v>insert into ins_premium_det (premium_rcv_code,assorted_code, rec_amount,premium_rcv_detail_code,remaining_amt, payrec, mode_code,coinsurance_code,class_cd,it_remarks) values('23May250004','070000174029','7540',(select max(to_number(i.premium_rcv_detail_code))+1
from ins_premium_det i),'7540','7540','09', '11000003','00','Request by Mr. reheel malik 23-may-2025');</v>
      </c>
    </row>
    <row r="414" spans="1:8" ht="75" x14ac:dyDescent="0.25">
      <c r="A414" s="22" t="s">
        <v>478</v>
      </c>
      <c r="B414" s="30" t="str">
        <f>VLOOKUP(A414,Sheet7!B:C,2,0)</f>
        <v>070000174030</v>
      </c>
      <c r="C414" s="22">
        <v>7540</v>
      </c>
      <c r="D414" s="31">
        <f t="shared" si="25"/>
        <v>7540</v>
      </c>
      <c r="E414" s="29" t="s">
        <v>1280</v>
      </c>
      <c r="F414" s="32" t="str">
        <f t="shared" si="24"/>
        <v>insert into ins_premium_det (premium_rcv_code,assorted_code, rec_amount,premium_rcv_detail_code,remaining_amt, payrec, mode_code,coinsurance_code,class_cd,it_remarks) values</v>
      </c>
      <c r="G414" s="33" t="str">
        <f t="shared" si="26"/>
        <v>('23May250004','070000174030','7540',(select max(to_number(i.premium_rcv_detail_code))+1
from ins_premium_det i),'7540','7540','09', '11000003','00','Request by Mr. reheel malik 23-may-2025');</v>
      </c>
      <c r="H414" s="34" t="str">
        <f t="shared" si="27"/>
        <v>insert into ins_premium_det (premium_rcv_code,assorted_code, rec_amount,premium_rcv_detail_code,remaining_amt, payrec, mode_code,coinsurance_code,class_cd,it_remarks) values('23May250004','070000174030','7540',(select max(to_number(i.premium_rcv_detail_code))+1
from ins_premium_det i),'7540','7540','09', '11000003','00','Request by Mr. reheel malik 23-may-2025');</v>
      </c>
    </row>
    <row r="415" spans="1:8" ht="75" x14ac:dyDescent="0.25">
      <c r="A415" s="22" t="s">
        <v>479</v>
      </c>
      <c r="B415" s="30" t="str">
        <f>VLOOKUP(A415,policy!B:C,2,0)</f>
        <v>070000174031</v>
      </c>
      <c r="C415" s="22">
        <v>7540</v>
      </c>
      <c r="D415" s="31">
        <f t="shared" si="25"/>
        <v>7540</v>
      </c>
      <c r="E415" s="29" t="s">
        <v>1280</v>
      </c>
      <c r="F415" s="32" t="str">
        <f t="shared" si="24"/>
        <v>insert into ins_premium_det (premium_rcv_code,assorted_code, rec_amount,premium_rcv_detail_code,remaining_amt, payrec, mode_code,coinsurance_code,class_cd,it_remarks) values</v>
      </c>
      <c r="G415" s="33" t="str">
        <f t="shared" si="26"/>
        <v>('23May250004','070000174031','7540',(select max(to_number(i.premium_rcv_detail_code))+1
from ins_premium_det i),'7540','7540','09', '11000003','00','Request by Mr. reheel malik 23-may-2025');</v>
      </c>
      <c r="H415" s="34" t="str">
        <f t="shared" si="27"/>
        <v>insert into ins_premium_det (premium_rcv_code,assorted_code, rec_amount,premium_rcv_detail_code,remaining_amt, payrec, mode_code,coinsurance_code,class_cd,it_remarks) values('23May250004','070000174031','7540',(select max(to_number(i.premium_rcv_detail_code))+1
from ins_premium_det i),'7540','7540','09', '11000003','00','Request by Mr. reheel malik 23-may-2025');</v>
      </c>
    </row>
    <row r="416" spans="1:8" ht="75" x14ac:dyDescent="0.25">
      <c r="A416" s="22" t="s">
        <v>480</v>
      </c>
      <c r="B416" s="30" t="str">
        <f>VLOOKUP(A416,Sheet7!B:C,2,0)</f>
        <v>070000174032</v>
      </c>
      <c r="C416" s="22">
        <v>7540</v>
      </c>
      <c r="D416" s="31">
        <f t="shared" si="25"/>
        <v>7540</v>
      </c>
      <c r="E416" s="29" t="s">
        <v>1280</v>
      </c>
      <c r="F416" s="32" t="str">
        <f t="shared" si="24"/>
        <v>insert into ins_premium_det (premium_rcv_code,assorted_code, rec_amount,premium_rcv_detail_code,remaining_amt, payrec, mode_code,coinsurance_code,class_cd,it_remarks) values</v>
      </c>
      <c r="G416" s="33" t="str">
        <f t="shared" si="26"/>
        <v>('23May250004','070000174032','7540',(select max(to_number(i.premium_rcv_detail_code))+1
from ins_premium_det i),'7540','7540','09', '11000003','00','Request by Mr. reheel malik 23-may-2025');</v>
      </c>
      <c r="H416" s="34" t="str">
        <f t="shared" si="27"/>
        <v>insert into ins_premium_det (premium_rcv_code,assorted_code, rec_amount,premium_rcv_detail_code,remaining_amt, payrec, mode_code,coinsurance_code,class_cd,it_remarks) values('23May250004','070000174032','7540',(select max(to_number(i.premium_rcv_detail_code))+1
from ins_premium_det i),'7540','7540','09', '11000003','00','Request by Mr. reheel malik 23-may-2025');</v>
      </c>
    </row>
    <row r="417" spans="1:8" ht="75" x14ac:dyDescent="0.25">
      <c r="A417" s="22" t="s">
        <v>481</v>
      </c>
      <c r="B417" s="30" t="str">
        <f>VLOOKUP(A417,Sheet7!B:C,2,0)</f>
        <v>070000174033</v>
      </c>
      <c r="C417" s="22">
        <v>7540</v>
      </c>
      <c r="D417" s="31">
        <f t="shared" si="25"/>
        <v>7540</v>
      </c>
      <c r="E417" s="29" t="s">
        <v>1280</v>
      </c>
      <c r="F417" s="32" t="str">
        <f t="shared" si="24"/>
        <v>insert into ins_premium_det (premium_rcv_code,assorted_code, rec_amount,premium_rcv_detail_code,remaining_amt, payrec, mode_code,coinsurance_code,class_cd,it_remarks) values</v>
      </c>
      <c r="G417" s="33" t="str">
        <f t="shared" si="26"/>
        <v>('23May250004','070000174033','7540',(select max(to_number(i.premium_rcv_detail_code))+1
from ins_premium_det i),'7540','7540','09', '11000003','00','Request by Mr. reheel malik 23-may-2025');</v>
      </c>
      <c r="H417" s="34" t="str">
        <f t="shared" si="27"/>
        <v>insert into ins_premium_det (premium_rcv_code,assorted_code, rec_amount,premium_rcv_detail_code,remaining_amt, payrec, mode_code,coinsurance_code,class_cd,it_remarks) values('23May250004','070000174033','7540',(select max(to_number(i.premium_rcv_detail_code))+1
from ins_premium_det i),'7540','7540','09', '11000003','00','Request by Mr. reheel malik 23-may-2025');</v>
      </c>
    </row>
  </sheetData>
  <autoFilter ref="A1:H417" xr:uid="{20EE401A-132E-4992-8065-A5DBB9903790}"/>
  <conditionalFormatting sqref="A1">
    <cfRule type="duplicateValues" dxfId="3" priority="1"/>
  </conditionalFormatting>
  <conditionalFormatting sqref="A2:B2 B3:B417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9218-27C8-4571-A2C8-F83E8551BC0F}">
  <dimension ref="A1:J45"/>
  <sheetViews>
    <sheetView workbookViewId="0">
      <selection activeCell="J1" sqref="J1:J45"/>
    </sheetView>
  </sheetViews>
  <sheetFormatPr defaultRowHeight="15" x14ac:dyDescent="0.25"/>
  <cols>
    <col min="1" max="1" width="43.5703125" bestFit="1" customWidth="1"/>
  </cols>
  <sheetData>
    <row r="1" spans="1:10" x14ac:dyDescent="0.25">
      <c r="A1" s="22" t="s">
        <v>100</v>
      </c>
      <c r="B1" t="s">
        <v>1282</v>
      </c>
      <c r="H1">
        <v>106033</v>
      </c>
      <c r="I1" t="s">
        <v>1287</v>
      </c>
      <c r="J1" t="str">
        <f>"ia.assorted_string like '%"&amp;H1&amp;"-"&amp;I1&amp;B1&amp;"%' or"</f>
        <v>ia.assorted_string like '%106033-00002-01-2025%' or</v>
      </c>
    </row>
    <row r="2" spans="1:10" x14ac:dyDescent="0.25">
      <c r="A2" s="22" t="s">
        <v>297</v>
      </c>
      <c r="B2" t="s">
        <v>1282</v>
      </c>
      <c r="H2">
        <v>106254</v>
      </c>
      <c r="I2" t="s">
        <v>1288</v>
      </c>
      <c r="J2" t="str">
        <f t="shared" ref="J2:J45" si="0">"ia.assorted_string like '%"&amp;H2&amp;"-"&amp;I2&amp;B2&amp;"%' or"</f>
        <v>ia.assorted_string like '%106254-00001-01-2025%' or</v>
      </c>
    </row>
    <row r="3" spans="1:10" x14ac:dyDescent="0.25">
      <c r="A3" s="22" t="s">
        <v>306</v>
      </c>
      <c r="B3" t="s">
        <v>1283</v>
      </c>
      <c r="H3">
        <v>52647</v>
      </c>
      <c r="I3" t="s">
        <v>1289</v>
      </c>
      <c r="J3" t="str">
        <f t="shared" si="0"/>
        <v>ia.assorted_string like '%52647-00004-02-2025%' or</v>
      </c>
    </row>
    <row r="4" spans="1:10" x14ac:dyDescent="0.25">
      <c r="A4" s="22" t="s">
        <v>307</v>
      </c>
      <c r="B4" t="s">
        <v>1283</v>
      </c>
      <c r="H4">
        <v>107155</v>
      </c>
      <c r="I4" t="s">
        <v>1288</v>
      </c>
      <c r="J4" t="str">
        <f t="shared" si="0"/>
        <v>ia.assorted_string like '%107155-00001-02-2025%' or</v>
      </c>
    </row>
    <row r="5" spans="1:10" x14ac:dyDescent="0.25">
      <c r="A5" s="22" t="s">
        <v>308</v>
      </c>
      <c r="B5" t="s">
        <v>1283</v>
      </c>
      <c r="H5">
        <v>107260</v>
      </c>
      <c r="I5" t="s">
        <v>1288</v>
      </c>
      <c r="J5" t="str">
        <f t="shared" si="0"/>
        <v>ia.assorted_string like '%107260-00001-02-2025%' or</v>
      </c>
    </row>
    <row r="6" spans="1:10" x14ac:dyDescent="0.25">
      <c r="A6" s="22" t="s">
        <v>309</v>
      </c>
      <c r="B6" t="s">
        <v>1284</v>
      </c>
      <c r="H6">
        <v>93729</v>
      </c>
      <c r="I6" t="s">
        <v>1288</v>
      </c>
      <c r="J6" t="str">
        <f t="shared" si="0"/>
        <v>ia.assorted_string like '%93729-00001-07-2024%' or</v>
      </c>
    </row>
    <row r="7" spans="1:10" x14ac:dyDescent="0.25">
      <c r="A7" s="22" t="s">
        <v>356</v>
      </c>
      <c r="B7" t="s">
        <v>1282</v>
      </c>
      <c r="H7">
        <v>106033</v>
      </c>
      <c r="I7" t="s">
        <v>1288</v>
      </c>
      <c r="J7" t="str">
        <f t="shared" si="0"/>
        <v>ia.assorted_string like '%106033-00001-01-2025%' or</v>
      </c>
    </row>
    <row r="8" spans="1:10" x14ac:dyDescent="0.25">
      <c r="A8" s="22" t="s">
        <v>375</v>
      </c>
      <c r="B8" t="s">
        <v>1283</v>
      </c>
      <c r="H8">
        <v>107535</v>
      </c>
      <c r="I8" t="s">
        <v>1290</v>
      </c>
      <c r="J8" t="str">
        <f t="shared" si="0"/>
        <v>ia.assorted_string like '%107535-00003-02-2025%' or</v>
      </c>
    </row>
    <row r="9" spans="1:10" x14ac:dyDescent="0.25">
      <c r="A9" s="22" t="s">
        <v>376</v>
      </c>
      <c r="B9" t="s">
        <v>1285</v>
      </c>
      <c r="H9">
        <v>107978</v>
      </c>
      <c r="I9" t="s">
        <v>1288</v>
      </c>
      <c r="J9" t="str">
        <f t="shared" si="0"/>
        <v>ia.assorted_string like '%107978-00001-03-2025%' or</v>
      </c>
    </row>
    <row r="10" spans="1:10" x14ac:dyDescent="0.25">
      <c r="A10" s="22" t="s">
        <v>377</v>
      </c>
      <c r="B10" t="s">
        <v>1285</v>
      </c>
      <c r="H10">
        <v>107978</v>
      </c>
      <c r="I10" t="s">
        <v>1287</v>
      </c>
      <c r="J10" t="str">
        <f t="shared" si="0"/>
        <v>ia.assorted_string like '%107978-00002-03-2025%' or</v>
      </c>
    </row>
    <row r="11" spans="1:10" x14ac:dyDescent="0.25">
      <c r="A11" s="22" t="s">
        <v>378</v>
      </c>
      <c r="B11" t="s">
        <v>1285</v>
      </c>
      <c r="H11">
        <v>107978</v>
      </c>
      <c r="I11" t="s">
        <v>1290</v>
      </c>
      <c r="J11" t="str">
        <f t="shared" si="0"/>
        <v>ia.assorted_string like '%107978-00003-03-2025%' or</v>
      </c>
    </row>
    <row r="12" spans="1:10" x14ac:dyDescent="0.25">
      <c r="A12" s="22" t="s">
        <v>379</v>
      </c>
      <c r="B12" t="s">
        <v>1285</v>
      </c>
      <c r="H12">
        <v>107978</v>
      </c>
      <c r="I12" t="s">
        <v>1289</v>
      </c>
      <c r="J12" t="str">
        <f t="shared" si="0"/>
        <v>ia.assorted_string like '%107978-00004-03-2025%' or</v>
      </c>
    </row>
    <row r="13" spans="1:10" x14ac:dyDescent="0.25">
      <c r="A13" s="22" t="s">
        <v>380</v>
      </c>
      <c r="B13" t="s">
        <v>1285</v>
      </c>
      <c r="H13">
        <v>107978</v>
      </c>
      <c r="I13" t="s">
        <v>1291</v>
      </c>
      <c r="J13" t="str">
        <f t="shared" si="0"/>
        <v>ia.assorted_string like '%107978-00005-03-2025%' or</v>
      </c>
    </row>
    <row r="14" spans="1:10" x14ac:dyDescent="0.25">
      <c r="A14" s="22" t="s">
        <v>381</v>
      </c>
      <c r="B14" t="s">
        <v>1285</v>
      </c>
      <c r="H14">
        <v>107979</v>
      </c>
      <c r="I14" t="s">
        <v>1288</v>
      </c>
      <c r="J14" t="str">
        <f t="shared" si="0"/>
        <v>ia.assorted_string like '%107979-00001-03-2025%' or</v>
      </c>
    </row>
    <row r="15" spans="1:10" x14ac:dyDescent="0.25">
      <c r="A15" s="22" t="s">
        <v>382</v>
      </c>
      <c r="B15" t="s">
        <v>1285</v>
      </c>
      <c r="H15">
        <v>107979</v>
      </c>
      <c r="I15" t="s">
        <v>1287</v>
      </c>
      <c r="J15" t="str">
        <f t="shared" si="0"/>
        <v>ia.assorted_string like '%107979-00002-03-2025%' or</v>
      </c>
    </row>
    <row r="16" spans="1:10" x14ac:dyDescent="0.25">
      <c r="A16" s="22" t="s">
        <v>383</v>
      </c>
      <c r="B16" t="s">
        <v>1285</v>
      </c>
      <c r="H16">
        <v>108284</v>
      </c>
      <c r="I16" t="s">
        <v>1288</v>
      </c>
      <c r="J16" t="str">
        <f t="shared" si="0"/>
        <v>ia.assorted_string like '%108284-00001-03-2025%' or</v>
      </c>
    </row>
    <row r="17" spans="1:10" x14ac:dyDescent="0.25">
      <c r="A17" s="22" t="s">
        <v>384</v>
      </c>
      <c r="B17" t="s">
        <v>1285</v>
      </c>
      <c r="H17">
        <v>108284</v>
      </c>
      <c r="I17" t="s">
        <v>1287</v>
      </c>
      <c r="J17" t="str">
        <f t="shared" si="0"/>
        <v>ia.assorted_string like '%108284-00002-03-2025%' or</v>
      </c>
    </row>
    <row r="18" spans="1:10" x14ac:dyDescent="0.25">
      <c r="A18" s="22" t="s">
        <v>385</v>
      </c>
      <c r="B18" t="s">
        <v>1285</v>
      </c>
      <c r="H18">
        <v>108284</v>
      </c>
      <c r="I18" t="s">
        <v>1290</v>
      </c>
      <c r="J18" t="str">
        <f t="shared" si="0"/>
        <v>ia.assorted_string like '%108284-00003-03-2025%' or</v>
      </c>
    </row>
    <row r="19" spans="1:10" x14ac:dyDescent="0.25">
      <c r="A19" s="22" t="s">
        <v>386</v>
      </c>
      <c r="B19" t="s">
        <v>1286</v>
      </c>
      <c r="H19">
        <v>108533</v>
      </c>
      <c r="I19" t="s">
        <v>1292</v>
      </c>
      <c r="J19" t="str">
        <f t="shared" si="0"/>
        <v>ia.assorted_string like '%108533-00006-04-2025%' or</v>
      </c>
    </row>
    <row r="20" spans="1:10" x14ac:dyDescent="0.25">
      <c r="A20" s="22" t="s">
        <v>387</v>
      </c>
      <c r="B20" t="s">
        <v>1281</v>
      </c>
      <c r="H20">
        <v>103544</v>
      </c>
      <c r="I20" t="s">
        <v>1288</v>
      </c>
      <c r="J20" t="str">
        <f t="shared" si="0"/>
        <v>ia.assorted_string like '%103544-00001-12-2024%' or</v>
      </c>
    </row>
    <row r="21" spans="1:10" x14ac:dyDescent="0.25">
      <c r="A21" s="22" t="s">
        <v>388</v>
      </c>
      <c r="B21" t="s">
        <v>1281</v>
      </c>
      <c r="H21">
        <v>103544</v>
      </c>
      <c r="I21" t="s">
        <v>1287</v>
      </c>
      <c r="J21" t="str">
        <f t="shared" si="0"/>
        <v>ia.assorted_string like '%103544-00002-12-2024%' or</v>
      </c>
    </row>
    <row r="22" spans="1:10" x14ac:dyDescent="0.25">
      <c r="A22" s="22" t="s">
        <v>416</v>
      </c>
      <c r="B22" t="s">
        <v>1282</v>
      </c>
      <c r="H22">
        <v>51841</v>
      </c>
      <c r="I22" t="s">
        <v>1287</v>
      </c>
      <c r="J22" t="str">
        <f t="shared" si="0"/>
        <v>ia.assorted_string like '%51841-00002-01-2025%' or</v>
      </c>
    </row>
    <row r="23" spans="1:10" x14ac:dyDescent="0.25">
      <c r="A23" s="22" t="s">
        <v>419</v>
      </c>
      <c r="B23" t="s">
        <v>1282</v>
      </c>
      <c r="H23">
        <v>106619</v>
      </c>
      <c r="I23" t="s">
        <v>1288</v>
      </c>
      <c r="J23" t="str">
        <f t="shared" si="0"/>
        <v>ia.assorted_string like '%106619-00001-01-2025%' or</v>
      </c>
    </row>
    <row r="24" spans="1:10" x14ac:dyDescent="0.25">
      <c r="A24" s="22" t="s">
        <v>420</v>
      </c>
      <c r="B24" t="s">
        <v>1282</v>
      </c>
      <c r="H24">
        <v>106619</v>
      </c>
      <c r="I24" t="s">
        <v>1287</v>
      </c>
      <c r="J24" t="str">
        <f t="shared" si="0"/>
        <v>ia.assorted_string like '%106619-00002-01-2025%' or</v>
      </c>
    </row>
    <row r="25" spans="1:10" x14ac:dyDescent="0.25">
      <c r="A25" s="22" t="s">
        <v>421</v>
      </c>
      <c r="B25" t="s">
        <v>1282</v>
      </c>
      <c r="H25">
        <v>106619</v>
      </c>
      <c r="I25" t="s">
        <v>1290</v>
      </c>
      <c r="J25" t="str">
        <f t="shared" si="0"/>
        <v>ia.assorted_string like '%106619-00003-01-2025%' or</v>
      </c>
    </row>
    <row r="26" spans="1:10" x14ac:dyDescent="0.25">
      <c r="A26" s="22" t="s">
        <v>426</v>
      </c>
      <c r="B26" t="s">
        <v>1282</v>
      </c>
      <c r="H26">
        <v>51840</v>
      </c>
      <c r="I26" t="s">
        <v>1288</v>
      </c>
      <c r="J26" t="str">
        <f t="shared" si="0"/>
        <v>ia.assorted_string like '%51840-00001-01-2025%' or</v>
      </c>
    </row>
    <row r="27" spans="1:10" x14ac:dyDescent="0.25">
      <c r="A27" s="22" t="s">
        <v>428</v>
      </c>
      <c r="B27" t="s">
        <v>1283</v>
      </c>
      <c r="H27">
        <v>52647</v>
      </c>
      <c r="I27" t="s">
        <v>1293</v>
      </c>
      <c r="J27" t="str">
        <f t="shared" si="0"/>
        <v>ia.assorted_string like '%52647-00018-02-2025%' or</v>
      </c>
    </row>
    <row r="28" spans="1:10" x14ac:dyDescent="0.25">
      <c r="A28" s="22" t="s">
        <v>429</v>
      </c>
      <c r="B28" t="s">
        <v>1283</v>
      </c>
      <c r="H28">
        <v>52647</v>
      </c>
      <c r="I28" t="s">
        <v>1294</v>
      </c>
      <c r="J28" t="str">
        <f t="shared" si="0"/>
        <v>ia.assorted_string like '%52647-00028-02-2025%' or</v>
      </c>
    </row>
    <row r="29" spans="1:10" x14ac:dyDescent="0.25">
      <c r="A29" s="22" t="s">
        <v>430</v>
      </c>
      <c r="B29" t="s">
        <v>1283</v>
      </c>
      <c r="H29">
        <v>52647</v>
      </c>
      <c r="I29" t="s">
        <v>1295</v>
      </c>
      <c r="J29" t="str">
        <f t="shared" si="0"/>
        <v>ia.assorted_string like '%52647-00021-02-2025%' or</v>
      </c>
    </row>
    <row r="30" spans="1:10" x14ac:dyDescent="0.25">
      <c r="A30" s="22" t="s">
        <v>450</v>
      </c>
      <c r="B30" t="s">
        <v>1283</v>
      </c>
      <c r="H30">
        <v>52382</v>
      </c>
      <c r="I30" t="s">
        <v>1288</v>
      </c>
      <c r="J30" t="str">
        <f t="shared" si="0"/>
        <v>ia.assorted_string like '%52382-00001-02-2025%' or</v>
      </c>
    </row>
    <row r="31" spans="1:10" x14ac:dyDescent="0.25">
      <c r="A31" s="22" t="s">
        <v>451</v>
      </c>
      <c r="B31" t="s">
        <v>1283</v>
      </c>
      <c r="H31">
        <v>52382</v>
      </c>
      <c r="I31" t="s">
        <v>1287</v>
      </c>
      <c r="J31" t="str">
        <f t="shared" si="0"/>
        <v>ia.assorted_string like '%52382-00002-02-2025%' or</v>
      </c>
    </row>
    <row r="32" spans="1:10" x14ac:dyDescent="0.25">
      <c r="A32" s="22" t="s">
        <v>452</v>
      </c>
      <c r="B32" t="s">
        <v>1283</v>
      </c>
      <c r="H32">
        <v>107042</v>
      </c>
      <c r="I32" t="s">
        <v>1288</v>
      </c>
      <c r="J32" t="str">
        <f t="shared" si="0"/>
        <v>ia.assorted_string like '%107042-00001-02-2025%' or</v>
      </c>
    </row>
    <row r="33" spans="1:10" x14ac:dyDescent="0.25">
      <c r="A33" s="22" t="s">
        <v>453</v>
      </c>
      <c r="B33" t="s">
        <v>1283</v>
      </c>
      <c r="H33">
        <v>107042</v>
      </c>
      <c r="I33" t="s">
        <v>1290</v>
      </c>
      <c r="J33" t="str">
        <f t="shared" si="0"/>
        <v>ia.assorted_string like '%107042-00003-02-2025%' or</v>
      </c>
    </row>
    <row r="34" spans="1:10" x14ac:dyDescent="0.25">
      <c r="A34" s="22" t="s">
        <v>454</v>
      </c>
      <c r="B34" t="s">
        <v>1283</v>
      </c>
      <c r="H34">
        <v>107535</v>
      </c>
      <c r="I34" t="s">
        <v>1288</v>
      </c>
      <c r="J34" t="str">
        <f t="shared" si="0"/>
        <v>ia.assorted_string like '%107535-00001-02-2025%' or</v>
      </c>
    </row>
    <row r="35" spans="1:10" x14ac:dyDescent="0.25">
      <c r="A35" s="22" t="s">
        <v>455</v>
      </c>
      <c r="B35" t="s">
        <v>1283</v>
      </c>
      <c r="H35">
        <v>107535</v>
      </c>
      <c r="I35" t="s">
        <v>1287</v>
      </c>
      <c r="J35" t="str">
        <f t="shared" si="0"/>
        <v>ia.assorted_string like '%107535-00002-02-2025%' or</v>
      </c>
    </row>
    <row r="36" spans="1:10" x14ac:dyDescent="0.25">
      <c r="A36" s="22" t="s">
        <v>457</v>
      </c>
      <c r="B36" t="s">
        <v>1285</v>
      </c>
      <c r="H36">
        <v>108021</v>
      </c>
      <c r="I36" t="s">
        <v>1287</v>
      </c>
      <c r="J36" t="str">
        <f t="shared" si="0"/>
        <v>ia.assorted_string like '%108021-00002-03-2025%' or</v>
      </c>
    </row>
    <row r="37" spans="1:10" x14ac:dyDescent="0.25">
      <c r="A37" s="22" t="s">
        <v>458</v>
      </c>
      <c r="B37" t="s">
        <v>1285</v>
      </c>
      <c r="H37">
        <v>108021</v>
      </c>
      <c r="I37" t="s">
        <v>1290</v>
      </c>
      <c r="J37" t="str">
        <f t="shared" si="0"/>
        <v>ia.assorted_string like '%108021-00003-03-2025%' or</v>
      </c>
    </row>
    <row r="38" spans="1:10" x14ac:dyDescent="0.25">
      <c r="A38" s="22" t="s">
        <v>473</v>
      </c>
      <c r="B38" t="s">
        <v>1282</v>
      </c>
      <c r="H38">
        <v>106035</v>
      </c>
      <c r="I38" t="s">
        <v>1288</v>
      </c>
      <c r="J38" t="str">
        <f t="shared" si="0"/>
        <v>ia.assorted_string like '%106035-00001-01-2025%' or</v>
      </c>
    </row>
    <row r="39" spans="1:10" x14ac:dyDescent="0.25">
      <c r="A39" s="22" t="s">
        <v>474</v>
      </c>
      <c r="B39" t="s">
        <v>1282</v>
      </c>
      <c r="H39">
        <v>106036</v>
      </c>
      <c r="I39" t="s">
        <v>1288</v>
      </c>
      <c r="J39" t="str">
        <f t="shared" si="0"/>
        <v>ia.assorted_string like '%106036-00001-01-2025%' or</v>
      </c>
    </row>
    <row r="40" spans="1:10" x14ac:dyDescent="0.25">
      <c r="A40" s="22" t="s">
        <v>475</v>
      </c>
      <c r="B40" t="s">
        <v>1282</v>
      </c>
      <c r="H40">
        <v>106036</v>
      </c>
      <c r="I40" t="s">
        <v>1287</v>
      </c>
      <c r="J40" t="str">
        <f t="shared" si="0"/>
        <v>ia.assorted_string like '%106036-00002-01-2025%' or</v>
      </c>
    </row>
    <row r="41" spans="1:10" x14ac:dyDescent="0.25">
      <c r="A41" s="22" t="s">
        <v>476</v>
      </c>
      <c r="B41" t="s">
        <v>1282</v>
      </c>
      <c r="H41">
        <v>106036</v>
      </c>
      <c r="I41" t="s">
        <v>1290</v>
      </c>
      <c r="J41" t="str">
        <f t="shared" si="0"/>
        <v>ia.assorted_string like '%106036-00003-01-2025%' or</v>
      </c>
    </row>
    <row r="42" spans="1:10" x14ac:dyDescent="0.25">
      <c r="A42" s="22" t="s">
        <v>477</v>
      </c>
      <c r="B42" t="s">
        <v>1282</v>
      </c>
      <c r="H42">
        <v>106036</v>
      </c>
      <c r="I42" t="s">
        <v>1289</v>
      </c>
      <c r="J42" t="str">
        <f t="shared" si="0"/>
        <v>ia.assorted_string like '%106036-00004-01-2025%' or</v>
      </c>
    </row>
    <row r="43" spans="1:10" x14ac:dyDescent="0.25">
      <c r="A43" s="22" t="s">
        <v>478</v>
      </c>
      <c r="B43" t="s">
        <v>1282</v>
      </c>
      <c r="H43">
        <v>106036</v>
      </c>
      <c r="I43" t="s">
        <v>1291</v>
      </c>
      <c r="J43" t="str">
        <f t="shared" si="0"/>
        <v>ia.assorted_string like '%106036-00005-01-2025%' or</v>
      </c>
    </row>
    <row r="44" spans="1:10" x14ac:dyDescent="0.25">
      <c r="A44" s="22" t="s">
        <v>480</v>
      </c>
      <c r="B44" t="s">
        <v>1282</v>
      </c>
      <c r="H44">
        <v>106036</v>
      </c>
      <c r="I44" t="s">
        <v>1296</v>
      </c>
      <c r="J44" t="str">
        <f t="shared" si="0"/>
        <v>ia.assorted_string like '%106036-00007-01-2025%' or</v>
      </c>
    </row>
    <row r="45" spans="1:10" x14ac:dyDescent="0.25">
      <c r="A45" s="22" t="s">
        <v>481</v>
      </c>
      <c r="B45" t="s">
        <v>1282</v>
      </c>
      <c r="H45">
        <v>106036</v>
      </c>
      <c r="I45" t="s">
        <v>1297</v>
      </c>
      <c r="J45" t="str">
        <f t="shared" si="0"/>
        <v>ia.assorted_string like '%106036-00008-01-2025%' 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B6F4-D8A4-424C-9F11-9896FFEDFA79}">
  <dimension ref="A1:C604"/>
  <sheetViews>
    <sheetView workbookViewId="0">
      <selection activeCell="E9" sqref="E9"/>
    </sheetView>
  </sheetViews>
  <sheetFormatPr defaultColWidth="7.85546875" defaultRowHeight="15" x14ac:dyDescent="0.25"/>
  <cols>
    <col min="1" max="1" width="4" bestFit="1" customWidth="1"/>
    <col min="2" max="2" width="44.140625" bestFit="1" customWidth="1"/>
    <col min="3" max="3" width="15" bestFit="1" customWidth="1"/>
  </cols>
  <sheetData>
    <row r="1" spans="1:3" s="26" customFormat="1" ht="12" x14ac:dyDescent="0.2">
      <c r="A1" s="26" t="s">
        <v>483</v>
      </c>
      <c r="B1" s="26" t="s">
        <v>484</v>
      </c>
      <c r="C1" s="26" t="s">
        <v>485</v>
      </c>
    </row>
    <row r="2" spans="1:3" x14ac:dyDescent="0.25">
      <c r="A2">
        <v>1</v>
      </c>
      <c r="B2" t="s">
        <v>13</v>
      </c>
      <c r="C2" t="s">
        <v>486</v>
      </c>
    </row>
    <row r="3" spans="1:3" x14ac:dyDescent="0.25">
      <c r="A3">
        <v>2</v>
      </c>
      <c r="B3" t="s">
        <v>12</v>
      </c>
      <c r="C3" t="s">
        <v>487</v>
      </c>
    </row>
    <row r="4" spans="1:3" x14ac:dyDescent="0.25">
      <c r="A4">
        <v>3</v>
      </c>
      <c r="B4" t="s">
        <v>104</v>
      </c>
      <c r="C4" t="s">
        <v>488</v>
      </c>
    </row>
    <row r="5" spans="1:3" x14ac:dyDescent="0.25">
      <c r="A5">
        <v>4</v>
      </c>
      <c r="B5" t="s">
        <v>29</v>
      </c>
      <c r="C5" t="s">
        <v>489</v>
      </c>
    </row>
    <row r="6" spans="1:3" x14ac:dyDescent="0.25">
      <c r="A6">
        <v>5</v>
      </c>
      <c r="B6" t="s">
        <v>38</v>
      </c>
      <c r="C6" t="s">
        <v>490</v>
      </c>
    </row>
    <row r="7" spans="1:3" x14ac:dyDescent="0.25">
      <c r="A7">
        <v>6</v>
      </c>
      <c r="B7" t="s">
        <v>20</v>
      </c>
      <c r="C7" t="s">
        <v>491</v>
      </c>
    </row>
    <row r="8" spans="1:3" x14ac:dyDescent="0.25">
      <c r="A8">
        <v>7</v>
      </c>
      <c r="B8" t="s">
        <v>24</v>
      </c>
      <c r="C8" t="s">
        <v>492</v>
      </c>
    </row>
    <row r="9" spans="1:3" x14ac:dyDescent="0.25">
      <c r="A9">
        <v>8</v>
      </c>
      <c r="B9" t="s">
        <v>132</v>
      </c>
      <c r="C9" t="s">
        <v>493</v>
      </c>
    </row>
    <row r="10" spans="1:3" x14ac:dyDescent="0.25">
      <c r="A10">
        <v>9</v>
      </c>
      <c r="B10" t="s">
        <v>242</v>
      </c>
      <c r="C10" t="s">
        <v>494</v>
      </c>
    </row>
    <row r="11" spans="1:3" x14ac:dyDescent="0.25">
      <c r="A11">
        <v>10</v>
      </c>
      <c r="B11" t="s">
        <v>19</v>
      </c>
      <c r="C11" t="s">
        <v>495</v>
      </c>
    </row>
    <row r="12" spans="1:3" x14ac:dyDescent="0.25">
      <c r="A12">
        <v>11</v>
      </c>
      <c r="B12" t="s">
        <v>25</v>
      </c>
      <c r="C12" t="s">
        <v>496</v>
      </c>
    </row>
    <row r="13" spans="1:3" x14ac:dyDescent="0.25">
      <c r="A13">
        <v>12</v>
      </c>
      <c r="B13" t="s">
        <v>101</v>
      </c>
      <c r="C13" t="s">
        <v>497</v>
      </c>
    </row>
    <row r="14" spans="1:3" x14ac:dyDescent="0.25">
      <c r="A14">
        <v>13</v>
      </c>
      <c r="B14" t="s">
        <v>33</v>
      </c>
      <c r="C14" t="s">
        <v>498</v>
      </c>
    </row>
    <row r="15" spans="1:3" x14ac:dyDescent="0.25">
      <c r="A15">
        <v>14</v>
      </c>
      <c r="B15" t="s">
        <v>16</v>
      </c>
      <c r="C15" t="s">
        <v>499</v>
      </c>
    </row>
    <row r="16" spans="1:3" x14ac:dyDescent="0.25">
      <c r="A16">
        <v>15</v>
      </c>
      <c r="B16" t="s">
        <v>23</v>
      </c>
      <c r="C16" t="s">
        <v>500</v>
      </c>
    </row>
    <row r="17" spans="1:3" x14ac:dyDescent="0.25">
      <c r="A17">
        <v>16</v>
      </c>
      <c r="B17" t="s">
        <v>14</v>
      </c>
      <c r="C17" t="s">
        <v>501</v>
      </c>
    </row>
    <row r="18" spans="1:3" x14ac:dyDescent="0.25">
      <c r="A18">
        <v>17</v>
      </c>
      <c r="B18" t="s">
        <v>17</v>
      </c>
      <c r="C18" t="s">
        <v>502</v>
      </c>
    </row>
    <row r="19" spans="1:3" x14ac:dyDescent="0.25">
      <c r="A19">
        <v>18</v>
      </c>
      <c r="B19" t="s">
        <v>22</v>
      </c>
      <c r="C19" t="s">
        <v>503</v>
      </c>
    </row>
    <row r="20" spans="1:3" x14ac:dyDescent="0.25">
      <c r="A20">
        <v>19</v>
      </c>
      <c r="B20" t="s">
        <v>15</v>
      </c>
      <c r="C20" t="s">
        <v>504</v>
      </c>
    </row>
    <row r="21" spans="1:3" x14ac:dyDescent="0.25">
      <c r="A21">
        <v>20</v>
      </c>
      <c r="B21" t="s">
        <v>18</v>
      </c>
      <c r="C21" t="s">
        <v>505</v>
      </c>
    </row>
    <row r="22" spans="1:3" x14ac:dyDescent="0.25">
      <c r="A22">
        <v>21</v>
      </c>
      <c r="B22" t="s">
        <v>1</v>
      </c>
      <c r="C22" t="s">
        <v>506</v>
      </c>
    </row>
    <row r="23" spans="1:3" x14ac:dyDescent="0.25">
      <c r="A23">
        <v>22</v>
      </c>
      <c r="B23" t="s">
        <v>30</v>
      </c>
      <c r="C23" t="s">
        <v>507</v>
      </c>
    </row>
    <row r="24" spans="1:3" x14ac:dyDescent="0.25">
      <c r="A24">
        <v>23</v>
      </c>
      <c r="B24" t="s">
        <v>32</v>
      </c>
      <c r="C24" t="s">
        <v>508</v>
      </c>
    </row>
    <row r="25" spans="1:3" x14ac:dyDescent="0.25">
      <c r="A25">
        <v>24</v>
      </c>
      <c r="B25" t="s">
        <v>26</v>
      </c>
      <c r="C25" t="s">
        <v>509</v>
      </c>
    </row>
    <row r="26" spans="1:3" x14ac:dyDescent="0.25">
      <c r="A26">
        <v>25</v>
      </c>
      <c r="B26" t="s">
        <v>35</v>
      </c>
      <c r="C26" t="s">
        <v>510</v>
      </c>
    </row>
    <row r="27" spans="1:3" x14ac:dyDescent="0.25">
      <c r="A27">
        <v>26</v>
      </c>
      <c r="B27" t="s">
        <v>21</v>
      </c>
      <c r="C27" t="s">
        <v>511</v>
      </c>
    </row>
    <row r="28" spans="1:3" x14ac:dyDescent="0.25">
      <c r="A28">
        <v>27</v>
      </c>
      <c r="B28" t="s">
        <v>103</v>
      </c>
      <c r="C28" t="s">
        <v>512</v>
      </c>
    </row>
    <row r="29" spans="1:3" x14ac:dyDescent="0.25">
      <c r="A29">
        <v>28</v>
      </c>
      <c r="B29" t="s">
        <v>41</v>
      </c>
      <c r="C29" t="s">
        <v>513</v>
      </c>
    </row>
    <row r="30" spans="1:3" x14ac:dyDescent="0.25">
      <c r="A30">
        <v>29</v>
      </c>
      <c r="B30" t="s">
        <v>110</v>
      </c>
      <c r="C30" t="s">
        <v>514</v>
      </c>
    </row>
    <row r="31" spans="1:3" x14ac:dyDescent="0.25">
      <c r="A31">
        <v>30</v>
      </c>
      <c r="B31" t="s">
        <v>28</v>
      </c>
      <c r="C31" t="s">
        <v>515</v>
      </c>
    </row>
    <row r="32" spans="1:3" x14ac:dyDescent="0.25">
      <c r="A32">
        <v>31</v>
      </c>
      <c r="B32" t="s">
        <v>40</v>
      </c>
      <c r="C32" t="s">
        <v>516</v>
      </c>
    </row>
    <row r="33" spans="1:3" x14ac:dyDescent="0.25">
      <c r="A33">
        <v>32</v>
      </c>
      <c r="B33" t="s">
        <v>114</v>
      </c>
      <c r="C33" t="s">
        <v>517</v>
      </c>
    </row>
    <row r="34" spans="1:3" x14ac:dyDescent="0.25">
      <c r="A34">
        <v>33</v>
      </c>
      <c r="B34" t="s">
        <v>27</v>
      </c>
      <c r="C34" t="s">
        <v>518</v>
      </c>
    </row>
    <row r="35" spans="1:3" x14ac:dyDescent="0.25">
      <c r="A35">
        <v>34</v>
      </c>
      <c r="B35" t="s">
        <v>42</v>
      </c>
      <c r="C35" t="s">
        <v>519</v>
      </c>
    </row>
    <row r="36" spans="1:3" x14ac:dyDescent="0.25">
      <c r="A36">
        <v>35</v>
      </c>
      <c r="B36" t="s">
        <v>39</v>
      </c>
      <c r="C36" t="s">
        <v>520</v>
      </c>
    </row>
    <row r="37" spans="1:3" x14ac:dyDescent="0.25">
      <c r="A37">
        <v>36</v>
      </c>
      <c r="B37" t="s">
        <v>108</v>
      </c>
      <c r="C37" t="s">
        <v>521</v>
      </c>
    </row>
    <row r="38" spans="1:3" x14ac:dyDescent="0.25">
      <c r="A38">
        <v>37</v>
      </c>
      <c r="B38" t="s">
        <v>31</v>
      </c>
      <c r="C38" t="s">
        <v>522</v>
      </c>
    </row>
    <row r="39" spans="1:3" x14ac:dyDescent="0.25">
      <c r="A39">
        <v>38</v>
      </c>
      <c r="B39" t="s">
        <v>34</v>
      </c>
      <c r="C39" t="s">
        <v>523</v>
      </c>
    </row>
    <row r="40" spans="1:3" x14ac:dyDescent="0.25">
      <c r="A40">
        <v>39</v>
      </c>
      <c r="B40" t="s">
        <v>199</v>
      </c>
      <c r="C40" t="s">
        <v>524</v>
      </c>
    </row>
    <row r="41" spans="1:3" x14ac:dyDescent="0.25">
      <c r="A41">
        <v>40</v>
      </c>
      <c r="B41" t="s">
        <v>126</v>
      </c>
      <c r="C41" t="s">
        <v>525</v>
      </c>
    </row>
    <row r="42" spans="1:3" x14ac:dyDescent="0.25">
      <c r="A42">
        <v>41</v>
      </c>
      <c r="B42" t="s">
        <v>44</v>
      </c>
      <c r="C42" t="s">
        <v>526</v>
      </c>
    </row>
    <row r="43" spans="1:3" x14ac:dyDescent="0.25">
      <c r="A43">
        <v>42</v>
      </c>
      <c r="B43" t="s">
        <v>102</v>
      </c>
      <c r="C43" t="s">
        <v>527</v>
      </c>
    </row>
    <row r="44" spans="1:3" x14ac:dyDescent="0.25">
      <c r="A44">
        <v>43</v>
      </c>
      <c r="B44" t="s">
        <v>125</v>
      </c>
      <c r="C44" t="s">
        <v>528</v>
      </c>
    </row>
    <row r="45" spans="1:3" x14ac:dyDescent="0.25">
      <c r="A45">
        <v>44</v>
      </c>
      <c r="B45" t="s">
        <v>36</v>
      </c>
      <c r="C45" t="s">
        <v>529</v>
      </c>
    </row>
    <row r="46" spans="1:3" x14ac:dyDescent="0.25">
      <c r="A46">
        <v>45</v>
      </c>
      <c r="B46" t="s">
        <v>43</v>
      </c>
      <c r="C46" t="s">
        <v>530</v>
      </c>
    </row>
    <row r="47" spans="1:3" x14ac:dyDescent="0.25">
      <c r="A47">
        <v>46</v>
      </c>
      <c r="B47" t="s">
        <v>111</v>
      </c>
      <c r="C47" t="s">
        <v>531</v>
      </c>
    </row>
    <row r="48" spans="1:3" x14ac:dyDescent="0.25">
      <c r="A48">
        <v>47</v>
      </c>
      <c r="B48" t="s">
        <v>112</v>
      </c>
      <c r="C48" t="s">
        <v>532</v>
      </c>
    </row>
    <row r="49" spans="1:3" x14ac:dyDescent="0.25">
      <c r="A49">
        <v>48</v>
      </c>
      <c r="B49" t="s">
        <v>109</v>
      </c>
      <c r="C49" t="s">
        <v>533</v>
      </c>
    </row>
    <row r="50" spans="1:3" x14ac:dyDescent="0.25">
      <c r="A50">
        <v>49</v>
      </c>
      <c r="B50" t="s">
        <v>115</v>
      </c>
      <c r="C50" t="s">
        <v>534</v>
      </c>
    </row>
    <row r="51" spans="1:3" x14ac:dyDescent="0.25">
      <c r="A51">
        <v>50</v>
      </c>
      <c r="B51" t="s">
        <v>37</v>
      </c>
      <c r="C51" t="s">
        <v>535</v>
      </c>
    </row>
    <row r="52" spans="1:3" x14ac:dyDescent="0.25">
      <c r="A52">
        <v>51</v>
      </c>
      <c r="B52" t="s">
        <v>113</v>
      </c>
      <c r="C52" t="s">
        <v>536</v>
      </c>
    </row>
    <row r="53" spans="1:3" x14ac:dyDescent="0.25">
      <c r="A53">
        <v>52</v>
      </c>
      <c r="B53" t="s">
        <v>144</v>
      </c>
      <c r="C53" t="s">
        <v>537</v>
      </c>
    </row>
    <row r="54" spans="1:3" x14ac:dyDescent="0.25">
      <c r="A54">
        <v>53</v>
      </c>
      <c r="B54" t="s">
        <v>315</v>
      </c>
      <c r="C54" t="s">
        <v>538</v>
      </c>
    </row>
    <row r="55" spans="1:3" x14ac:dyDescent="0.25">
      <c r="A55">
        <v>54</v>
      </c>
      <c r="B55" t="s">
        <v>312</v>
      </c>
      <c r="C55" t="s">
        <v>539</v>
      </c>
    </row>
    <row r="56" spans="1:3" x14ac:dyDescent="0.25">
      <c r="A56">
        <v>55</v>
      </c>
      <c r="B56" t="s">
        <v>159</v>
      </c>
      <c r="C56" t="s">
        <v>540</v>
      </c>
    </row>
    <row r="57" spans="1:3" x14ac:dyDescent="0.25">
      <c r="A57">
        <v>56</v>
      </c>
      <c r="B57" t="s">
        <v>156</v>
      </c>
      <c r="C57" t="s">
        <v>541</v>
      </c>
    </row>
    <row r="58" spans="1:3" x14ac:dyDescent="0.25">
      <c r="A58">
        <v>57</v>
      </c>
      <c r="B58" t="s">
        <v>329</v>
      </c>
      <c r="C58" t="s">
        <v>542</v>
      </c>
    </row>
    <row r="59" spans="1:3" x14ac:dyDescent="0.25">
      <c r="A59">
        <v>58</v>
      </c>
      <c r="B59" t="s">
        <v>127</v>
      </c>
      <c r="C59" t="s">
        <v>543</v>
      </c>
    </row>
    <row r="60" spans="1:3" x14ac:dyDescent="0.25">
      <c r="A60">
        <v>59</v>
      </c>
      <c r="B60" t="s">
        <v>170</v>
      </c>
      <c r="C60" t="s">
        <v>544</v>
      </c>
    </row>
    <row r="61" spans="1:3" x14ac:dyDescent="0.25">
      <c r="A61">
        <v>60</v>
      </c>
      <c r="B61" t="s">
        <v>160</v>
      </c>
      <c r="C61" t="s">
        <v>545</v>
      </c>
    </row>
    <row r="62" spans="1:3" x14ac:dyDescent="0.25">
      <c r="A62">
        <v>61</v>
      </c>
      <c r="B62" t="s">
        <v>322</v>
      </c>
      <c r="C62" t="s">
        <v>546</v>
      </c>
    </row>
    <row r="63" spans="1:3" x14ac:dyDescent="0.25">
      <c r="A63">
        <v>62</v>
      </c>
      <c r="B63" t="s">
        <v>164</v>
      </c>
      <c r="C63" t="s">
        <v>547</v>
      </c>
    </row>
    <row r="64" spans="1:3" x14ac:dyDescent="0.25">
      <c r="A64">
        <v>63</v>
      </c>
      <c r="B64" t="s">
        <v>335</v>
      </c>
      <c r="C64" t="s">
        <v>548</v>
      </c>
    </row>
    <row r="65" spans="1:3" x14ac:dyDescent="0.25">
      <c r="A65">
        <v>64</v>
      </c>
      <c r="B65" t="s">
        <v>52</v>
      </c>
      <c r="C65" t="s">
        <v>549</v>
      </c>
    </row>
    <row r="66" spans="1:3" x14ac:dyDescent="0.25">
      <c r="A66">
        <v>65</v>
      </c>
      <c r="B66" t="s">
        <v>317</v>
      </c>
      <c r="C66" t="s">
        <v>550</v>
      </c>
    </row>
    <row r="67" spans="1:3" x14ac:dyDescent="0.25">
      <c r="A67">
        <v>66</v>
      </c>
      <c r="B67" t="s">
        <v>321</v>
      </c>
      <c r="C67" t="s">
        <v>551</v>
      </c>
    </row>
    <row r="68" spans="1:3" x14ac:dyDescent="0.25">
      <c r="A68">
        <v>67</v>
      </c>
      <c r="B68" t="s">
        <v>316</v>
      </c>
      <c r="C68" t="s">
        <v>552</v>
      </c>
    </row>
    <row r="69" spans="1:3" x14ac:dyDescent="0.25">
      <c r="A69">
        <v>68</v>
      </c>
      <c r="B69" t="s">
        <v>106</v>
      </c>
      <c r="C69" t="s">
        <v>553</v>
      </c>
    </row>
    <row r="70" spans="1:3" x14ac:dyDescent="0.25">
      <c r="A70">
        <v>69</v>
      </c>
      <c r="B70" t="s">
        <v>167</v>
      </c>
      <c r="C70" t="s">
        <v>554</v>
      </c>
    </row>
    <row r="71" spans="1:3" x14ac:dyDescent="0.25">
      <c r="A71">
        <v>70</v>
      </c>
      <c r="B71" t="s">
        <v>166</v>
      </c>
      <c r="C71" t="s">
        <v>555</v>
      </c>
    </row>
    <row r="72" spans="1:3" x14ac:dyDescent="0.25">
      <c r="A72">
        <v>71</v>
      </c>
      <c r="B72" t="s">
        <v>336</v>
      </c>
      <c r="C72" t="s">
        <v>556</v>
      </c>
    </row>
    <row r="73" spans="1:3" x14ac:dyDescent="0.25">
      <c r="A73">
        <v>72</v>
      </c>
      <c r="B73" t="s">
        <v>359</v>
      </c>
      <c r="C73" t="s">
        <v>557</v>
      </c>
    </row>
    <row r="74" spans="1:3" x14ac:dyDescent="0.25">
      <c r="A74">
        <v>73</v>
      </c>
      <c r="B74" t="s">
        <v>558</v>
      </c>
      <c r="C74" t="s">
        <v>559</v>
      </c>
    </row>
    <row r="75" spans="1:3" x14ac:dyDescent="0.25">
      <c r="A75">
        <v>74</v>
      </c>
      <c r="B75" t="s">
        <v>325</v>
      </c>
      <c r="C75" t="s">
        <v>560</v>
      </c>
    </row>
    <row r="76" spans="1:3" x14ac:dyDescent="0.25">
      <c r="A76">
        <v>75</v>
      </c>
      <c r="B76" t="s">
        <v>2</v>
      </c>
      <c r="C76" t="s">
        <v>561</v>
      </c>
    </row>
    <row r="77" spans="1:3" x14ac:dyDescent="0.25">
      <c r="A77">
        <v>76</v>
      </c>
      <c r="B77" t="s">
        <v>157</v>
      </c>
      <c r="C77" t="s">
        <v>562</v>
      </c>
    </row>
    <row r="78" spans="1:3" x14ac:dyDescent="0.25">
      <c r="A78">
        <v>77</v>
      </c>
      <c r="B78" t="s">
        <v>563</v>
      </c>
      <c r="C78" t="s">
        <v>564</v>
      </c>
    </row>
    <row r="79" spans="1:3" x14ac:dyDescent="0.25">
      <c r="A79">
        <v>78</v>
      </c>
      <c r="B79" t="s">
        <v>327</v>
      </c>
      <c r="C79" t="s">
        <v>565</v>
      </c>
    </row>
    <row r="80" spans="1:3" x14ac:dyDescent="0.25">
      <c r="A80">
        <v>79</v>
      </c>
      <c r="B80" t="s">
        <v>330</v>
      </c>
      <c r="C80" t="s">
        <v>566</v>
      </c>
    </row>
    <row r="81" spans="1:3" x14ac:dyDescent="0.25">
      <c r="A81">
        <v>80</v>
      </c>
      <c r="B81" t="s">
        <v>332</v>
      </c>
      <c r="C81" t="s">
        <v>567</v>
      </c>
    </row>
    <row r="82" spans="1:3" x14ac:dyDescent="0.25">
      <c r="A82">
        <v>81</v>
      </c>
      <c r="B82" t="s">
        <v>324</v>
      </c>
      <c r="C82" t="s">
        <v>568</v>
      </c>
    </row>
    <row r="83" spans="1:3" x14ac:dyDescent="0.25">
      <c r="A83">
        <v>82</v>
      </c>
      <c r="B83" t="s">
        <v>118</v>
      </c>
      <c r="C83" t="s">
        <v>569</v>
      </c>
    </row>
    <row r="84" spans="1:3" x14ac:dyDescent="0.25">
      <c r="A84">
        <v>83</v>
      </c>
      <c r="B84" t="s">
        <v>140</v>
      </c>
      <c r="C84" t="s">
        <v>570</v>
      </c>
    </row>
    <row r="85" spans="1:3" x14ac:dyDescent="0.25">
      <c r="A85">
        <v>84</v>
      </c>
      <c r="B85" t="s">
        <v>105</v>
      </c>
      <c r="C85" t="s">
        <v>571</v>
      </c>
    </row>
    <row r="86" spans="1:3" x14ac:dyDescent="0.25">
      <c r="A86">
        <v>85</v>
      </c>
      <c r="B86" t="s">
        <v>149</v>
      </c>
      <c r="C86" t="s">
        <v>572</v>
      </c>
    </row>
    <row r="87" spans="1:3" x14ac:dyDescent="0.25">
      <c r="A87">
        <v>86</v>
      </c>
      <c r="B87" t="s">
        <v>357</v>
      </c>
      <c r="C87" t="s">
        <v>573</v>
      </c>
    </row>
    <row r="88" spans="1:3" x14ac:dyDescent="0.25">
      <c r="A88">
        <v>87</v>
      </c>
      <c r="B88" t="s">
        <v>146</v>
      </c>
      <c r="C88" t="s">
        <v>574</v>
      </c>
    </row>
    <row r="89" spans="1:3" x14ac:dyDescent="0.25">
      <c r="A89">
        <v>88</v>
      </c>
      <c r="B89" t="s">
        <v>105</v>
      </c>
      <c r="C89" t="s">
        <v>575</v>
      </c>
    </row>
    <row r="90" spans="1:3" x14ac:dyDescent="0.25">
      <c r="A90">
        <v>89</v>
      </c>
      <c r="B90" t="s">
        <v>145</v>
      </c>
      <c r="C90" t="s">
        <v>576</v>
      </c>
    </row>
    <row r="91" spans="1:3" x14ac:dyDescent="0.25">
      <c r="A91">
        <v>90</v>
      </c>
      <c r="B91" t="s">
        <v>123</v>
      </c>
      <c r="C91" t="s">
        <v>577</v>
      </c>
    </row>
    <row r="92" spans="1:3" x14ac:dyDescent="0.25">
      <c r="A92">
        <v>91</v>
      </c>
      <c r="B92" t="s">
        <v>135</v>
      </c>
      <c r="C92" t="s">
        <v>578</v>
      </c>
    </row>
    <row r="93" spans="1:3" x14ac:dyDescent="0.25">
      <c r="A93">
        <v>92</v>
      </c>
      <c r="B93" t="s">
        <v>313</v>
      </c>
      <c r="C93" t="s">
        <v>579</v>
      </c>
    </row>
    <row r="94" spans="1:3" x14ac:dyDescent="0.25">
      <c r="A94">
        <v>93</v>
      </c>
      <c r="B94" t="s">
        <v>130</v>
      </c>
      <c r="C94" t="s">
        <v>580</v>
      </c>
    </row>
    <row r="95" spans="1:3" x14ac:dyDescent="0.25">
      <c r="A95">
        <v>94</v>
      </c>
      <c r="B95" t="s">
        <v>131</v>
      </c>
      <c r="C95" t="s">
        <v>581</v>
      </c>
    </row>
    <row r="96" spans="1:3" x14ac:dyDescent="0.25">
      <c r="A96">
        <v>95</v>
      </c>
      <c r="B96" t="s">
        <v>120</v>
      </c>
      <c r="C96" t="s">
        <v>582</v>
      </c>
    </row>
    <row r="97" spans="1:3" x14ac:dyDescent="0.25">
      <c r="A97">
        <v>96</v>
      </c>
      <c r="B97" t="s">
        <v>299</v>
      </c>
      <c r="C97" t="s">
        <v>583</v>
      </c>
    </row>
    <row r="98" spans="1:3" x14ac:dyDescent="0.25">
      <c r="A98">
        <v>97</v>
      </c>
      <c r="B98" t="s">
        <v>200</v>
      </c>
      <c r="C98" t="s">
        <v>584</v>
      </c>
    </row>
    <row r="99" spans="1:3" x14ac:dyDescent="0.25">
      <c r="A99">
        <v>98</v>
      </c>
      <c r="B99" t="s">
        <v>139</v>
      </c>
      <c r="C99" t="s">
        <v>585</v>
      </c>
    </row>
    <row r="100" spans="1:3" x14ac:dyDescent="0.25">
      <c r="A100">
        <v>99</v>
      </c>
      <c r="B100" t="s">
        <v>116</v>
      </c>
      <c r="C100" t="s">
        <v>586</v>
      </c>
    </row>
    <row r="101" spans="1:3" x14ac:dyDescent="0.25">
      <c r="A101">
        <v>100</v>
      </c>
      <c r="B101" t="s">
        <v>121</v>
      </c>
      <c r="C101" t="s">
        <v>587</v>
      </c>
    </row>
    <row r="102" spans="1:3" x14ac:dyDescent="0.25">
      <c r="A102">
        <v>101</v>
      </c>
      <c r="B102" t="s">
        <v>134</v>
      </c>
      <c r="C102" t="s">
        <v>588</v>
      </c>
    </row>
    <row r="103" spans="1:3" x14ac:dyDescent="0.25">
      <c r="A103">
        <v>102</v>
      </c>
      <c r="B103" t="s">
        <v>142</v>
      </c>
      <c r="C103" t="s">
        <v>589</v>
      </c>
    </row>
    <row r="104" spans="1:3" x14ac:dyDescent="0.25">
      <c r="A104">
        <v>103</v>
      </c>
      <c r="B104" t="s">
        <v>389</v>
      </c>
      <c r="C104" t="s">
        <v>590</v>
      </c>
    </row>
    <row r="105" spans="1:3" x14ac:dyDescent="0.25">
      <c r="A105">
        <v>104</v>
      </c>
      <c r="B105" t="s">
        <v>49</v>
      </c>
      <c r="C105" t="s">
        <v>591</v>
      </c>
    </row>
    <row r="106" spans="1:3" x14ac:dyDescent="0.25">
      <c r="A106">
        <v>105</v>
      </c>
      <c r="B106" t="s">
        <v>310</v>
      </c>
      <c r="C106" t="s">
        <v>592</v>
      </c>
    </row>
    <row r="107" spans="1:3" x14ac:dyDescent="0.25">
      <c r="A107">
        <v>106</v>
      </c>
      <c r="B107" t="s">
        <v>47</v>
      </c>
      <c r="C107" t="s">
        <v>593</v>
      </c>
    </row>
    <row r="108" spans="1:3" x14ac:dyDescent="0.25">
      <c r="A108">
        <v>107</v>
      </c>
      <c r="B108" t="s">
        <v>129</v>
      </c>
      <c r="C108" t="s">
        <v>594</v>
      </c>
    </row>
    <row r="109" spans="1:3" x14ac:dyDescent="0.25">
      <c r="A109">
        <v>108</v>
      </c>
      <c r="B109" t="s">
        <v>51</v>
      </c>
      <c r="C109" t="s">
        <v>595</v>
      </c>
    </row>
    <row r="110" spans="1:3" x14ac:dyDescent="0.25">
      <c r="A110">
        <v>109</v>
      </c>
      <c r="B110" t="s">
        <v>117</v>
      </c>
      <c r="C110" t="s">
        <v>596</v>
      </c>
    </row>
    <row r="111" spans="1:3" x14ac:dyDescent="0.25">
      <c r="A111">
        <v>110</v>
      </c>
      <c r="B111" t="s">
        <v>597</v>
      </c>
      <c r="C111" t="s">
        <v>598</v>
      </c>
    </row>
    <row r="112" spans="1:3" x14ac:dyDescent="0.25">
      <c r="A112">
        <v>111</v>
      </c>
      <c r="B112" t="s">
        <v>155</v>
      </c>
      <c r="C112" t="s">
        <v>599</v>
      </c>
    </row>
    <row r="113" spans="1:3" x14ac:dyDescent="0.25">
      <c r="A113">
        <v>112</v>
      </c>
      <c r="B113" t="s">
        <v>138</v>
      </c>
      <c r="C113" t="s">
        <v>600</v>
      </c>
    </row>
    <row r="114" spans="1:3" x14ac:dyDescent="0.25">
      <c r="A114">
        <v>113</v>
      </c>
      <c r="B114" t="s">
        <v>45</v>
      </c>
      <c r="C114" t="s">
        <v>601</v>
      </c>
    </row>
    <row r="115" spans="1:3" x14ac:dyDescent="0.25">
      <c r="A115">
        <v>114</v>
      </c>
      <c r="B115" t="s">
        <v>122</v>
      </c>
      <c r="C115" t="s">
        <v>602</v>
      </c>
    </row>
    <row r="116" spans="1:3" x14ac:dyDescent="0.25">
      <c r="A116">
        <v>115</v>
      </c>
      <c r="B116" t="s">
        <v>152</v>
      </c>
      <c r="C116" t="s">
        <v>603</v>
      </c>
    </row>
    <row r="117" spans="1:3" x14ac:dyDescent="0.25">
      <c r="A117">
        <v>116</v>
      </c>
      <c r="B117" t="s">
        <v>137</v>
      </c>
      <c r="C117" t="s">
        <v>604</v>
      </c>
    </row>
    <row r="118" spans="1:3" x14ac:dyDescent="0.25">
      <c r="A118">
        <v>117</v>
      </c>
      <c r="B118" t="s">
        <v>141</v>
      </c>
      <c r="C118" t="s">
        <v>605</v>
      </c>
    </row>
    <row r="119" spans="1:3" x14ac:dyDescent="0.25">
      <c r="A119">
        <v>118</v>
      </c>
      <c r="B119" t="s">
        <v>128</v>
      </c>
      <c r="C119" t="s">
        <v>606</v>
      </c>
    </row>
    <row r="120" spans="1:3" x14ac:dyDescent="0.25">
      <c r="A120">
        <v>119</v>
      </c>
      <c r="B120" t="s">
        <v>311</v>
      </c>
      <c r="C120" t="s">
        <v>607</v>
      </c>
    </row>
    <row r="121" spans="1:3" x14ac:dyDescent="0.25">
      <c r="A121">
        <v>120</v>
      </c>
      <c r="B121" t="s">
        <v>424</v>
      </c>
      <c r="C121" t="s">
        <v>608</v>
      </c>
    </row>
    <row r="122" spans="1:3" x14ac:dyDescent="0.25">
      <c r="A122">
        <v>121</v>
      </c>
      <c r="B122" t="s">
        <v>154</v>
      </c>
      <c r="C122" t="s">
        <v>609</v>
      </c>
    </row>
    <row r="123" spans="1:3" x14ac:dyDescent="0.25">
      <c r="A123">
        <v>122</v>
      </c>
      <c r="B123" t="s">
        <v>298</v>
      </c>
      <c r="C123" t="s">
        <v>610</v>
      </c>
    </row>
    <row r="124" spans="1:3" x14ac:dyDescent="0.25">
      <c r="A124">
        <v>123</v>
      </c>
      <c r="B124" t="s">
        <v>48</v>
      </c>
      <c r="C124" t="s">
        <v>611</v>
      </c>
    </row>
    <row r="125" spans="1:3" x14ac:dyDescent="0.25">
      <c r="A125">
        <v>124</v>
      </c>
      <c r="B125" t="s">
        <v>150</v>
      </c>
      <c r="C125" t="s">
        <v>612</v>
      </c>
    </row>
    <row r="126" spans="1:3" x14ac:dyDescent="0.25">
      <c r="A126">
        <v>125</v>
      </c>
      <c r="B126" t="s">
        <v>124</v>
      </c>
      <c r="C126" t="s">
        <v>613</v>
      </c>
    </row>
    <row r="127" spans="1:3" x14ac:dyDescent="0.25">
      <c r="A127">
        <v>126</v>
      </c>
      <c r="B127" t="s">
        <v>119</v>
      </c>
      <c r="C127" t="s">
        <v>614</v>
      </c>
    </row>
    <row r="128" spans="1:3" x14ac:dyDescent="0.25">
      <c r="A128">
        <v>127</v>
      </c>
      <c r="B128" t="s">
        <v>50</v>
      </c>
      <c r="C128" t="s">
        <v>615</v>
      </c>
    </row>
    <row r="129" spans="1:3" x14ac:dyDescent="0.25">
      <c r="A129">
        <v>128</v>
      </c>
      <c r="B129" t="s">
        <v>46</v>
      </c>
      <c r="C129" t="s">
        <v>616</v>
      </c>
    </row>
    <row r="130" spans="1:3" x14ac:dyDescent="0.25">
      <c r="A130">
        <v>129</v>
      </c>
      <c r="B130" t="s">
        <v>147</v>
      </c>
      <c r="C130" t="s">
        <v>617</v>
      </c>
    </row>
    <row r="131" spans="1:3" x14ac:dyDescent="0.25">
      <c r="A131">
        <v>130</v>
      </c>
      <c r="B131" t="s">
        <v>148</v>
      </c>
      <c r="C131" t="s">
        <v>618</v>
      </c>
    </row>
    <row r="132" spans="1:3" x14ac:dyDescent="0.25">
      <c r="A132">
        <v>131</v>
      </c>
      <c r="B132" t="s">
        <v>153</v>
      </c>
      <c r="C132" t="s">
        <v>619</v>
      </c>
    </row>
    <row r="133" spans="1:3" x14ac:dyDescent="0.25">
      <c r="A133">
        <v>132</v>
      </c>
      <c r="B133" t="s">
        <v>133</v>
      </c>
      <c r="C133" t="s">
        <v>620</v>
      </c>
    </row>
    <row r="134" spans="1:3" x14ac:dyDescent="0.25">
      <c r="A134">
        <v>133</v>
      </c>
      <c r="B134" t="s">
        <v>136</v>
      </c>
      <c r="C134" t="s">
        <v>621</v>
      </c>
    </row>
    <row r="135" spans="1:3" x14ac:dyDescent="0.25">
      <c r="A135">
        <v>134</v>
      </c>
      <c r="B135" t="s">
        <v>423</v>
      </c>
      <c r="C135" t="s">
        <v>622</v>
      </c>
    </row>
    <row r="136" spans="1:3" x14ac:dyDescent="0.25">
      <c r="A136">
        <v>135</v>
      </c>
      <c r="B136" t="s">
        <v>358</v>
      </c>
      <c r="C136" t="s">
        <v>623</v>
      </c>
    </row>
    <row r="137" spans="1:3" x14ac:dyDescent="0.25">
      <c r="A137">
        <v>136</v>
      </c>
      <c r="B137" t="s">
        <v>331</v>
      </c>
      <c r="C137" t="s">
        <v>624</v>
      </c>
    </row>
    <row r="138" spans="1:3" x14ac:dyDescent="0.25">
      <c r="A138">
        <v>137</v>
      </c>
      <c r="B138" t="s">
        <v>151</v>
      </c>
      <c r="C138" t="s">
        <v>625</v>
      </c>
    </row>
    <row r="139" spans="1:3" x14ac:dyDescent="0.25">
      <c r="A139">
        <v>138</v>
      </c>
      <c r="B139" t="s">
        <v>171</v>
      </c>
      <c r="C139" t="s">
        <v>626</v>
      </c>
    </row>
    <row r="140" spans="1:3" x14ac:dyDescent="0.25">
      <c r="A140">
        <v>139</v>
      </c>
      <c r="B140" t="s">
        <v>318</v>
      </c>
      <c r="C140" t="s">
        <v>627</v>
      </c>
    </row>
    <row r="141" spans="1:3" x14ac:dyDescent="0.25">
      <c r="A141">
        <v>140</v>
      </c>
      <c r="B141" t="s">
        <v>161</v>
      </c>
      <c r="C141" t="s">
        <v>628</v>
      </c>
    </row>
    <row r="142" spans="1:3" x14ac:dyDescent="0.25">
      <c r="A142">
        <v>141</v>
      </c>
      <c r="B142" t="s">
        <v>326</v>
      </c>
      <c r="C142" t="s">
        <v>629</v>
      </c>
    </row>
    <row r="143" spans="1:3" x14ac:dyDescent="0.25">
      <c r="A143">
        <v>142</v>
      </c>
      <c r="B143" t="s">
        <v>168</v>
      </c>
      <c r="C143" t="s">
        <v>630</v>
      </c>
    </row>
    <row r="144" spans="1:3" x14ac:dyDescent="0.25">
      <c r="A144">
        <v>143</v>
      </c>
      <c r="B144" t="s">
        <v>163</v>
      </c>
      <c r="C144" t="s">
        <v>631</v>
      </c>
    </row>
    <row r="145" spans="1:3" x14ac:dyDescent="0.25">
      <c r="A145">
        <v>144</v>
      </c>
      <c r="B145" t="s">
        <v>328</v>
      </c>
      <c r="C145" t="s">
        <v>632</v>
      </c>
    </row>
    <row r="146" spans="1:3" x14ac:dyDescent="0.25">
      <c r="A146">
        <v>145</v>
      </c>
      <c r="B146" t="s">
        <v>320</v>
      </c>
      <c r="C146" t="s">
        <v>633</v>
      </c>
    </row>
    <row r="147" spans="1:3" x14ac:dyDescent="0.25">
      <c r="A147">
        <v>146</v>
      </c>
      <c r="B147" t="s">
        <v>158</v>
      </c>
      <c r="C147" t="s">
        <v>634</v>
      </c>
    </row>
    <row r="148" spans="1:3" x14ac:dyDescent="0.25">
      <c r="A148">
        <v>147</v>
      </c>
      <c r="B148" t="s">
        <v>319</v>
      </c>
      <c r="C148" t="s">
        <v>635</v>
      </c>
    </row>
    <row r="149" spans="1:3" x14ac:dyDescent="0.25">
      <c r="A149">
        <v>148</v>
      </c>
      <c r="B149" t="s">
        <v>162</v>
      </c>
      <c r="C149" t="s">
        <v>636</v>
      </c>
    </row>
    <row r="150" spans="1:3" x14ac:dyDescent="0.25">
      <c r="A150">
        <v>149</v>
      </c>
      <c r="B150" t="s">
        <v>333</v>
      </c>
      <c r="C150" t="s">
        <v>637</v>
      </c>
    </row>
    <row r="151" spans="1:3" x14ac:dyDescent="0.25">
      <c r="A151">
        <v>150</v>
      </c>
      <c r="B151" t="s">
        <v>334</v>
      </c>
      <c r="C151" t="s">
        <v>638</v>
      </c>
    </row>
    <row r="152" spans="1:3" x14ac:dyDescent="0.25">
      <c r="A152">
        <v>151</v>
      </c>
      <c r="B152" t="s">
        <v>165</v>
      </c>
      <c r="C152" t="s">
        <v>639</v>
      </c>
    </row>
    <row r="153" spans="1:3" x14ac:dyDescent="0.25">
      <c r="A153">
        <v>152</v>
      </c>
      <c r="B153" t="s">
        <v>169</v>
      </c>
      <c r="C153" t="s">
        <v>640</v>
      </c>
    </row>
    <row r="154" spans="1:3" x14ac:dyDescent="0.25">
      <c r="A154">
        <v>153</v>
      </c>
      <c r="B154" t="s">
        <v>143</v>
      </c>
      <c r="C154" t="s">
        <v>641</v>
      </c>
    </row>
    <row r="155" spans="1:3" x14ac:dyDescent="0.25">
      <c r="A155">
        <v>154</v>
      </c>
      <c r="B155" t="s">
        <v>314</v>
      </c>
      <c r="C155" t="s">
        <v>642</v>
      </c>
    </row>
    <row r="156" spans="1:3" x14ac:dyDescent="0.25">
      <c r="A156">
        <v>155</v>
      </c>
      <c r="B156" t="s">
        <v>422</v>
      </c>
      <c r="C156" t="s">
        <v>643</v>
      </c>
    </row>
    <row r="157" spans="1:3" x14ac:dyDescent="0.25">
      <c r="A157">
        <v>156</v>
      </c>
      <c r="B157" t="s">
        <v>349</v>
      </c>
      <c r="C157" t="s">
        <v>644</v>
      </c>
    </row>
    <row r="158" spans="1:3" x14ac:dyDescent="0.25">
      <c r="A158">
        <v>157</v>
      </c>
      <c r="B158" t="s">
        <v>352</v>
      </c>
      <c r="C158" t="s">
        <v>645</v>
      </c>
    </row>
    <row r="159" spans="1:3" x14ac:dyDescent="0.25">
      <c r="A159">
        <v>158</v>
      </c>
      <c r="B159" t="s">
        <v>343</v>
      </c>
      <c r="C159" t="s">
        <v>646</v>
      </c>
    </row>
    <row r="160" spans="1:3" x14ac:dyDescent="0.25">
      <c r="A160">
        <v>159</v>
      </c>
      <c r="B160" t="s">
        <v>348</v>
      </c>
      <c r="C160" t="s">
        <v>647</v>
      </c>
    </row>
    <row r="161" spans="1:3" x14ac:dyDescent="0.25">
      <c r="A161">
        <v>160</v>
      </c>
      <c r="B161" t="s">
        <v>99</v>
      </c>
      <c r="C161" t="s">
        <v>648</v>
      </c>
    </row>
    <row r="162" spans="1:3" x14ac:dyDescent="0.25">
      <c r="A162">
        <v>161</v>
      </c>
      <c r="B162" t="s">
        <v>395</v>
      </c>
      <c r="C162" t="s">
        <v>649</v>
      </c>
    </row>
    <row r="163" spans="1:3" x14ac:dyDescent="0.25">
      <c r="A163">
        <v>162</v>
      </c>
      <c r="B163" t="s">
        <v>417</v>
      </c>
      <c r="C163" t="s">
        <v>650</v>
      </c>
    </row>
    <row r="164" spans="1:3" x14ac:dyDescent="0.25">
      <c r="A164">
        <v>163</v>
      </c>
      <c r="B164" t="s">
        <v>85</v>
      </c>
      <c r="C164" t="s">
        <v>651</v>
      </c>
    </row>
    <row r="165" spans="1:3" x14ac:dyDescent="0.25">
      <c r="A165">
        <v>164</v>
      </c>
      <c r="B165" t="s">
        <v>87</v>
      </c>
      <c r="C165" t="s">
        <v>652</v>
      </c>
    </row>
    <row r="166" spans="1:3" x14ac:dyDescent="0.25">
      <c r="A166">
        <v>165</v>
      </c>
      <c r="B166" t="s">
        <v>400</v>
      </c>
      <c r="C166" t="s">
        <v>653</v>
      </c>
    </row>
    <row r="167" spans="1:3" x14ac:dyDescent="0.25">
      <c r="A167">
        <v>166</v>
      </c>
      <c r="B167" t="s">
        <v>78</v>
      </c>
      <c r="C167" t="s">
        <v>654</v>
      </c>
    </row>
    <row r="168" spans="1:3" x14ac:dyDescent="0.25">
      <c r="A168">
        <v>167</v>
      </c>
      <c r="B168" t="s">
        <v>467</v>
      </c>
      <c r="C168" t="s">
        <v>655</v>
      </c>
    </row>
    <row r="169" spans="1:3" x14ac:dyDescent="0.25">
      <c r="A169">
        <v>168</v>
      </c>
      <c r="B169" t="s">
        <v>441</v>
      </c>
      <c r="C169" t="s">
        <v>656</v>
      </c>
    </row>
    <row r="170" spans="1:3" x14ac:dyDescent="0.25">
      <c r="A170">
        <v>169</v>
      </c>
      <c r="B170" t="s">
        <v>193</v>
      </c>
      <c r="C170" t="s">
        <v>657</v>
      </c>
    </row>
    <row r="171" spans="1:3" x14ac:dyDescent="0.25">
      <c r="A171">
        <v>170</v>
      </c>
      <c r="B171" t="s">
        <v>62</v>
      </c>
      <c r="C171" t="s">
        <v>658</v>
      </c>
    </row>
    <row r="172" spans="1:3" x14ac:dyDescent="0.25">
      <c r="A172">
        <v>171</v>
      </c>
      <c r="B172" t="s">
        <v>206</v>
      </c>
      <c r="C172" t="s">
        <v>659</v>
      </c>
    </row>
    <row r="173" spans="1:3" x14ac:dyDescent="0.25">
      <c r="A173">
        <v>172</v>
      </c>
      <c r="B173" t="s">
        <v>210</v>
      </c>
      <c r="C173" t="s">
        <v>660</v>
      </c>
    </row>
    <row r="174" spans="1:3" x14ac:dyDescent="0.25">
      <c r="A174">
        <v>173</v>
      </c>
      <c r="B174" t="s">
        <v>469</v>
      </c>
      <c r="C174" t="s">
        <v>661</v>
      </c>
    </row>
    <row r="175" spans="1:3" x14ac:dyDescent="0.25">
      <c r="A175">
        <v>174</v>
      </c>
      <c r="B175" t="s">
        <v>465</v>
      </c>
      <c r="C175" t="s">
        <v>662</v>
      </c>
    </row>
    <row r="176" spans="1:3" x14ac:dyDescent="0.25">
      <c r="A176">
        <v>175</v>
      </c>
      <c r="B176" t="s">
        <v>223</v>
      </c>
      <c r="C176" t="s">
        <v>663</v>
      </c>
    </row>
    <row r="177" spans="1:3" x14ac:dyDescent="0.25">
      <c r="A177">
        <v>176</v>
      </c>
      <c r="B177" t="s">
        <v>194</v>
      </c>
      <c r="C177" t="s">
        <v>664</v>
      </c>
    </row>
    <row r="178" spans="1:3" x14ac:dyDescent="0.25">
      <c r="A178">
        <v>177</v>
      </c>
      <c r="B178" t="s">
        <v>468</v>
      </c>
      <c r="C178" t="s">
        <v>665</v>
      </c>
    </row>
    <row r="179" spans="1:3" x14ac:dyDescent="0.25">
      <c r="A179">
        <v>178</v>
      </c>
      <c r="B179" t="s">
        <v>411</v>
      </c>
      <c r="C179" t="s">
        <v>666</v>
      </c>
    </row>
    <row r="180" spans="1:3" x14ac:dyDescent="0.25">
      <c r="A180">
        <v>179</v>
      </c>
      <c r="B180" t="s">
        <v>225</v>
      </c>
      <c r="C180" t="s">
        <v>667</v>
      </c>
    </row>
    <row r="181" spans="1:3" x14ac:dyDescent="0.25">
      <c r="A181">
        <v>180</v>
      </c>
      <c r="B181" t="s">
        <v>413</v>
      </c>
      <c r="C181" t="s">
        <v>668</v>
      </c>
    </row>
    <row r="182" spans="1:3" x14ac:dyDescent="0.25">
      <c r="A182">
        <v>181</v>
      </c>
      <c r="B182" t="s">
        <v>354</v>
      </c>
      <c r="C182" t="s">
        <v>669</v>
      </c>
    </row>
    <row r="183" spans="1:3" x14ac:dyDescent="0.25">
      <c r="A183">
        <v>182</v>
      </c>
      <c r="B183" t="s">
        <v>409</v>
      </c>
      <c r="C183" t="s">
        <v>670</v>
      </c>
    </row>
    <row r="184" spans="1:3" x14ac:dyDescent="0.25">
      <c r="A184">
        <v>183</v>
      </c>
      <c r="B184" t="s">
        <v>410</v>
      </c>
      <c r="C184" t="s">
        <v>671</v>
      </c>
    </row>
    <row r="185" spans="1:3" x14ac:dyDescent="0.25">
      <c r="A185">
        <v>184</v>
      </c>
      <c r="B185" t="s">
        <v>232</v>
      </c>
      <c r="C185" t="s">
        <v>672</v>
      </c>
    </row>
    <row r="186" spans="1:3" x14ac:dyDescent="0.25">
      <c r="A186">
        <v>185</v>
      </c>
      <c r="B186" t="s">
        <v>272</v>
      </c>
      <c r="C186" t="s">
        <v>673</v>
      </c>
    </row>
    <row r="187" spans="1:3" x14ac:dyDescent="0.25">
      <c r="A187">
        <v>186</v>
      </c>
      <c r="B187" t="s">
        <v>274</v>
      </c>
      <c r="C187" t="s">
        <v>674</v>
      </c>
    </row>
    <row r="188" spans="1:3" x14ac:dyDescent="0.25">
      <c r="A188">
        <v>187</v>
      </c>
      <c r="B188" t="s">
        <v>92</v>
      </c>
      <c r="C188" t="s">
        <v>675</v>
      </c>
    </row>
    <row r="189" spans="1:3" x14ac:dyDescent="0.25">
      <c r="A189">
        <v>188</v>
      </c>
      <c r="B189" t="s">
        <v>196</v>
      </c>
      <c r="C189" t="s">
        <v>676</v>
      </c>
    </row>
    <row r="190" spans="1:3" x14ac:dyDescent="0.25">
      <c r="A190">
        <v>189</v>
      </c>
      <c r="B190" t="s">
        <v>181</v>
      </c>
      <c r="C190" t="s">
        <v>677</v>
      </c>
    </row>
    <row r="191" spans="1:3" x14ac:dyDescent="0.25">
      <c r="A191">
        <v>190</v>
      </c>
      <c r="B191" t="s">
        <v>270</v>
      </c>
      <c r="C191" t="s">
        <v>678</v>
      </c>
    </row>
    <row r="192" spans="1:3" x14ac:dyDescent="0.25">
      <c r="A192">
        <v>191</v>
      </c>
      <c r="B192" t="s">
        <v>226</v>
      </c>
      <c r="C192" t="s">
        <v>679</v>
      </c>
    </row>
    <row r="193" spans="1:3" x14ac:dyDescent="0.25">
      <c r="A193">
        <v>192</v>
      </c>
      <c r="B193" t="s">
        <v>93</v>
      </c>
      <c r="C193" t="s">
        <v>680</v>
      </c>
    </row>
    <row r="194" spans="1:3" x14ac:dyDescent="0.25">
      <c r="A194">
        <v>193</v>
      </c>
      <c r="B194" t="s">
        <v>229</v>
      </c>
      <c r="C194" t="s">
        <v>681</v>
      </c>
    </row>
    <row r="195" spans="1:3" x14ac:dyDescent="0.25">
      <c r="A195">
        <v>194</v>
      </c>
      <c r="B195" t="s">
        <v>337</v>
      </c>
      <c r="C195" t="s">
        <v>682</v>
      </c>
    </row>
    <row r="196" spans="1:3" x14ac:dyDescent="0.25">
      <c r="A196">
        <v>195</v>
      </c>
      <c r="B196" t="s">
        <v>347</v>
      </c>
      <c r="C196" t="s">
        <v>683</v>
      </c>
    </row>
    <row r="197" spans="1:3" x14ac:dyDescent="0.25">
      <c r="A197">
        <v>196</v>
      </c>
      <c r="B197" t="s">
        <v>433</v>
      </c>
      <c r="C197" t="s">
        <v>684</v>
      </c>
    </row>
    <row r="198" spans="1:3" x14ac:dyDescent="0.25">
      <c r="A198">
        <v>197</v>
      </c>
      <c r="B198" t="s">
        <v>264</v>
      </c>
      <c r="C198" t="s">
        <v>685</v>
      </c>
    </row>
    <row r="199" spans="1:3" x14ac:dyDescent="0.25">
      <c r="A199">
        <v>198</v>
      </c>
      <c r="B199" t="s">
        <v>265</v>
      </c>
      <c r="C199" t="s">
        <v>686</v>
      </c>
    </row>
    <row r="200" spans="1:3" x14ac:dyDescent="0.25">
      <c r="A200">
        <v>199</v>
      </c>
      <c r="B200" t="s">
        <v>269</v>
      </c>
      <c r="C200" t="s">
        <v>687</v>
      </c>
    </row>
    <row r="201" spans="1:3" x14ac:dyDescent="0.25">
      <c r="A201">
        <v>200</v>
      </c>
      <c r="B201" t="s">
        <v>412</v>
      </c>
      <c r="C201" t="s">
        <v>688</v>
      </c>
    </row>
    <row r="202" spans="1:3" x14ac:dyDescent="0.25">
      <c r="A202">
        <v>201</v>
      </c>
      <c r="B202" t="s">
        <v>303</v>
      </c>
      <c r="C202" t="s">
        <v>689</v>
      </c>
    </row>
    <row r="203" spans="1:3" x14ac:dyDescent="0.25">
      <c r="A203">
        <v>202</v>
      </c>
      <c r="B203" t="s">
        <v>448</v>
      </c>
      <c r="C203" t="s">
        <v>690</v>
      </c>
    </row>
    <row r="204" spans="1:3" x14ac:dyDescent="0.25">
      <c r="A204">
        <v>203</v>
      </c>
      <c r="B204" t="s">
        <v>374</v>
      </c>
      <c r="C204" t="s">
        <v>691</v>
      </c>
    </row>
    <row r="205" spans="1:3" x14ac:dyDescent="0.25">
      <c r="A205">
        <v>204</v>
      </c>
      <c r="B205" t="s">
        <v>278</v>
      </c>
      <c r="C205" t="s">
        <v>692</v>
      </c>
    </row>
    <row r="206" spans="1:3" x14ac:dyDescent="0.25">
      <c r="A206">
        <v>205</v>
      </c>
      <c r="B206" t="s">
        <v>197</v>
      </c>
      <c r="C206" t="s">
        <v>693</v>
      </c>
    </row>
    <row r="207" spans="1:3" x14ac:dyDescent="0.25">
      <c r="A207">
        <v>206</v>
      </c>
      <c r="B207" t="s">
        <v>208</v>
      </c>
      <c r="C207" t="s">
        <v>694</v>
      </c>
    </row>
    <row r="208" spans="1:3" x14ac:dyDescent="0.25">
      <c r="A208">
        <v>207</v>
      </c>
      <c r="B208" t="s">
        <v>94</v>
      </c>
      <c r="C208" t="s">
        <v>695</v>
      </c>
    </row>
    <row r="209" spans="1:3" x14ac:dyDescent="0.25">
      <c r="A209">
        <v>208</v>
      </c>
      <c r="B209" t="s">
        <v>437</v>
      </c>
      <c r="C209" t="s">
        <v>696</v>
      </c>
    </row>
    <row r="210" spans="1:3" x14ac:dyDescent="0.25">
      <c r="A210">
        <v>209</v>
      </c>
      <c r="B210" t="s">
        <v>438</v>
      </c>
      <c r="C210" t="s">
        <v>697</v>
      </c>
    </row>
    <row r="211" spans="1:3" x14ac:dyDescent="0.25">
      <c r="A211">
        <v>210</v>
      </c>
      <c r="B211" t="s">
        <v>418</v>
      </c>
      <c r="C211" t="s">
        <v>698</v>
      </c>
    </row>
    <row r="212" spans="1:3" x14ac:dyDescent="0.25">
      <c r="A212">
        <v>211</v>
      </c>
      <c r="B212" t="s">
        <v>470</v>
      </c>
      <c r="C212" t="s">
        <v>699</v>
      </c>
    </row>
    <row r="213" spans="1:3" x14ac:dyDescent="0.25">
      <c r="A213">
        <v>212</v>
      </c>
      <c r="B213" t="s">
        <v>280</v>
      </c>
      <c r="C213" t="s">
        <v>700</v>
      </c>
    </row>
    <row r="214" spans="1:3" x14ac:dyDescent="0.25">
      <c r="A214">
        <v>213</v>
      </c>
      <c r="B214" t="s">
        <v>82</v>
      </c>
      <c r="C214" t="s">
        <v>701</v>
      </c>
    </row>
    <row r="215" spans="1:3" x14ac:dyDescent="0.25">
      <c r="A215">
        <v>214</v>
      </c>
      <c r="B215" t="s">
        <v>83</v>
      </c>
      <c r="C215" t="s">
        <v>702</v>
      </c>
    </row>
    <row r="216" spans="1:3" x14ac:dyDescent="0.25">
      <c r="A216">
        <v>215</v>
      </c>
      <c r="B216" t="s">
        <v>84</v>
      </c>
      <c r="C216" t="s">
        <v>703</v>
      </c>
    </row>
    <row r="217" spans="1:3" x14ac:dyDescent="0.25">
      <c r="A217">
        <v>216</v>
      </c>
      <c r="B217" t="s">
        <v>88</v>
      </c>
      <c r="C217" t="s">
        <v>704</v>
      </c>
    </row>
    <row r="218" spans="1:3" x14ac:dyDescent="0.25">
      <c r="A218">
        <v>217</v>
      </c>
      <c r="B218" t="s">
        <v>237</v>
      </c>
      <c r="C218" t="s">
        <v>705</v>
      </c>
    </row>
    <row r="219" spans="1:3" x14ac:dyDescent="0.25">
      <c r="A219">
        <v>218</v>
      </c>
      <c r="B219" t="s">
        <v>268</v>
      </c>
      <c r="C219" t="s">
        <v>706</v>
      </c>
    </row>
    <row r="220" spans="1:3" x14ac:dyDescent="0.25">
      <c r="A220">
        <v>219</v>
      </c>
      <c r="B220" t="s">
        <v>203</v>
      </c>
      <c r="C220" t="s">
        <v>707</v>
      </c>
    </row>
    <row r="221" spans="1:3" x14ac:dyDescent="0.25">
      <c r="A221">
        <v>220</v>
      </c>
      <c r="B221" t="s">
        <v>75</v>
      </c>
      <c r="C221" t="s">
        <v>708</v>
      </c>
    </row>
    <row r="222" spans="1:3" x14ac:dyDescent="0.25">
      <c r="A222">
        <v>221</v>
      </c>
      <c r="B222" t="s">
        <v>444</v>
      </c>
      <c r="C222" t="s">
        <v>709</v>
      </c>
    </row>
    <row r="223" spans="1:3" x14ac:dyDescent="0.25">
      <c r="A223">
        <v>222</v>
      </c>
      <c r="B223" t="s">
        <v>445</v>
      </c>
      <c r="C223" t="s">
        <v>710</v>
      </c>
    </row>
    <row r="224" spans="1:3" x14ac:dyDescent="0.25">
      <c r="A224">
        <v>223</v>
      </c>
      <c r="B224" t="s">
        <v>248</v>
      </c>
      <c r="C224" t="s">
        <v>711</v>
      </c>
    </row>
    <row r="225" spans="1:3" x14ac:dyDescent="0.25">
      <c r="A225">
        <v>224</v>
      </c>
      <c r="B225" t="s">
        <v>211</v>
      </c>
      <c r="C225" t="s">
        <v>712</v>
      </c>
    </row>
    <row r="226" spans="1:3" x14ac:dyDescent="0.25">
      <c r="A226">
        <v>225</v>
      </c>
      <c r="B226" t="s">
        <v>213</v>
      </c>
      <c r="C226" t="s">
        <v>713</v>
      </c>
    </row>
    <row r="227" spans="1:3" x14ac:dyDescent="0.25">
      <c r="A227">
        <v>226</v>
      </c>
      <c r="B227" t="s">
        <v>91</v>
      </c>
      <c r="C227" t="s">
        <v>714</v>
      </c>
    </row>
    <row r="228" spans="1:3" x14ac:dyDescent="0.25">
      <c r="A228">
        <v>227</v>
      </c>
      <c r="B228" t="s">
        <v>275</v>
      </c>
      <c r="C228" t="s">
        <v>715</v>
      </c>
    </row>
    <row r="229" spans="1:3" x14ac:dyDescent="0.25">
      <c r="A229">
        <v>228</v>
      </c>
      <c r="B229" t="s">
        <v>407</v>
      </c>
      <c r="C229" t="s">
        <v>716</v>
      </c>
    </row>
    <row r="230" spans="1:3" x14ac:dyDescent="0.25">
      <c r="A230">
        <v>229</v>
      </c>
      <c r="B230" t="s">
        <v>281</v>
      </c>
      <c r="C230" t="s">
        <v>717</v>
      </c>
    </row>
    <row r="231" spans="1:3" x14ac:dyDescent="0.25">
      <c r="A231">
        <v>230</v>
      </c>
      <c r="B231" t="s">
        <v>65</v>
      </c>
      <c r="C231" t="s">
        <v>718</v>
      </c>
    </row>
    <row r="232" spans="1:3" x14ac:dyDescent="0.25">
      <c r="A232">
        <v>231</v>
      </c>
      <c r="B232" t="s">
        <v>81</v>
      </c>
      <c r="C232" t="s">
        <v>719</v>
      </c>
    </row>
    <row r="233" spans="1:3" x14ac:dyDescent="0.25">
      <c r="A233">
        <v>232</v>
      </c>
      <c r="B233" t="s">
        <v>291</v>
      </c>
      <c r="C233" t="s">
        <v>720</v>
      </c>
    </row>
    <row r="234" spans="1:3" x14ac:dyDescent="0.25">
      <c r="A234">
        <v>233</v>
      </c>
      <c r="B234" t="s">
        <v>243</v>
      </c>
      <c r="C234" t="s">
        <v>721</v>
      </c>
    </row>
    <row r="235" spans="1:3" x14ac:dyDescent="0.25">
      <c r="A235">
        <v>234</v>
      </c>
      <c r="B235" t="s">
        <v>372</v>
      </c>
      <c r="C235" t="s">
        <v>722</v>
      </c>
    </row>
    <row r="236" spans="1:3" x14ac:dyDescent="0.25">
      <c r="A236">
        <v>235</v>
      </c>
      <c r="B236" t="s">
        <v>283</v>
      </c>
      <c r="C236" t="s">
        <v>723</v>
      </c>
    </row>
    <row r="237" spans="1:3" x14ac:dyDescent="0.25">
      <c r="A237">
        <v>236</v>
      </c>
      <c r="B237" t="s">
        <v>350</v>
      </c>
      <c r="C237" t="s">
        <v>724</v>
      </c>
    </row>
    <row r="238" spans="1:3" x14ac:dyDescent="0.25">
      <c r="A238">
        <v>237</v>
      </c>
      <c r="B238" t="s">
        <v>351</v>
      </c>
      <c r="C238" t="s">
        <v>725</v>
      </c>
    </row>
    <row r="239" spans="1:3" x14ac:dyDescent="0.25">
      <c r="A239">
        <v>238</v>
      </c>
      <c r="B239" t="s">
        <v>432</v>
      </c>
      <c r="C239" t="s">
        <v>726</v>
      </c>
    </row>
    <row r="240" spans="1:3" x14ac:dyDescent="0.25">
      <c r="A240">
        <v>239</v>
      </c>
      <c r="B240" t="s">
        <v>464</v>
      </c>
      <c r="C240" t="s">
        <v>727</v>
      </c>
    </row>
    <row r="241" spans="1:3" x14ac:dyDescent="0.25">
      <c r="A241">
        <v>240</v>
      </c>
      <c r="B241" t="s">
        <v>341</v>
      </c>
      <c r="C241" t="s">
        <v>728</v>
      </c>
    </row>
    <row r="242" spans="1:3" x14ac:dyDescent="0.25">
      <c r="A242">
        <v>241</v>
      </c>
      <c r="B242" t="s">
        <v>399</v>
      </c>
      <c r="C242" t="s">
        <v>729</v>
      </c>
    </row>
    <row r="243" spans="1:3" x14ac:dyDescent="0.25">
      <c r="A243">
        <v>242</v>
      </c>
      <c r="B243" t="s">
        <v>370</v>
      </c>
      <c r="C243" t="s">
        <v>730</v>
      </c>
    </row>
    <row r="244" spans="1:3" x14ac:dyDescent="0.25">
      <c r="A244">
        <v>243</v>
      </c>
      <c r="B244" t="s">
        <v>365</v>
      </c>
      <c r="C244" t="s">
        <v>731</v>
      </c>
    </row>
    <row r="245" spans="1:3" x14ac:dyDescent="0.25">
      <c r="A245">
        <v>244</v>
      </c>
      <c r="B245" t="s">
        <v>401</v>
      </c>
      <c r="C245" t="s">
        <v>732</v>
      </c>
    </row>
    <row r="246" spans="1:3" x14ac:dyDescent="0.25">
      <c r="A246">
        <v>245</v>
      </c>
      <c r="B246" t="s">
        <v>221</v>
      </c>
      <c r="C246" t="s">
        <v>733</v>
      </c>
    </row>
    <row r="247" spans="1:3" x14ac:dyDescent="0.25">
      <c r="A247">
        <v>246</v>
      </c>
      <c r="B247" t="s">
        <v>245</v>
      </c>
      <c r="C247" t="s">
        <v>734</v>
      </c>
    </row>
    <row r="248" spans="1:3" x14ac:dyDescent="0.25">
      <c r="A248">
        <v>247</v>
      </c>
      <c r="B248" t="s">
        <v>195</v>
      </c>
      <c r="C248" t="s">
        <v>735</v>
      </c>
    </row>
    <row r="249" spans="1:3" x14ac:dyDescent="0.25">
      <c r="A249">
        <v>248</v>
      </c>
      <c r="B249" t="s">
        <v>198</v>
      </c>
      <c r="C249" t="s">
        <v>736</v>
      </c>
    </row>
    <row r="250" spans="1:3" x14ac:dyDescent="0.25">
      <c r="A250">
        <v>249</v>
      </c>
      <c r="B250" t="s">
        <v>227</v>
      </c>
      <c r="C250" t="s">
        <v>737</v>
      </c>
    </row>
    <row r="251" spans="1:3" x14ac:dyDescent="0.25">
      <c r="A251">
        <v>250</v>
      </c>
      <c r="B251" t="s">
        <v>174</v>
      </c>
      <c r="C251" t="s">
        <v>738</v>
      </c>
    </row>
    <row r="252" spans="1:3" x14ac:dyDescent="0.25">
      <c r="A252">
        <v>251</v>
      </c>
      <c r="B252" t="s">
        <v>220</v>
      </c>
      <c r="C252" t="s">
        <v>739</v>
      </c>
    </row>
    <row r="253" spans="1:3" x14ac:dyDescent="0.25">
      <c r="A253">
        <v>252</v>
      </c>
      <c r="B253" t="s">
        <v>76</v>
      </c>
      <c r="C253" t="s">
        <v>740</v>
      </c>
    </row>
    <row r="254" spans="1:3" x14ac:dyDescent="0.25">
      <c r="A254">
        <v>253</v>
      </c>
      <c r="B254" t="s">
        <v>442</v>
      </c>
      <c r="C254" t="s">
        <v>741</v>
      </c>
    </row>
    <row r="255" spans="1:3" x14ac:dyDescent="0.25">
      <c r="A255">
        <v>254</v>
      </c>
      <c r="B255" t="s">
        <v>251</v>
      </c>
      <c r="C255" t="s">
        <v>742</v>
      </c>
    </row>
    <row r="256" spans="1:3" x14ac:dyDescent="0.25">
      <c r="A256">
        <v>255</v>
      </c>
      <c r="B256" t="s">
        <v>300</v>
      </c>
      <c r="C256" t="s">
        <v>743</v>
      </c>
    </row>
    <row r="257" spans="1:3" x14ac:dyDescent="0.25">
      <c r="A257">
        <v>256</v>
      </c>
      <c r="B257" t="s">
        <v>449</v>
      </c>
      <c r="C257" t="s">
        <v>744</v>
      </c>
    </row>
    <row r="258" spans="1:3" x14ac:dyDescent="0.25">
      <c r="A258">
        <v>257</v>
      </c>
      <c r="B258" t="s">
        <v>236</v>
      </c>
      <c r="C258" t="s">
        <v>745</v>
      </c>
    </row>
    <row r="259" spans="1:3" x14ac:dyDescent="0.25">
      <c r="A259">
        <v>258</v>
      </c>
      <c r="B259" t="s">
        <v>373</v>
      </c>
      <c r="C259" t="s">
        <v>746</v>
      </c>
    </row>
    <row r="260" spans="1:3" x14ac:dyDescent="0.25">
      <c r="A260">
        <v>259</v>
      </c>
      <c r="B260" t="s">
        <v>472</v>
      </c>
      <c r="C260" t="s">
        <v>747</v>
      </c>
    </row>
    <row r="261" spans="1:3" x14ac:dyDescent="0.25">
      <c r="A261">
        <v>260</v>
      </c>
      <c r="B261" t="s">
        <v>188</v>
      </c>
      <c r="C261" t="s">
        <v>748</v>
      </c>
    </row>
    <row r="262" spans="1:3" x14ac:dyDescent="0.25">
      <c r="A262">
        <v>261</v>
      </c>
      <c r="B262" t="s">
        <v>286</v>
      </c>
      <c r="C262" t="s">
        <v>749</v>
      </c>
    </row>
    <row r="263" spans="1:3" x14ac:dyDescent="0.25">
      <c r="A263">
        <v>262</v>
      </c>
      <c r="B263" t="s">
        <v>209</v>
      </c>
      <c r="C263" t="s">
        <v>750</v>
      </c>
    </row>
    <row r="264" spans="1:3" x14ac:dyDescent="0.25">
      <c r="A264">
        <v>263</v>
      </c>
      <c r="B264" t="s">
        <v>305</v>
      </c>
      <c r="C264" t="s">
        <v>751</v>
      </c>
    </row>
    <row r="265" spans="1:3" x14ac:dyDescent="0.25">
      <c r="A265">
        <v>264</v>
      </c>
      <c r="B265" t="s">
        <v>179</v>
      </c>
      <c r="C265" t="s">
        <v>752</v>
      </c>
    </row>
    <row r="266" spans="1:3" x14ac:dyDescent="0.25">
      <c r="A266">
        <v>265</v>
      </c>
      <c r="B266" t="s">
        <v>72</v>
      </c>
      <c r="C266" t="s">
        <v>753</v>
      </c>
    </row>
    <row r="267" spans="1:3" x14ac:dyDescent="0.25">
      <c r="A267">
        <v>266</v>
      </c>
      <c r="B267" t="s">
        <v>466</v>
      </c>
      <c r="C267" t="s">
        <v>754</v>
      </c>
    </row>
    <row r="268" spans="1:3" x14ac:dyDescent="0.25">
      <c r="A268">
        <v>267</v>
      </c>
      <c r="B268" t="s">
        <v>219</v>
      </c>
      <c r="C268" t="s">
        <v>755</v>
      </c>
    </row>
    <row r="269" spans="1:3" x14ac:dyDescent="0.25">
      <c r="A269">
        <v>268</v>
      </c>
      <c r="B269" t="s">
        <v>253</v>
      </c>
      <c r="C269" t="s">
        <v>756</v>
      </c>
    </row>
    <row r="270" spans="1:3" x14ac:dyDescent="0.25">
      <c r="A270">
        <v>269</v>
      </c>
      <c r="B270" t="s">
        <v>189</v>
      </c>
      <c r="C270" t="s">
        <v>757</v>
      </c>
    </row>
    <row r="271" spans="1:3" x14ac:dyDescent="0.25">
      <c r="A271">
        <v>270</v>
      </c>
      <c r="B271" t="s">
        <v>235</v>
      </c>
      <c r="C271" t="s">
        <v>758</v>
      </c>
    </row>
    <row r="272" spans="1:3" x14ac:dyDescent="0.25">
      <c r="A272">
        <v>271</v>
      </c>
      <c r="B272" t="s">
        <v>446</v>
      </c>
      <c r="C272" t="s">
        <v>759</v>
      </c>
    </row>
    <row r="273" spans="1:3" x14ac:dyDescent="0.25">
      <c r="A273">
        <v>272</v>
      </c>
      <c r="B273" t="s">
        <v>353</v>
      </c>
      <c r="C273" t="s">
        <v>760</v>
      </c>
    </row>
    <row r="274" spans="1:3" x14ac:dyDescent="0.25">
      <c r="A274">
        <v>273</v>
      </c>
      <c r="B274" t="s">
        <v>434</v>
      </c>
      <c r="C274" t="s">
        <v>761</v>
      </c>
    </row>
    <row r="275" spans="1:3" x14ac:dyDescent="0.25">
      <c r="A275">
        <v>274</v>
      </c>
      <c r="B275" t="s">
        <v>218</v>
      </c>
      <c r="C275" t="s">
        <v>762</v>
      </c>
    </row>
    <row r="276" spans="1:3" x14ac:dyDescent="0.25">
      <c r="A276">
        <v>275</v>
      </c>
      <c r="B276" t="s">
        <v>302</v>
      </c>
      <c r="C276" t="s">
        <v>763</v>
      </c>
    </row>
    <row r="277" spans="1:3" x14ac:dyDescent="0.25">
      <c r="A277">
        <v>276</v>
      </c>
      <c r="B277" t="s">
        <v>273</v>
      </c>
      <c r="C277" t="s">
        <v>764</v>
      </c>
    </row>
    <row r="278" spans="1:3" x14ac:dyDescent="0.25">
      <c r="A278">
        <v>277</v>
      </c>
      <c r="B278" t="s">
        <v>249</v>
      </c>
      <c r="C278" t="s">
        <v>765</v>
      </c>
    </row>
    <row r="279" spans="1:3" x14ac:dyDescent="0.25">
      <c r="A279">
        <v>278</v>
      </c>
      <c r="B279" t="s">
        <v>239</v>
      </c>
      <c r="C279" t="s">
        <v>766</v>
      </c>
    </row>
    <row r="280" spans="1:3" x14ac:dyDescent="0.25">
      <c r="A280">
        <v>279</v>
      </c>
      <c r="B280" t="s">
        <v>266</v>
      </c>
      <c r="C280" t="s">
        <v>767</v>
      </c>
    </row>
    <row r="281" spans="1:3" x14ac:dyDescent="0.25">
      <c r="A281">
        <v>280</v>
      </c>
      <c r="B281" t="s">
        <v>86</v>
      </c>
      <c r="C281" t="s">
        <v>768</v>
      </c>
    </row>
    <row r="282" spans="1:3" x14ac:dyDescent="0.25">
      <c r="A282">
        <v>281</v>
      </c>
      <c r="B282" t="s">
        <v>89</v>
      </c>
      <c r="C282" t="s">
        <v>769</v>
      </c>
    </row>
    <row r="283" spans="1:3" x14ac:dyDescent="0.25">
      <c r="A283">
        <v>282</v>
      </c>
      <c r="B283" t="s">
        <v>90</v>
      </c>
      <c r="C283" t="s">
        <v>770</v>
      </c>
    </row>
    <row r="284" spans="1:3" x14ac:dyDescent="0.25">
      <c r="A284">
        <v>283</v>
      </c>
      <c r="B284" t="s">
        <v>216</v>
      </c>
      <c r="C284" t="s">
        <v>771</v>
      </c>
    </row>
    <row r="285" spans="1:3" x14ac:dyDescent="0.25">
      <c r="A285">
        <v>284</v>
      </c>
      <c r="B285" t="s">
        <v>339</v>
      </c>
      <c r="C285" t="s">
        <v>772</v>
      </c>
    </row>
    <row r="286" spans="1:3" x14ac:dyDescent="0.25">
      <c r="A286">
        <v>285</v>
      </c>
      <c r="B286" t="s">
        <v>184</v>
      </c>
      <c r="C286" t="s">
        <v>773</v>
      </c>
    </row>
    <row r="287" spans="1:3" x14ac:dyDescent="0.25">
      <c r="A287">
        <v>286</v>
      </c>
      <c r="B287" t="s">
        <v>185</v>
      </c>
      <c r="C287" t="s">
        <v>774</v>
      </c>
    </row>
    <row r="288" spans="1:3" x14ac:dyDescent="0.25">
      <c r="A288">
        <v>287</v>
      </c>
      <c r="B288" t="s">
        <v>207</v>
      </c>
      <c r="C288" t="s">
        <v>775</v>
      </c>
    </row>
    <row r="289" spans="1:3" x14ac:dyDescent="0.25">
      <c r="A289">
        <v>288</v>
      </c>
      <c r="B289" t="s">
        <v>294</v>
      </c>
      <c r="C289" t="s">
        <v>776</v>
      </c>
    </row>
    <row r="290" spans="1:3" x14ac:dyDescent="0.25">
      <c r="A290">
        <v>289</v>
      </c>
      <c r="B290" t="s">
        <v>246</v>
      </c>
      <c r="C290" t="s">
        <v>777</v>
      </c>
    </row>
    <row r="291" spans="1:3" x14ac:dyDescent="0.25">
      <c r="A291">
        <v>290</v>
      </c>
      <c r="B291" t="s">
        <v>460</v>
      </c>
      <c r="C291" t="s">
        <v>778</v>
      </c>
    </row>
    <row r="292" spans="1:3" x14ac:dyDescent="0.25">
      <c r="A292">
        <v>291</v>
      </c>
      <c r="B292" t="s">
        <v>397</v>
      </c>
      <c r="C292" t="s">
        <v>779</v>
      </c>
    </row>
    <row r="293" spans="1:3" x14ac:dyDescent="0.25">
      <c r="A293">
        <v>292</v>
      </c>
      <c r="B293" t="s">
        <v>362</v>
      </c>
      <c r="C293" t="s">
        <v>780</v>
      </c>
    </row>
    <row r="294" spans="1:3" x14ac:dyDescent="0.25">
      <c r="A294">
        <v>293</v>
      </c>
      <c r="B294" t="s">
        <v>190</v>
      </c>
      <c r="C294" t="s">
        <v>781</v>
      </c>
    </row>
    <row r="295" spans="1:3" x14ac:dyDescent="0.25">
      <c r="A295">
        <v>294</v>
      </c>
      <c r="B295" t="s">
        <v>342</v>
      </c>
      <c r="C295" t="s">
        <v>782</v>
      </c>
    </row>
    <row r="296" spans="1:3" x14ac:dyDescent="0.25">
      <c r="A296">
        <v>295</v>
      </c>
      <c r="B296" t="s">
        <v>241</v>
      </c>
      <c r="C296" t="s">
        <v>783</v>
      </c>
    </row>
    <row r="297" spans="1:3" x14ac:dyDescent="0.25">
      <c r="A297">
        <v>296</v>
      </c>
      <c r="B297" t="s">
        <v>267</v>
      </c>
      <c r="C297" t="s">
        <v>784</v>
      </c>
    </row>
    <row r="298" spans="1:3" x14ac:dyDescent="0.25">
      <c r="A298">
        <v>297</v>
      </c>
      <c r="B298" t="s">
        <v>284</v>
      </c>
      <c r="C298" t="s">
        <v>785</v>
      </c>
    </row>
    <row r="299" spans="1:3" x14ac:dyDescent="0.25">
      <c r="A299">
        <v>298</v>
      </c>
      <c r="B299" t="s">
        <v>289</v>
      </c>
      <c r="C299" t="s">
        <v>786</v>
      </c>
    </row>
    <row r="300" spans="1:3" x14ac:dyDescent="0.25">
      <c r="A300">
        <v>299</v>
      </c>
      <c r="B300" t="s">
        <v>73</v>
      </c>
      <c r="C300" t="s">
        <v>787</v>
      </c>
    </row>
    <row r="301" spans="1:3" x14ac:dyDescent="0.25">
      <c r="A301">
        <v>300</v>
      </c>
      <c r="B301" t="s">
        <v>344</v>
      </c>
      <c r="C301" t="s">
        <v>788</v>
      </c>
    </row>
    <row r="302" spans="1:3" x14ac:dyDescent="0.25">
      <c r="A302">
        <v>301</v>
      </c>
      <c r="B302" t="s">
        <v>182</v>
      </c>
      <c r="C302" t="s">
        <v>789</v>
      </c>
    </row>
    <row r="303" spans="1:3" x14ac:dyDescent="0.25">
      <c r="A303">
        <v>302</v>
      </c>
      <c r="B303" t="s">
        <v>175</v>
      </c>
      <c r="C303" t="s">
        <v>790</v>
      </c>
    </row>
    <row r="304" spans="1:3" x14ac:dyDescent="0.25">
      <c r="A304">
        <v>303</v>
      </c>
      <c r="B304" t="s">
        <v>415</v>
      </c>
      <c r="C304" t="s">
        <v>791</v>
      </c>
    </row>
    <row r="305" spans="1:3" x14ac:dyDescent="0.25">
      <c r="A305">
        <v>304</v>
      </c>
      <c r="B305" t="s">
        <v>447</v>
      </c>
      <c r="C305" t="s">
        <v>792</v>
      </c>
    </row>
    <row r="306" spans="1:3" x14ac:dyDescent="0.25">
      <c r="A306">
        <v>305</v>
      </c>
      <c r="B306" t="s">
        <v>262</v>
      </c>
      <c r="C306" t="s">
        <v>793</v>
      </c>
    </row>
    <row r="307" spans="1:3" x14ac:dyDescent="0.25">
      <c r="A307">
        <v>306</v>
      </c>
      <c r="B307" t="s">
        <v>66</v>
      </c>
      <c r="C307" t="s">
        <v>794</v>
      </c>
    </row>
    <row r="308" spans="1:3" x14ac:dyDescent="0.25">
      <c r="A308">
        <v>307</v>
      </c>
      <c r="B308" t="s">
        <v>394</v>
      </c>
      <c r="C308" t="s">
        <v>795</v>
      </c>
    </row>
    <row r="309" spans="1:3" x14ac:dyDescent="0.25">
      <c r="A309">
        <v>308</v>
      </c>
      <c r="B309" t="s">
        <v>173</v>
      </c>
      <c r="C309" t="s">
        <v>796</v>
      </c>
    </row>
    <row r="310" spans="1:3" x14ac:dyDescent="0.25">
      <c r="A310">
        <v>309</v>
      </c>
      <c r="B310" t="s">
        <v>340</v>
      </c>
      <c r="C310" t="s">
        <v>797</v>
      </c>
    </row>
    <row r="311" spans="1:3" x14ac:dyDescent="0.25">
      <c r="A311">
        <v>310</v>
      </c>
      <c r="B311" t="s">
        <v>228</v>
      </c>
      <c r="C311" t="s">
        <v>798</v>
      </c>
    </row>
    <row r="312" spans="1:3" x14ac:dyDescent="0.25">
      <c r="A312">
        <v>311</v>
      </c>
      <c r="B312" t="s">
        <v>183</v>
      </c>
      <c r="C312" t="s">
        <v>799</v>
      </c>
    </row>
    <row r="313" spans="1:3" x14ac:dyDescent="0.25">
      <c r="A313">
        <v>312</v>
      </c>
      <c r="B313" t="s">
        <v>427</v>
      </c>
      <c r="C313" t="s">
        <v>800</v>
      </c>
    </row>
    <row r="314" spans="1:3" x14ac:dyDescent="0.25">
      <c r="A314">
        <v>313</v>
      </c>
      <c r="B314" t="s">
        <v>98</v>
      </c>
      <c r="C314" t="s">
        <v>801</v>
      </c>
    </row>
    <row r="315" spans="1:3" x14ac:dyDescent="0.25">
      <c r="A315">
        <v>314</v>
      </c>
      <c r="B315" t="s">
        <v>191</v>
      </c>
      <c r="C315" t="s">
        <v>802</v>
      </c>
    </row>
    <row r="316" spans="1:3" x14ac:dyDescent="0.25">
      <c r="A316">
        <v>315</v>
      </c>
      <c r="B316" t="s">
        <v>107</v>
      </c>
      <c r="C316" t="s">
        <v>803</v>
      </c>
    </row>
    <row r="317" spans="1:3" x14ac:dyDescent="0.25">
      <c r="A317">
        <v>316</v>
      </c>
      <c r="B317" t="s">
        <v>192</v>
      </c>
      <c r="C317" t="s">
        <v>804</v>
      </c>
    </row>
    <row r="318" spans="1:3" x14ac:dyDescent="0.25">
      <c r="A318">
        <v>317</v>
      </c>
      <c r="B318" t="s">
        <v>361</v>
      </c>
      <c r="C318" t="s">
        <v>805</v>
      </c>
    </row>
    <row r="319" spans="1:3" x14ac:dyDescent="0.25">
      <c r="A319">
        <v>318</v>
      </c>
      <c r="B319" t="s">
        <v>177</v>
      </c>
      <c r="C319" t="s">
        <v>806</v>
      </c>
    </row>
    <row r="320" spans="1:3" x14ac:dyDescent="0.25">
      <c r="A320">
        <v>319</v>
      </c>
      <c r="B320" t="s">
        <v>217</v>
      </c>
      <c r="C320" t="s">
        <v>807</v>
      </c>
    </row>
    <row r="321" spans="1:3" x14ac:dyDescent="0.25">
      <c r="A321">
        <v>320</v>
      </c>
      <c r="B321" t="s">
        <v>238</v>
      </c>
      <c r="C321" t="s">
        <v>808</v>
      </c>
    </row>
    <row r="322" spans="1:3" x14ac:dyDescent="0.25">
      <c r="A322">
        <v>321</v>
      </c>
      <c r="B322" t="s">
        <v>346</v>
      </c>
      <c r="C322" t="s">
        <v>809</v>
      </c>
    </row>
    <row r="323" spans="1:3" x14ac:dyDescent="0.25">
      <c r="A323">
        <v>322</v>
      </c>
      <c r="B323" t="s">
        <v>202</v>
      </c>
      <c r="C323" t="s">
        <v>810</v>
      </c>
    </row>
    <row r="324" spans="1:3" x14ac:dyDescent="0.25">
      <c r="A324">
        <v>323</v>
      </c>
      <c r="B324" t="s">
        <v>67</v>
      </c>
      <c r="C324" t="s">
        <v>811</v>
      </c>
    </row>
    <row r="325" spans="1:3" x14ac:dyDescent="0.25">
      <c r="A325">
        <v>324</v>
      </c>
      <c r="B325" t="s">
        <v>403</v>
      </c>
      <c r="C325" t="s">
        <v>812</v>
      </c>
    </row>
    <row r="326" spans="1:3" x14ac:dyDescent="0.25">
      <c r="A326">
        <v>325</v>
      </c>
      <c r="B326" t="s">
        <v>240</v>
      </c>
      <c r="C326" t="s">
        <v>813</v>
      </c>
    </row>
    <row r="327" spans="1:3" x14ac:dyDescent="0.25">
      <c r="A327">
        <v>326</v>
      </c>
      <c r="B327" t="s">
        <v>405</v>
      </c>
      <c r="C327" t="s">
        <v>814</v>
      </c>
    </row>
    <row r="328" spans="1:3" x14ac:dyDescent="0.25">
      <c r="A328">
        <v>327</v>
      </c>
      <c r="B328" t="s">
        <v>77</v>
      </c>
      <c r="C328" t="s">
        <v>815</v>
      </c>
    </row>
    <row r="329" spans="1:3" x14ac:dyDescent="0.25">
      <c r="A329">
        <v>328</v>
      </c>
      <c r="B329" t="s">
        <v>187</v>
      </c>
      <c r="C329" t="s">
        <v>816</v>
      </c>
    </row>
    <row r="330" spans="1:3" x14ac:dyDescent="0.25">
      <c r="A330">
        <v>329</v>
      </c>
      <c r="B330" t="s">
        <v>345</v>
      </c>
      <c r="C330" t="s">
        <v>817</v>
      </c>
    </row>
    <row r="331" spans="1:3" x14ac:dyDescent="0.25">
      <c r="A331">
        <v>330</v>
      </c>
      <c r="B331" t="s">
        <v>338</v>
      </c>
      <c r="C331" t="s">
        <v>818</v>
      </c>
    </row>
    <row r="332" spans="1:3" x14ac:dyDescent="0.25">
      <c r="A332">
        <v>331</v>
      </c>
      <c r="B332" t="s">
        <v>391</v>
      </c>
      <c r="C332" t="s">
        <v>819</v>
      </c>
    </row>
    <row r="333" spans="1:3" x14ac:dyDescent="0.25">
      <c r="A333">
        <v>332</v>
      </c>
      <c r="B333" t="s">
        <v>431</v>
      </c>
      <c r="C333" t="s">
        <v>820</v>
      </c>
    </row>
    <row r="334" spans="1:3" x14ac:dyDescent="0.25">
      <c r="A334">
        <v>333</v>
      </c>
      <c r="B334" t="s">
        <v>396</v>
      </c>
      <c r="C334" t="s">
        <v>821</v>
      </c>
    </row>
    <row r="335" spans="1:3" x14ac:dyDescent="0.25">
      <c r="A335">
        <v>334</v>
      </c>
      <c r="B335" t="s">
        <v>463</v>
      </c>
      <c r="C335" t="s">
        <v>822</v>
      </c>
    </row>
    <row r="336" spans="1:3" x14ac:dyDescent="0.25">
      <c r="A336">
        <v>335</v>
      </c>
      <c r="B336" t="s">
        <v>435</v>
      </c>
      <c r="C336" t="s">
        <v>823</v>
      </c>
    </row>
    <row r="337" spans="1:3" x14ac:dyDescent="0.25">
      <c r="A337">
        <v>336</v>
      </c>
      <c r="B337" t="s">
        <v>404</v>
      </c>
      <c r="C337" t="s">
        <v>824</v>
      </c>
    </row>
    <row r="338" spans="1:3" x14ac:dyDescent="0.25">
      <c r="A338">
        <v>337</v>
      </c>
      <c r="B338" t="s">
        <v>180</v>
      </c>
      <c r="C338" t="s">
        <v>825</v>
      </c>
    </row>
    <row r="339" spans="1:3" x14ac:dyDescent="0.25">
      <c r="A339">
        <v>338</v>
      </c>
      <c r="B339" t="s">
        <v>186</v>
      </c>
      <c r="C339" t="s">
        <v>826</v>
      </c>
    </row>
    <row r="340" spans="1:3" x14ac:dyDescent="0.25">
      <c r="A340">
        <v>339</v>
      </c>
      <c r="B340" t="s">
        <v>279</v>
      </c>
      <c r="C340" t="s">
        <v>827</v>
      </c>
    </row>
    <row r="341" spans="1:3" x14ac:dyDescent="0.25">
      <c r="A341">
        <v>340</v>
      </c>
      <c r="B341" t="s">
        <v>301</v>
      </c>
      <c r="C341" t="s">
        <v>828</v>
      </c>
    </row>
    <row r="342" spans="1:3" x14ac:dyDescent="0.25">
      <c r="A342">
        <v>341</v>
      </c>
      <c r="B342" t="s">
        <v>425</v>
      </c>
      <c r="C342" t="s">
        <v>829</v>
      </c>
    </row>
    <row r="343" spans="1:3" x14ac:dyDescent="0.25">
      <c r="A343">
        <v>342</v>
      </c>
      <c r="B343" t="s">
        <v>459</v>
      </c>
      <c r="C343" t="s">
        <v>830</v>
      </c>
    </row>
    <row r="344" spans="1:3" x14ac:dyDescent="0.25">
      <c r="A344">
        <v>343</v>
      </c>
      <c r="B344" t="s">
        <v>204</v>
      </c>
      <c r="C344" t="s">
        <v>831</v>
      </c>
    </row>
    <row r="345" spans="1:3" x14ac:dyDescent="0.25">
      <c r="A345">
        <v>344</v>
      </c>
      <c r="B345" t="s">
        <v>205</v>
      </c>
      <c r="C345" t="s">
        <v>832</v>
      </c>
    </row>
    <row r="346" spans="1:3" x14ac:dyDescent="0.25">
      <c r="A346">
        <v>345</v>
      </c>
      <c r="B346" t="s">
        <v>231</v>
      </c>
      <c r="C346" t="s">
        <v>833</v>
      </c>
    </row>
    <row r="347" spans="1:3" x14ac:dyDescent="0.25">
      <c r="A347">
        <v>346</v>
      </c>
      <c r="B347" t="s">
        <v>285</v>
      </c>
      <c r="C347" t="s">
        <v>834</v>
      </c>
    </row>
    <row r="348" spans="1:3" x14ac:dyDescent="0.25">
      <c r="A348">
        <v>347</v>
      </c>
      <c r="B348" t="s">
        <v>224</v>
      </c>
      <c r="C348" t="s">
        <v>835</v>
      </c>
    </row>
    <row r="349" spans="1:3" x14ac:dyDescent="0.25">
      <c r="A349">
        <v>348</v>
      </c>
      <c r="B349" t="s">
        <v>293</v>
      </c>
      <c r="C349" t="s">
        <v>836</v>
      </c>
    </row>
    <row r="350" spans="1:3" x14ac:dyDescent="0.25">
      <c r="A350">
        <v>349</v>
      </c>
      <c r="B350" t="s">
        <v>390</v>
      </c>
      <c r="C350" t="s">
        <v>837</v>
      </c>
    </row>
    <row r="351" spans="1:3" x14ac:dyDescent="0.25">
      <c r="A351">
        <v>350</v>
      </c>
      <c r="B351" t="s">
        <v>256</v>
      </c>
      <c r="C351" t="s">
        <v>838</v>
      </c>
    </row>
    <row r="352" spans="1:3" x14ac:dyDescent="0.25">
      <c r="A352">
        <v>351</v>
      </c>
      <c r="B352" t="s">
        <v>258</v>
      </c>
      <c r="C352" t="s">
        <v>839</v>
      </c>
    </row>
    <row r="353" spans="1:3" x14ac:dyDescent="0.25">
      <c r="A353">
        <v>352</v>
      </c>
      <c r="B353" t="s">
        <v>68</v>
      </c>
      <c r="C353" t="s">
        <v>840</v>
      </c>
    </row>
    <row r="354" spans="1:3" x14ac:dyDescent="0.25">
      <c r="A354">
        <v>353</v>
      </c>
      <c r="B354" t="s">
        <v>215</v>
      </c>
      <c r="C354" t="s">
        <v>841</v>
      </c>
    </row>
    <row r="355" spans="1:3" x14ac:dyDescent="0.25">
      <c r="A355">
        <v>354</v>
      </c>
      <c r="B355" t="s">
        <v>259</v>
      </c>
      <c r="C355" t="s">
        <v>842</v>
      </c>
    </row>
    <row r="356" spans="1:3" x14ac:dyDescent="0.25">
      <c r="A356">
        <v>355</v>
      </c>
      <c r="B356" t="s">
        <v>69</v>
      </c>
      <c r="C356" t="s">
        <v>843</v>
      </c>
    </row>
    <row r="357" spans="1:3" x14ac:dyDescent="0.25">
      <c r="A357">
        <v>356</v>
      </c>
      <c r="B357" t="s">
        <v>252</v>
      </c>
      <c r="C357" t="s">
        <v>844</v>
      </c>
    </row>
    <row r="358" spans="1:3" x14ac:dyDescent="0.25">
      <c r="A358">
        <v>357</v>
      </c>
      <c r="B358" t="s">
        <v>277</v>
      </c>
      <c r="C358" t="s">
        <v>845</v>
      </c>
    </row>
    <row r="359" spans="1:3" x14ac:dyDescent="0.25">
      <c r="A359">
        <v>358</v>
      </c>
      <c r="B359" t="s">
        <v>230</v>
      </c>
      <c r="C359" t="s">
        <v>846</v>
      </c>
    </row>
    <row r="360" spans="1:3" x14ac:dyDescent="0.25">
      <c r="A360">
        <v>359</v>
      </c>
      <c r="B360" t="s">
        <v>71</v>
      </c>
      <c r="C360" t="s">
        <v>847</v>
      </c>
    </row>
    <row r="361" spans="1:3" x14ac:dyDescent="0.25">
      <c r="A361">
        <v>360</v>
      </c>
      <c r="B361" t="s">
        <v>355</v>
      </c>
      <c r="C361" t="s">
        <v>848</v>
      </c>
    </row>
    <row r="362" spans="1:3" x14ac:dyDescent="0.25">
      <c r="A362">
        <v>361</v>
      </c>
      <c r="B362" t="s">
        <v>214</v>
      </c>
      <c r="C362" t="s">
        <v>849</v>
      </c>
    </row>
    <row r="363" spans="1:3" x14ac:dyDescent="0.25">
      <c r="A363">
        <v>362</v>
      </c>
      <c r="B363" t="s">
        <v>398</v>
      </c>
      <c r="C363" t="s">
        <v>850</v>
      </c>
    </row>
    <row r="364" spans="1:3" x14ac:dyDescent="0.25">
      <c r="A364">
        <v>363</v>
      </c>
      <c r="B364" t="s">
        <v>462</v>
      </c>
      <c r="C364" t="s">
        <v>851</v>
      </c>
    </row>
    <row r="365" spans="1:3" x14ac:dyDescent="0.25">
      <c r="A365">
        <v>364</v>
      </c>
      <c r="B365" t="s">
        <v>392</v>
      </c>
      <c r="C365" t="s">
        <v>852</v>
      </c>
    </row>
    <row r="366" spans="1:3" x14ac:dyDescent="0.25">
      <c r="A366">
        <v>365</v>
      </c>
      <c r="B366" t="s">
        <v>201</v>
      </c>
      <c r="C366" t="s">
        <v>853</v>
      </c>
    </row>
    <row r="367" spans="1:3" x14ac:dyDescent="0.25">
      <c r="A367">
        <v>366</v>
      </c>
      <c r="B367" t="s">
        <v>260</v>
      </c>
      <c r="C367" t="s">
        <v>854</v>
      </c>
    </row>
    <row r="368" spans="1:3" x14ac:dyDescent="0.25">
      <c r="A368">
        <v>367</v>
      </c>
      <c r="B368" t="s">
        <v>80</v>
      </c>
      <c r="C368" t="s">
        <v>855</v>
      </c>
    </row>
    <row r="369" spans="1:3" x14ac:dyDescent="0.25">
      <c r="A369">
        <v>368</v>
      </c>
      <c r="B369" t="s">
        <v>271</v>
      </c>
      <c r="C369" t="s">
        <v>856</v>
      </c>
    </row>
    <row r="370" spans="1:3" x14ac:dyDescent="0.25">
      <c r="A370">
        <v>369</v>
      </c>
      <c r="B370" t="s">
        <v>257</v>
      </c>
      <c r="C370" t="s">
        <v>857</v>
      </c>
    </row>
    <row r="371" spans="1:3" x14ac:dyDescent="0.25">
      <c r="A371">
        <v>370</v>
      </c>
      <c r="B371" t="s">
        <v>440</v>
      </c>
      <c r="C371" t="s">
        <v>858</v>
      </c>
    </row>
    <row r="372" spans="1:3" x14ac:dyDescent="0.25">
      <c r="A372">
        <v>371</v>
      </c>
      <c r="B372" t="s">
        <v>439</v>
      </c>
      <c r="C372" t="s">
        <v>859</v>
      </c>
    </row>
    <row r="373" spans="1:3" x14ac:dyDescent="0.25">
      <c r="A373">
        <v>372</v>
      </c>
      <c r="B373" t="s">
        <v>74</v>
      </c>
      <c r="C373" t="s">
        <v>860</v>
      </c>
    </row>
    <row r="374" spans="1:3" x14ac:dyDescent="0.25">
      <c r="A374">
        <v>373</v>
      </c>
      <c r="B374" t="s">
        <v>393</v>
      </c>
      <c r="C374" t="s">
        <v>861</v>
      </c>
    </row>
    <row r="375" spans="1:3" x14ac:dyDescent="0.25">
      <c r="A375">
        <v>374</v>
      </c>
      <c r="B375" t="s">
        <v>461</v>
      </c>
      <c r="C375" t="s">
        <v>862</v>
      </c>
    </row>
    <row r="376" spans="1:3" x14ac:dyDescent="0.25">
      <c r="A376">
        <v>375</v>
      </c>
      <c r="B376" t="s">
        <v>295</v>
      </c>
      <c r="C376" t="s">
        <v>863</v>
      </c>
    </row>
    <row r="377" spans="1:3" x14ac:dyDescent="0.25">
      <c r="A377">
        <v>376</v>
      </c>
      <c r="B377" t="s">
        <v>406</v>
      </c>
      <c r="C377" t="s">
        <v>864</v>
      </c>
    </row>
    <row r="378" spans="1:3" x14ac:dyDescent="0.25">
      <c r="A378">
        <v>377</v>
      </c>
      <c r="B378" t="s">
        <v>222</v>
      </c>
      <c r="C378" t="s">
        <v>865</v>
      </c>
    </row>
    <row r="379" spans="1:3" x14ac:dyDescent="0.25">
      <c r="A379">
        <v>378</v>
      </c>
      <c r="B379" t="s">
        <v>212</v>
      </c>
      <c r="C379" t="s">
        <v>866</v>
      </c>
    </row>
    <row r="380" spans="1:3" x14ac:dyDescent="0.25">
      <c r="A380">
        <v>379</v>
      </c>
      <c r="B380" t="s">
        <v>172</v>
      </c>
      <c r="C380" t="s">
        <v>867</v>
      </c>
    </row>
    <row r="381" spans="1:3" x14ac:dyDescent="0.25">
      <c r="A381">
        <v>380</v>
      </c>
      <c r="B381" t="s">
        <v>408</v>
      </c>
      <c r="C381" t="s">
        <v>868</v>
      </c>
    </row>
    <row r="382" spans="1:3" x14ac:dyDescent="0.25">
      <c r="A382">
        <v>381</v>
      </c>
      <c r="B382" t="s">
        <v>70</v>
      </c>
      <c r="C382" t="s">
        <v>869</v>
      </c>
    </row>
    <row r="383" spans="1:3" x14ac:dyDescent="0.25">
      <c r="A383">
        <v>382</v>
      </c>
      <c r="B383" t="s">
        <v>176</v>
      </c>
      <c r="C383" t="s">
        <v>870</v>
      </c>
    </row>
    <row r="384" spans="1:3" x14ac:dyDescent="0.25">
      <c r="A384">
        <v>383</v>
      </c>
      <c r="B384" t="s">
        <v>402</v>
      </c>
      <c r="C384" t="s">
        <v>871</v>
      </c>
    </row>
    <row r="385" spans="1:3" x14ac:dyDescent="0.25">
      <c r="A385">
        <v>384</v>
      </c>
      <c r="B385" t="s">
        <v>178</v>
      </c>
      <c r="C385" t="s">
        <v>872</v>
      </c>
    </row>
    <row r="386" spans="1:3" x14ac:dyDescent="0.25">
      <c r="A386">
        <v>385</v>
      </c>
      <c r="B386" t="s">
        <v>436</v>
      </c>
      <c r="C386" t="s">
        <v>873</v>
      </c>
    </row>
    <row r="387" spans="1:3" x14ac:dyDescent="0.25">
      <c r="A387">
        <v>386</v>
      </c>
      <c r="B387" t="s">
        <v>360</v>
      </c>
      <c r="C387" t="s">
        <v>874</v>
      </c>
    </row>
    <row r="388" spans="1:3" x14ac:dyDescent="0.25">
      <c r="A388">
        <v>387</v>
      </c>
      <c r="B388" t="s">
        <v>79</v>
      </c>
      <c r="C388" t="s">
        <v>875</v>
      </c>
    </row>
    <row r="389" spans="1:3" x14ac:dyDescent="0.25">
      <c r="A389">
        <v>388</v>
      </c>
      <c r="B389" t="s">
        <v>95</v>
      </c>
      <c r="C389" t="s">
        <v>876</v>
      </c>
    </row>
    <row r="390" spans="1:3" x14ac:dyDescent="0.25">
      <c r="A390">
        <v>389</v>
      </c>
      <c r="B390" t="s">
        <v>414</v>
      </c>
      <c r="C390" t="s">
        <v>877</v>
      </c>
    </row>
    <row r="391" spans="1:3" x14ac:dyDescent="0.25">
      <c r="A391">
        <v>390</v>
      </c>
      <c r="B391" t="s">
        <v>276</v>
      </c>
      <c r="C391" t="s">
        <v>878</v>
      </c>
    </row>
    <row r="392" spans="1:3" x14ac:dyDescent="0.25">
      <c r="A392">
        <v>391</v>
      </c>
      <c r="B392" t="s">
        <v>471</v>
      </c>
      <c r="C392" t="s">
        <v>879</v>
      </c>
    </row>
    <row r="393" spans="1:3" x14ac:dyDescent="0.25">
      <c r="A393">
        <v>392</v>
      </c>
      <c r="B393" t="s">
        <v>250</v>
      </c>
      <c r="C393" t="s">
        <v>880</v>
      </c>
    </row>
    <row r="394" spans="1:3" x14ac:dyDescent="0.25">
      <c r="A394">
        <v>393</v>
      </c>
      <c r="B394" t="s">
        <v>366</v>
      </c>
      <c r="C394" t="s">
        <v>881</v>
      </c>
    </row>
    <row r="395" spans="1:3" x14ac:dyDescent="0.25">
      <c r="A395">
        <v>394</v>
      </c>
      <c r="B395" t="s">
        <v>292</v>
      </c>
      <c r="C395" t="s">
        <v>882</v>
      </c>
    </row>
    <row r="396" spans="1:3" x14ac:dyDescent="0.25">
      <c r="A396">
        <v>395</v>
      </c>
      <c r="B396" t="s">
        <v>263</v>
      </c>
      <c r="C396" t="s">
        <v>883</v>
      </c>
    </row>
    <row r="397" spans="1:3" x14ac:dyDescent="0.25">
      <c r="A397">
        <v>396</v>
      </c>
      <c r="B397" t="s">
        <v>296</v>
      </c>
      <c r="C397" t="s">
        <v>884</v>
      </c>
    </row>
    <row r="398" spans="1:3" x14ac:dyDescent="0.25">
      <c r="A398">
        <v>397</v>
      </c>
      <c r="B398" t="s">
        <v>233</v>
      </c>
      <c r="C398" t="s">
        <v>885</v>
      </c>
    </row>
    <row r="399" spans="1:3" x14ac:dyDescent="0.25">
      <c r="A399">
        <v>398</v>
      </c>
      <c r="B399" t="s">
        <v>261</v>
      </c>
      <c r="C399" t="s">
        <v>886</v>
      </c>
    </row>
    <row r="400" spans="1:3" x14ac:dyDescent="0.25">
      <c r="A400">
        <v>399</v>
      </c>
      <c r="B400" t="s">
        <v>282</v>
      </c>
      <c r="C400" t="s">
        <v>887</v>
      </c>
    </row>
    <row r="401" spans="1:3" x14ac:dyDescent="0.25">
      <c r="A401">
        <v>400</v>
      </c>
      <c r="B401" t="s">
        <v>371</v>
      </c>
      <c r="C401" t="s">
        <v>888</v>
      </c>
    </row>
    <row r="402" spans="1:3" x14ac:dyDescent="0.25">
      <c r="A402">
        <v>401</v>
      </c>
      <c r="B402" t="s">
        <v>304</v>
      </c>
      <c r="C402" t="s">
        <v>889</v>
      </c>
    </row>
    <row r="403" spans="1:3" x14ac:dyDescent="0.25">
      <c r="A403">
        <v>402</v>
      </c>
      <c r="B403" t="s">
        <v>287</v>
      </c>
      <c r="C403" t="s">
        <v>890</v>
      </c>
    </row>
    <row r="404" spans="1:3" x14ac:dyDescent="0.25">
      <c r="A404">
        <v>403</v>
      </c>
      <c r="B404" t="s">
        <v>288</v>
      </c>
      <c r="C404" t="s">
        <v>891</v>
      </c>
    </row>
    <row r="405" spans="1:3" x14ac:dyDescent="0.25">
      <c r="A405">
        <v>404</v>
      </c>
      <c r="B405" t="s">
        <v>290</v>
      </c>
      <c r="C405" t="s">
        <v>892</v>
      </c>
    </row>
    <row r="406" spans="1:3" x14ac:dyDescent="0.25">
      <c r="A406">
        <v>405</v>
      </c>
      <c r="B406" t="s">
        <v>234</v>
      </c>
      <c r="C406" t="s">
        <v>893</v>
      </c>
    </row>
    <row r="407" spans="1:3" x14ac:dyDescent="0.25">
      <c r="A407">
        <v>406</v>
      </c>
      <c r="B407" t="s">
        <v>364</v>
      </c>
      <c r="C407" t="s">
        <v>894</v>
      </c>
    </row>
    <row r="408" spans="1:3" x14ac:dyDescent="0.25">
      <c r="A408">
        <v>407</v>
      </c>
      <c r="B408" t="s">
        <v>363</v>
      </c>
      <c r="C408" t="s">
        <v>895</v>
      </c>
    </row>
    <row r="409" spans="1:3" x14ac:dyDescent="0.25">
      <c r="A409">
        <v>408</v>
      </c>
      <c r="B409" t="s">
        <v>255</v>
      </c>
      <c r="C409" t="s">
        <v>896</v>
      </c>
    </row>
    <row r="410" spans="1:3" x14ac:dyDescent="0.25">
      <c r="A410">
        <v>409</v>
      </c>
      <c r="B410" t="s">
        <v>369</v>
      </c>
      <c r="C410" t="s">
        <v>897</v>
      </c>
    </row>
    <row r="411" spans="1:3" x14ac:dyDescent="0.25">
      <c r="A411">
        <v>410</v>
      </c>
      <c r="B411" t="s">
        <v>244</v>
      </c>
      <c r="C411" t="s">
        <v>898</v>
      </c>
    </row>
    <row r="412" spans="1:3" x14ac:dyDescent="0.25">
      <c r="A412">
        <v>411</v>
      </c>
      <c r="B412" t="s">
        <v>443</v>
      </c>
      <c r="C412" t="s">
        <v>899</v>
      </c>
    </row>
    <row r="413" spans="1:3" x14ac:dyDescent="0.25">
      <c r="A413">
        <v>412</v>
      </c>
      <c r="B413" t="s">
        <v>367</v>
      </c>
      <c r="C413" t="s">
        <v>900</v>
      </c>
    </row>
    <row r="414" spans="1:3" x14ac:dyDescent="0.25">
      <c r="A414">
        <v>413</v>
      </c>
      <c r="B414" t="s">
        <v>368</v>
      </c>
      <c r="C414" t="s">
        <v>901</v>
      </c>
    </row>
    <row r="415" spans="1:3" x14ac:dyDescent="0.25">
      <c r="A415">
        <v>414</v>
      </c>
      <c r="B415" t="s">
        <v>254</v>
      </c>
      <c r="C415" t="s">
        <v>902</v>
      </c>
    </row>
    <row r="416" spans="1:3" x14ac:dyDescent="0.25">
      <c r="A416">
        <v>415</v>
      </c>
      <c r="B416" t="s">
        <v>247</v>
      </c>
      <c r="C416" t="s">
        <v>903</v>
      </c>
    </row>
    <row r="417" spans="1:3" x14ac:dyDescent="0.25">
      <c r="A417">
        <v>416</v>
      </c>
      <c r="B417" t="s">
        <v>323</v>
      </c>
      <c r="C417" t="s">
        <v>904</v>
      </c>
    </row>
    <row r="418" spans="1:3" x14ac:dyDescent="0.25">
      <c r="A418">
        <v>1</v>
      </c>
      <c r="B418" t="s">
        <v>905</v>
      </c>
      <c r="C418" t="s">
        <v>906</v>
      </c>
    </row>
    <row r="419" spans="1:3" x14ac:dyDescent="0.25">
      <c r="A419">
        <v>2</v>
      </c>
      <c r="B419" t="s">
        <v>907</v>
      </c>
      <c r="C419" t="s">
        <v>908</v>
      </c>
    </row>
    <row r="420" spans="1:3" x14ac:dyDescent="0.25">
      <c r="A420">
        <v>3</v>
      </c>
      <c r="B420" t="s">
        <v>909</v>
      </c>
      <c r="C420" t="s">
        <v>910</v>
      </c>
    </row>
    <row r="421" spans="1:3" x14ac:dyDescent="0.25">
      <c r="A421">
        <v>4</v>
      </c>
      <c r="B421" t="s">
        <v>911</v>
      </c>
      <c r="C421" t="s">
        <v>912</v>
      </c>
    </row>
    <row r="422" spans="1:3" x14ac:dyDescent="0.25">
      <c r="A422">
        <v>5</v>
      </c>
      <c r="B422" t="s">
        <v>913</v>
      </c>
      <c r="C422" t="s">
        <v>914</v>
      </c>
    </row>
    <row r="423" spans="1:3" x14ac:dyDescent="0.25">
      <c r="A423">
        <v>6</v>
      </c>
      <c r="B423" t="s">
        <v>915</v>
      </c>
      <c r="C423" t="s">
        <v>916</v>
      </c>
    </row>
    <row r="424" spans="1:3" x14ac:dyDescent="0.25">
      <c r="A424">
        <v>7</v>
      </c>
      <c r="B424" t="s">
        <v>917</v>
      </c>
      <c r="C424" t="s">
        <v>918</v>
      </c>
    </row>
    <row r="425" spans="1:3" x14ac:dyDescent="0.25">
      <c r="A425">
        <v>8</v>
      </c>
      <c r="B425" t="s">
        <v>919</v>
      </c>
      <c r="C425" t="s">
        <v>920</v>
      </c>
    </row>
    <row r="426" spans="1:3" x14ac:dyDescent="0.25">
      <c r="A426">
        <v>9</v>
      </c>
      <c r="B426" t="s">
        <v>921</v>
      </c>
      <c r="C426" t="s">
        <v>922</v>
      </c>
    </row>
    <row r="427" spans="1:3" x14ac:dyDescent="0.25">
      <c r="A427">
        <v>10</v>
      </c>
      <c r="B427" t="s">
        <v>923</v>
      </c>
      <c r="C427" t="s">
        <v>924</v>
      </c>
    </row>
    <row r="428" spans="1:3" x14ac:dyDescent="0.25">
      <c r="A428">
        <v>11</v>
      </c>
      <c r="B428" t="s">
        <v>925</v>
      </c>
      <c r="C428" t="s">
        <v>926</v>
      </c>
    </row>
    <row r="429" spans="1:3" x14ac:dyDescent="0.25">
      <c r="A429">
        <v>12</v>
      </c>
      <c r="B429" t="s">
        <v>927</v>
      </c>
      <c r="C429" t="s">
        <v>928</v>
      </c>
    </row>
    <row r="430" spans="1:3" x14ac:dyDescent="0.25">
      <c r="A430">
        <v>13</v>
      </c>
      <c r="B430" t="s">
        <v>929</v>
      </c>
      <c r="C430" t="s">
        <v>930</v>
      </c>
    </row>
    <row r="431" spans="1:3" x14ac:dyDescent="0.25">
      <c r="A431">
        <v>14</v>
      </c>
      <c r="B431" t="s">
        <v>931</v>
      </c>
      <c r="C431" t="s">
        <v>932</v>
      </c>
    </row>
    <row r="432" spans="1:3" x14ac:dyDescent="0.25">
      <c r="A432">
        <v>15</v>
      </c>
      <c r="B432" t="s">
        <v>933</v>
      </c>
      <c r="C432" t="s">
        <v>934</v>
      </c>
    </row>
    <row r="433" spans="1:3" x14ac:dyDescent="0.25">
      <c r="A433">
        <v>16</v>
      </c>
      <c r="B433" t="s">
        <v>935</v>
      </c>
      <c r="C433" t="s">
        <v>936</v>
      </c>
    </row>
    <row r="434" spans="1:3" x14ac:dyDescent="0.25">
      <c r="A434">
        <v>17</v>
      </c>
      <c r="B434" t="s">
        <v>937</v>
      </c>
      <c r="C434" t="s">
        <v>938</v>
      </c>
    </row>
    <row r="435" spans="1:3" x14ac:dyDescent="0.25">
      <c r="A435">
        <v>18</v>
      </c>
      <c r="B435" t="s">
        <v>939</v>
      </c>
      <c r="C435" t="s">
        <v>940</v>
      </c>
    </row>
    <row r="436" spans="1:3" x14ac:dyDescent="0.25">
      <c r="A436">
        <v>19</v>
      </c>
      <c r="B436" t="s">
        <v>941</v>
      </c>
      <c r="C436" t="s">
        <v>942</v>
      </c>
    </row>
    <row r="437" spans="1:3" x14ac:dyDescent="0.25">
      <c r="A437">
        <v>20</v>
      </c>
      <c r="B437" t="s">
        <v>943</v>
      </c>
      <c r="C437" t="s">
        <v>944</v>
      </c>
    </row>
    <row r="438" spans="1:3" x14ac:dyDescent="0.25">
      <c r="A438">
        <v>21</v>
      </c>
      <c r="B438" t="s">
        <v>945</v>
      </c>
      <c r="C438" t="s">
        <v>946</v>
      </c>
    </row>
    <row r="439" spans="1:3" x14ac:dyDescent="0.25">
      <c r="A439">
        <v>22</v>
      </c>
      <c r="B439" t="s">
        <v>947</v>
      </c>
      <c r="C439" t="s">
        <v>948</v>
      </c>
    </row>
    <row r="440" spans="1:3" x14ac:dyDescent="0.25">
      <c r="A440">
        <v>23</v>
      </c>
      <c r="B440" t="s">
        <v>479</v>
      </c>
      <c r="C440" t="s">
        <v>949</v>
      </c>
    </row>
    <row r="441" spans="1:3" x14ac:dyDescent="0.25">
      <c r="A441">
        <v>24</v>
      </c>
      <c r="B441" t="s">
        <v>950</v>
      </c>
      <c r="C441" t="s">
        <v>951</v>
      </c>
    </row>
    <row r="442" spans="1:3" x14ac:dyDescent="0.25">
      <c r="A442">
        <v>25</v>
      </c>
      <c r="B442" t="s">
        <v>952</v>
      </c>
      <c r="C442" t="s">
        <v>953</v>
      </c>
    </row>
    <row r="443" spans="1:3" x14ac:dyDescent="0.25">
      <c r="A443">
        <v>26</v>
      </c>
      <c r="B443" t="s">
        <v>954</v>
      </c>
      <c r="C443" t="s">
        <v>955</v>
      </c>
    </row>
    <row r="444" spans="1:3" x14ac:dyDescent="0.25">
      <c r="A444">
        <v>27</v>
      </c>
      <c r="B444" t="s">
        <v>956</v>
      </c>
      <c r="C444" t="s">
        <v>957</v>
      </c>
    </row>
    <row r="445" spans="1:3" x14ac:dyDescent="0.25">
      <c r="A445">
        <v>28</v>
      </c>
      <c r="B445" t="s">
        <v>958</v>
      </c>
      <c r="C445" t="s">
        <v>959</v>
      </c>
    </row>
    <row r="446" spans="1:3" x14ac:dyDescent="0.25">
      <c r="A446">
        <v>29</v>
      </c>
      <c r="B446" t="s">
        <v>960</v>
      </c>
      <c r="C446" t="s">
        <v>961</v>
      </c>
    </row>
    <row r="447" spans="1:3" x14ac:dyDescent="0.25">
      <c r="A447">
        <v>30</v>
      </c>
      <c r="B447" t="s">
        <v>962</v>
      </c>
      <c r="C447" t="s">
        <v>963</v>
      </c>
    </row>
    <row r="448" spans="1:3" x14ac:dyDescent="0.25">
      <c r="A448">
        <v>31</v>
      </c>
      <c r="B448" t="s">
        <v>964</v>
      </c>
      <c r="C448" t="s">
        <v>965</v>
      </c>
    </row>
    <row r="449" spans="1:3" x14ac:dyDescent="0.25">
      <c r="A449">
        <v>32</v>
      </c>
      <c r="B449" t="s">
        <v>966</v>
      </c>
      <c r="C449" t="s">
        <v>967</v>
      </c>
    </row>
    <row r="450" spans="1:3" x14ac:dyDescent="0.25">
      <c r="A450">
        <v>33</v>
      </c>
      <c r="B450" t="s">
        <v>968</v>
      </c>
      <c r="C450" t="s">
        <v>969</v>
      </c>
    </row>
    <row r="451" spans="1:3" x14ac:dyDescent="0.25">
      <c r="A451">
        <v>34</v>
      </c>
      <c r="B451" t="s">
        <v>970</v>
      </c>
      <c r="C451" t="s">
        <v>971</v>
      </c>
    </row>
    <row r="452" spans="1:3" x14ac:dyDescent="0.25">
      <c r="A452">
        <v>35</v>
      </c>
      <c r="B452" t="s">
        <v>972</v>
      </c>
      <c r="C452" t="s">
        <v>973</v>
      </c>
    </row>
    <row r="453" spans="1:3" x14ac:dyDescent="0.25">
      <c r="A453">
        <v>36</v>
      </c>
      <c r="B453" t="s">
        <v>974</v>
      </c>
      <c r="C453" t="s">
        <v>975</v>
      </c>
    </row>
    <row r="454" spans="1:3" x14ac:dyDescent="0.25">
      <c r="A454">
        <v>37</v>
      </c>
      <c r="B454" t="s">
        <v>976</v>
      </c>
      <c r="C454" t="s">
        <v>977</v>
      </c>
    </row>
    <row r="455" spans="1:3" x14ac:dyDescent="0.25">
      <c r="A455">
        <v>38</v>
      </c>
      <c r="B455" t="s">
        <v>978</v>
      </c>
      <c r="C455" t="s">
        <v>979</v>
      </c>
    </row>
    <row r="456" spans="1:3" x14ac:dyDescent="0.25">
      <c r="A456">
        <v>39</v>
      </c>
      <c r="B456" t="s">
        <v>980</v>
      </c>
      <c r="C456" t="s">
        <v>981</v>
      </c>
    </row>
    <row r="457" spans="1:3" x14ac:dyDescent="0.25">
      <c r="A457">
        <v>40</v>
      </c>
      <c r="B457" t="s">
        <v>982</v>
      </c>
      <c r="C457" t="s">
        <v>983</v>
      </c>
    </row>
    <row r="458" spans="1:3" x14ac:dyDescent="0.25">
      <c r="A458">
        <v>41</v>
      </c>
      <c r="B458" t="s">
        <v>984</v>
      </c>
      <c r="C458" t="s">
        <v>985</v>
      </c>
    </row>
    <row r="459" spans="1:3" x14ac:dyDescent="0.25">
      <c r="A459">
        <v>42</v>
      </c>
      <c r="B459" t="s">
        <v>986</v>
      </c>
      <c r="C459" t="s">
        <v>987</v>
      </c>
    </row>
    <row r="460" spans="1:3" x14ac:dyDescent="0.25">
      <c r="A460">
        <v>43</v>
      </c>
      <c r="B460" t="s">
        <v>988</v>
      </c>
      <c r="C460" t="s">
        <v>989</v>
      </c>
    </row>
    <row r="461" spans="1:3" x14ac:dyDescent="0.25">
      <c r="A461">
        <v>44</v>
      </c>
      <c r="B461" t="s">
        <v>990</v>
      </c>
      <c r="C461" t="s">
        <v>991</v>
      </c>
    </row>
    <row r="462" spans="1:3" x14ac:dyDescent="0.25">
      <c r="A462">
        <v>45</v>
      </c>
      <c r="B462" t="s">
        <v>992</v>
      </c>
      <c r="C462" t="s">
        <v>993</v>
      </c>
    </row>
    <row r="463" spans="1:3" x14ac:dyDescent="0.25">
      <c r="A463">
        <v>46</v>
      </c>
      <c r="B463" t="s">
        <v>994</v>
      </c>
      <c r="C463" t="s">
        <v>995</v>
      </c>
    </row>
    <row r="464" spans="1:3" x14ac:dyDescent="0.25">
      <c r="A464">
        <v>47</v>
      </c>
      <c r="B464" t="s">
        <v>996</v>
      </c>
      <c r="C464" t="s">
        <v>997</v>
      </c>
    </row>
    <row r="465" spans="1:3" x14ac:dyDescent="0.25">
      <c r="A465">
        <v>48</v>
      </c>
      <c r="B465" t="s">
        <v>998</v>
      </c>
      <c r="C465" t="s">
        <v>999</v>
      </c>
    </row>
    <row r="466" spans="1:3" x14ac:dyDescent="0.25">
      <c r="A466">
        <v>49</v>
      </c>
      <c r="B466" t="s">
        <v>1000</v>
      </c>
      <c r="C466" t="s">
        <v>1001</v>
      </c>
    </row>
    <row r="467" spans="1:3" x14ac:dyDescent="0.25">
      <c r="A467">
        <v>50</v>
      </c>
      <c r="B467" t="s">
        <v>1002</v>
      </c>
      <c r="C467" t="s">
        <v>1003</v>
      </c>
    </row>
    <row r="468" spans="1:3" x14ac:dyDescent="0.25">
      <c r="A468">
        <v>51</v>
      </c>
      <c r="B468" t="s">
        <v>1004</v>
      </c>
      <c r="C468" t="s">
        <v>1005</v>
      </c>
    </row>
    <row r="469" spans="1:3" x14ac:dyDescent="0.25">
      <c r="A469">
        <v>52</v>
      </c>
      <c r="B469" t="s">
        <v>1006</v>
      </c>
      <c r="C469" t="s">
        <v>1007</v>
      </c>
    </row>
    <row r="470" spans="1:3" x14ac:dyDescent="0.25">
      <c r="A470">
        <v>53</v>
      </c>
      <c r="B470" t="s">
        <v>1008</v>
      </c>
      <c r="C470" t="s">
        <v>1009</v>
      </c>
    </row>
    <row r="471" spans="1:3" x14ac:dyDescent="0.25">
      <c r="A471">
        <v>54</v>
      </c>
      <c r="B471" t="s">
        <v>1010</v>
      </c>
      <c r="C471" t="s">
        <v>1011</v>
      </c>
    </row>
    <row r="472" spans="1:3" x14ac:dyDescent="0.25">
      <c r="A472">
        <v>55</v>
      </c>
      <c r="B472" t="s">
        <v>1012</v>
      </c>
      <c r="C472" t="s">
        <v>1013</v>
      </c>
    </row>
    <row r="473" spans="1:3" x14ac:dyDescent="0.25">
      <c r="A473">
        <v>56</v>
      </c>
      <c r="B473" t="s">
        <v>1014</v>
      </c>
      <c r="C473" t="s">
        <v>1015</v>
      </c>
    </row>
    <row r="474" spans="1:3" x14ac:dyDescent="0.25">
      <c r="A474">
        <v>57</v>
      </c>
      <c r="B474" t="s">
        <v>1016</v>
      </c>
      <c r="C474" t="s">
        <v>1017</v>
      </c>
    </row>
    <row r="475" spans="1:3" x14ac:dyDescent="0.25">
      <c r="A475">
        <v>58</v>
      </c>
      <c r="B475" t="s">
        <v>1018</v>
      </c>
      <c r="C475" t="s">
        <v>1019</v>
      </c>
    </row>
    <row r="476" spans="1:3" x14ac:dyDescent="0.25">
      <c r="A476">
        <v>59</v>
      </c>
      <c r="B476" t="s">
        <v>1020</v>
      </c>
      <c r="C476" t="s">
        <v>1021</v>
      </c>
    </row>
    <row r="477" spans="1:3" x14ac:dyDescent="0.25">
      <c r="A477">
        <v>60</v>
      </c>
      <c r="B477" t="s">
        <v>1022</v>
      </c>
      <c r="C477" t="s">
        <v>1023</v>
      </c>
    </row>
    <row r="478" spans="1:3" x14ac:dyDescent="0.25">
      <c r="A478">
        <v>61</v>
      </c>
      <c r="B478" t="s">
        <v>1024</v>
      </c>
      <c r="C478" t="s">
        <v>1025</v>
      </c>
    </row>
    <row r="479" spans="1:3" x14ac:dyDescent="0.25">
      <c r="A479">
        <v>62</v>
      </c>
      <c r="B479" t="s">
        <v>1026</v>
      </c>
      <c r="C479" t="s">
        <v>1027</v>
      </c>
    </row>
    <row r="480" spans="1:3" x14ac:dyDescent="0.25">
      <c r="A480">
        <v>63</v>
      </c>
      <c r="B480" t="s">
        <v>1028</v>
      </c>
      <c r="C480" t="s">
        <v>1029</v>
      </c>
    </row>
    <row r="481" spans="1:3" x14ac:dyDescent="0.25">
      <c r="A481">
        <v>64</v>
      </c>
      <c r="B481" t="s">
        <v>1030</v>
      </c>
      <c r="C481" t="s">
        <v>1031</v>
      </c>
    </row>
    <row r="482" spans="1:3" x14ac:dyDescent="0.25">
      <c r="A482">
        <v>65</v>
      </c>
      <c r="B482" t="s">
        <v>1032</v>
      </c>
      <c r="C482" t="s">
        <v>1033</v>
      </c>
    </row>
    <row r="483" spans="1:3" x14ac:dyDescent="0.25">
      <c r="A483">
        <v>66</v>
      </c>
      <c r="B483" t="s">
        <v>1034</v>
      </c>
      <c r="C483" t="s">
        <v>1035</v>
      </c>
    </row>
    <row r="484" spans="1:3" x14ac:dyDescent="0.25">
      <c r="A484">
        <v>67</v>
      </c>
      <c r="B484" t="s">
        <v>1036</v>
      </c>
      <c r="C484" t="s">
        <v>1037</v>
      </c>
    </row>
    <row r="485" spans="1:3" x14ac:dyDescent="0.25">
      <c r="A485">
        <v>68</v>
      </c>
      <c r="B485" t="s">
        <v>1038</v>
      </c>
      <c r="C485" t="s">
        <v>1039</v>
      </c>
    </row>
    <row r="486" spans="1:3" x14ac:dyDescent="0.25">
      <c r="A486">
        <v>69</v>
      </c>
      <c r="B486" t="s">
        <v>1040</v>
      </c>
      <c r="C486" t="s">
        <v>1041</v>
      </c>
    </row>
    <row r="487" spans="1:3" x14ac:dyDescent="0.25">
      <c r="A487">
        <v>70</v>
      </c>
      <c r="B487" t="s">
        <v>1042</v>
      </c>
      <c r="C487" t="s">
        <v>1043</v>
      </c>
    </row>
    <row r="488" spans="1:3" x14ac:dyDescent="0.25">
      <c r="A488">
        <v>71</v>
      </c>
      <c r="B488" t="s">
        <v>1044</v>
      </c>
      <c r="C488" t="s">
        <v>1045</v>
      </c>
    </row>
    <row r="489" spans="1:3" x14ac:dyDescent="0.25">
      <c r="A489">
        <v>72</v>
      </c>
      <c r="B489" t="s">
        <v>1046</v>
      </c>
      <c r="C489" t="s">
        <v>1047</v>
      </c>
    </row>
    <row r="490" spans="1:3" x14ac:dyDescent="0.25">
      <c r="A490">
        <v>73</v>
      </c>
      <c r="B490" t="s">
        <v>1048</v>
      </c>
      <c r="C490" t="s">
        <v>1049</v>
      </c>
    </row>
    <row r="491" spans="1:3" x14ac:dyDescent="0.25">
      <c r="A491">
        <v>74</v>
      </c>
      <c r="B491" t="s">
        <v>1050</v>
      </c>
      <c r="C491" t="s">
        <v>1051</v>
      </c>
    </row>
    <row r="492" spans="1:3" x14ac:dyDescent="0.25">
      <c r="A492">
        <v>75</v>
      </c>
      <c r="B492" t="s">
        <v>1052</v>
      </c>
      <c r="C492" t="s">
        <v>1053</v>
      </c>
    </row>
    <row r="493" spans="1:3" x14ac:dyDescent="0.25">
      <c r="A493">
        <v>76</v>
      </c>
      <c r="B493" t="s">
        <v>1054</v>
      </c>
      <c r="C493" t="s">
        <v>1055</v>
      </c>
    </row>
    <row r="494" spans="1:3" x14ac:dyDescent="0.25">
      <c r="A494">
        <v>77</v>
      </c>
      <c r="B494" t="s">
        <v>1056</v>
      </c>
      <c r="C494" t="s">
        <v>1057</v>
      </c>
    </row>
    <row r="495" spans="1:3" x14ac:dyDescent="0.25">
      <c r="A495">
        <v>78</v>
      </c>
      <c r="B495" t="s">
        <v>1058</v>
      </c>
      <c r="C495" t="s">
        <v>1059</v>
      </c>
    </row>
    <row r="496" spans="1:3" x14ac:dyDescent="0.25">
      <c r="A496">
        <v>79</v>
      </c>
      <c r="B496" t="s">
        <v>1060</v>
      </c>
      <c r="C496" t="s">
        <v>1061</v>
      </c>
    </row>
    <row r="497" spans="1:3" x14ac:dyDescent="0.25">
      <c r="A497">
        <v>80</v>
      </c>
      <c r="B497" t="s">
        <v>1062</v>
      </c>
      <c r="C497" t="s">
        <v>1063</v>
      </c>
    </row>
    <row r="498" spans="1:3" x14ac:dyDescent="0.25">
      <c r="A498">
        <v>81</v>
      </c>
      <c r="B498" t="s">
        <v>1064</v>
      </c>
      <c r="C498" t="s">
        <v>1065</v>
      </c>
    </row>
    <row r="499" spans="1:3" x14ac:dyDescent="0.25">
      <c r="A499">
        <v>82</v>
      </c>
      <c r="B499" t="s">
        <v>1066</v>
      </c>
      <c r="C499" t="s">
        <v>1067</v>
      </c>
    </row>
    <row r="500" spans="1:3" x14ac:dyDescent="0.25">
      <c r="A500">
        <v>83</v>
      </c>
      <c r="B500" t="s">
        <v>1068</v>
      </c>
      <c r="C500" t="s">
        <v>1069</v>
      </c>
    </row>
    <row r="501" spans="1:3" x14ac:dyDescent="0.25">
      <c r="A501">
        <v>84</v>
      </c>
      <c r="B501" t="s">
        <v>1070</v>
      </c>
      <c r="C501" t="s">
        <v>1071</v>
      </c>
    </row>
    <row r="502" spans="1:3" x14ac:dyDescent="0.25">
      <c r="A502">
        <v>85</v>
      </c>
      <c r="B502" t="s">
        <v>1072</v>
      </c>
      <c r="C502" t="s">
        <v>1073</v>
      </c>
    </row>
    <row r="503" spans="1:3" x14ac:dyDescent="0.25">
      <c r="A503">
        <v>86</v>
      </c>
      <c r="B503" t="s">
        <v>1074</v>
      </c>
      <c r="C503" t="s">
        <v>1075</v>
      </c>
    </row>
    <row r="504" spans="1:3" x14ac:dyDescent="0.25">
      <c r="A504">
        <v>87</v>
      </c>
      <c r="B504" t="s">
        <v>1076</v>
      </c>
      <c r="C504" t="s">
        <v>1077</v>
      </c>
    </row>
    <row r="505" spans="1:3" x14ac:dyDescent="0.25">
      <c r="A505">
        <v>88</v>
      </c>
      <c r="B505" t="s">
        <v>456</v>
      </c>
      <c r="C505" t="s">
        <v>1078</v>
      </c>
    </row>
    <row r="506" spans="1:3" x14ac:dyDescent="0.25">
      <c r="A506">
        <v>89</v>
      </c>
      <c r="B506" t="s">
        <v>1079</v>
      </c>
      <c r="C506" t="s">
        <v>1080</v>
      </c>
    </row>
    <row r="507" spans="1:3" x14ac:dyDescent="0.25">
      <c r="A507">
        <v>90</v>
      </c>
      <c r="B507" t="s">
        <v>1081</v>
      </c>
      <c r="C507" t="s">
        <v>1082</v>
      </c>
    </row>
    <row r="508" spans="1:3" x14ac:dyDescent="0.25">
      <c r="A508">
        <v>91</v>
      </c>
      <c r="B508" t="s">
        <v>1083</v>
      </c>
      <c r="C508" t="s">
        <v>1084</v>
      </c>
    </row>
    <row r="509" spans="1:3" x14ac:dyDescent="0.25">
      <c r="A509">
        <v>92</v>
      </c>
      <c r="B509" t="s">
        <v>1085</v>
      </c>
      <c r="C509" t="s">
        <v>1086</v>
      </c>
    </row>
    <row r="510" spans="1:3" x14ac:dyDescent="0.25">
      <c r="A510">
        <v>93</v>
      </c>
      <c r="B510" t="s">
        <v>1087</v>
      </c>
      <c r="C510" t="s">
        <v>1088</v>
      </c>
    </row>
    <row r="511" spans="1:3" x14ac:dyDescent="0.25">
      <c r="A511">
        <v>94</v>
      </c>
      <c r="B511" t="s">
        <v>1089</v>
      </c>
      <c r="C511" t="s">
        <v>1090</v>
      </c>
    </row>
    <row r="512" spans="1:3" x14ac:dyDescent="0.25">
      <c r="A512">
        <v>95</v>
      </c>
      <c r="B512" t="s">
        <v>1091</v>
      </c>
      <c r="C512" t="s">
        <v>1092</v>
      </c>
    </row>
    <row r="513" spans="1:3" x14ac:dyDescent="0.25">
      <c r="A513">
        <v>96</v>
      </c>
      <c r="B513" t="s">
        <v>1093</v>
      </c>
      <c r="C513" t="s">
        <v>1094</v>
      </c>
    </row>
    <row r="514" spans="1:3" x14ac:dyDescent="0.25">
      <c r="A514">
        <v>97</v>
      </c>
      <c r="B514" t="s">
        <v>1095</v>
      </c>
      <c r="C514" t="s">
        <v>1096</v>
      </c>
    </row>
    <row r="515" spans="1:3" x14ac:dyDescent="0.25">
      <c r="A515">
        <v>98</v>
      </c>
      <c r="B515" t="s">
        <v>1097</v>
      </c>
      <c r="C515" t="s">
        <v>1098</v>
      </c>
    </row>
    <row r="516" spans="1:3" x14ac:dyDescent="0.25">
      <c r="A516">
        <v>99</v>
      </c>
      <c r="B516" t="s">
        <v>1099</v>
      </c>
      <c r="C516" t="s">
        <v>1100</v>
      </c>
    </row>
    <row r="517" spans="1:3" x14ac:dyDescent="0.25">
      <c r="A517">
        <v>100</v>
      </c>
      <c r="B517" t="s">
        <v>1101</v>
      </c>
      <c r="C517" t="s">
        <v>1102</v>
      </c>
    </row>
    <row r="518" spans="1:3" x14ac:dyDescent="0.25">
      <c r="A518">
        <v>101</v>
      </c>
      <c r="B518" t="s">
        <v>1103</v>
      </c>
      <c r="C518" t="s">
        <v>1104</v>
      </c>
    </row>
    <row r="519" spans="1:3" x14ac:dyDescent="0.25">
      <c r="A519">
        <v>102</v>
      </c>
      <c r="B519" t="s">
        <v>1105</v>
      </c>
      <c r="C519" t="s">
        <v>1106</v>
      </c>
    </row>
    <row r="520" spans="1:3" x14ac:dyDescent="0.25">
      <c r="A520">
        <v>103</v>
      </c>
      <c r="B520" t="s">
        <v>1107</v>
      </c>
      <c r="C520" t="s">
        <v>1108</v>
      </c>
    </row>
    <row r="521" spans="1:3" x14ac:dyDescent="0.25">
      <c r="A521">
        <v>104</v>
      </c>
      <c r="B521" t="s">
        <v>1109</v>
      </c>
      <c r="C521" t="s">
        <v>1110</v>
      </c>
    </row>
    <row r="522" spans="1:3" x14ac:dyDescent="0.25">
      <c r="A522">
        <v>105</v>
      </c>
      <c r="B522" t="s">
        <v>1111</v>
      </c>
      <c r="C522" t="s">
        <v>1112</v>
      </c>
    </row>
    <row r="523" spans="1:3" x14ac:dyDescent="0.25">
      <c r="A523">
        <v>106</v>
      </c>
      <c r="B523" t="s">
        <v>1113</v>
      </c>
      <c r="C523" t="s">
        <v>1114</v>
      </c>
    </row>
    <row r="524" spans="1:3" x14ac:dyDescent="0.25">
      <c r="A524">
        <v>107</v>
      </c>
      <c r="B524" t="s">
        <v>1115</v>
      </c>
      <c r="C524" t="s">
        <v>1116</v>
      </c>
    </row>
    <row r="525" spans="1:3" x14ac:dyDescent="0.25">
      <c r="A525">
        <v>108</v>
      </c>
      <c r="B525" t="s">
        <v>1117</v>
      </c>
      <c r="C525" t="s">
        <v>1118</v>
      </c>
    </row>
    <row r="526" spans="1:3" x14ac:dyDescent="0.25">
      <c r="A526">
        <v>109</v>
      </c>
      <c r="B526" t="s">
        <v>1119</v>
      </c>
      <c r="C526" t="s">
        <v>1120</v>
      </c>
    </row>
    <row r="527" spans="1:3" x14ac:dyDescent="0.25">
      <c r="A527">
        <v>110</v>
      </c>
      <c r="B527" t="s">
        <v>1121</v>
      </c>
      <c r="C527" t="s">
        <v>1122</v>
      </c>
    </row>
    <row r="528" spans="1:3" x14ac:dyDescent="0.25">
      <c r="A528">
        <v>111</v>
      </c>
      <c r="B528" t="s">
        <v>1123</v>
      </c>
      <c r="C528" t="s">
        <v>1124</v>
      </c>
    </row>
    <row r="529" spans="1:3" x14ac:dyDescent="0.25">
      <c r="A529">
        <v>112</v>
      </c>
      <c r="B529" t="s">
        <v>1125</v>
      </c>
      <c r="C529" t="s">
        <v>1126</v>
      </c>
    </row>
    <row r="530" spans="1:3" x14ac:dyDescent="0.25">
      <c r="A530">
        <v>113</v>
      </c>
      <c r="B530" t="s">
        <v>1127</v>
      </c>
      <c r="C530" t="s">
        <v>1128</v>
      </c>
    </row>
    <row r="531" spans="1:3" x14ac:dyDescent="0.25">
      <c r="A531">
        <v>114</v>
      </c>
      <c r="B531" t="s">
        <v>1129</v>
      </c>
      <c r="C531" t="s">
        <v>1130</v>
      </c>
    </row>
    <row r="532" spans="1:3" x14ac:dyDescent="0.25">
      <c r="A532">
        <v>115</v>
      </c>
      <c r="B532" t="s">
        <v>1131</v>
      </c>
      <c r="C532" t="s">
        <v>1132</v>
      </c>
    </row>
    <row r="533" spans="1:3" x14ac:dyDescent="0.25">
      <c r="A533">
        <v>116</v>
      </c>
      <c r="B533" t="s">
        <v>1133</v>
      </c>
      <c r="C533" t="s">
        <v>1134</v>
      </c>
    </row>
    <row r="534" spans="1:3" x14ac:dyDescent="0.25">
      <c r="A534">
        <v>117</v>
      </c>
      <c r="B534" t="s">
        <v>1135</v>
      </c>
      <c r="C534" t="s">
        <v>1136</v>
      </c>
    </row>
    <row r="535" spans="1:3" x14ac:dyDescent="0.25">
      <c r="A535">
        <v>118</v>
      </c>
      <c r="B535" t="s">
        <v>1137</v>
      </c>
      <c r="C535" t="s">
        <v>1138</v>
      </c>
    </row>
    <row r="536" spans="1:3" x14ac:dyDescent="0.25">
      <c r="A536">
        <v>119</v>
      </c>
      <c r="B536" t="s">
        <v>1139</v>
      </c>
      <c r="C536" t="s">
        <v>1140</v>
      </c>
    </row>
    <row r="537" spans="1:3" x14ac:dyDescent="0.25">
      <c r="A537">
        <v>120</v>
      </c>
      <c r="B537" t="s">
        <v>1141</v>
      </c>
      <c r="C537" t="s">
        <v>1142</v>
      </c>
    </row>
    <row r="538" spans="1:3" x14ac:dyDescent="0.25">
      <c r="A538">
        <v>121</v>
      </c>
      <c r="B538" t="s">
        <v>1143</v>
      </c>
      <c r="C538" t="s">
        <v>1144</v>
      </c>
    </row>
    <row r="539" spans="1:3" x14ac:dyDescent="0.25">
      <c r="A539">
        <v>122</v>
      </c>
      <c r="B539" t="s">
        <v>1145</v>
      </c>
      <c r="C539" t="s">
        <v>1146</v>
      </c>
    </row>
    <row r="540" spans="1:3" x14ac:dyDescent="0.25">
      <c r="A540">
        <v>123</v>
      </c>
      <c r="B540" t="s">
        <v>1147</v>
      </c>
      <c r="C540" t="s">
        <v>1148</v>
      </c>
    </row>
    <row r="541" spans="1:3" x14ac:dyDescent="0.25">
      <c r="A541">
        <v>124</v>
      </c>
      <c r="B541" t="s">
        <v>1149</v>
      </c>
      <c r="C541" t="s">
        <v>1150</v>
      </c>
    </row>
    <row r="542" spans="1:3" x14ac:dyDescent="0.25">
      <c r="A542">
        <v>125</v>
      </c>
      <c r="B542" t="s">
        <v>1151</v>
      </c>
      <c r="C542" t="s">
        <v>1152</v>
      </c>
    </row>
    <row r="543" spans="1:3" x14ac:dyDescent="0.25">
      <c r="A543">
        <v>126</v>
      </c>
      <c r="B543" t="s">
        <v>1153</v>
      </c>
      <c r="C543" t="s">
        <v>1154</v>
      </c>
    </row>
    <row r="544" spans="1:3" x14ac:dyDescent="0.25">
      <c r="A544">
        <v>127</v>
      </c>
      <c r="B544" t="s">
        <v>1155</v>
      </c>
      <c r="C544" t="s">
        <v>1156</v>
      </c>
    </row>
    <row r="545" spans="1:3" x14ac:dyDescent="0.25">
      <c r="A545">
        <v>128</v>
      </c>
      <c r="B545" t="s">
        <v>1157</v>
      </c>
      <c r="C545" t="s">
        <v>1158</v>
      </c>
    </row>
    <row r="546" spans="1:3" x14ac:dyDescent="0.25">
      <c r="A546">
        <v>129</v>
      </c>
      <c r="B546" t="s">
        <v>1159</v>
      </c>
      <c r="C546" t="s">
        <v>1160</v>
      </c>
    </row>
    <row r="547" spans="1:3" x14ac:dyDescent="0.25">
      <c r="A547">
        <v>130</v>
      </c>
      <c r="B547" t="s">
        <v>1161</v>
      </c>
      <c r="C547" t="s">
        <v>1162</v>
      </c>
    </row>
    <row r="548" spans="1:3" x14ac:dyDescent="0.25">
      <c r="A548">
        <v>131</v>
      </c>
      <c r="B548" t="s">
        <v>1163</v>
      </c>
      <c r="C548" t="s">
        <v>1164</v>
      </c>
    </row>
    <row r="549" spans="1:3" x14ac:dyDescent="0.25">
      <c r="A549">
        <v>132</v>
      </c>
      <c r="B549" t="s">
        <v>1165</v>
      </c>
      <c r="C549" t="s">
        <v>1166</v>
      </c>
    </row>
    <row r="550" spans="1:3" x14ac:dyDescent="0.25">
      <c r="A550">
        <v>133</v>
      </c>
      <c r="B550" t="s">
        <v>1167</v>
      </c>
      <c r="C550" t="s">
        <v>1168</v>
      </c>
    </row>
    <row r="551" spans="1:3" x14ac:dyDescent="0.25">
      <c r="A551">
        <v>134</v>
      </c>
      <c r="B551" t="s">
        <v>1169</v>
      </c>
      <c r="C551" t="s">
        <v>1170</v>
      </c>
    </row>
    <row r="552" spans="1:3" x14ac:dyDescent="0.25">
      <c r="A552">
        <v>135</v>
      </c>
      <c r="B552" t="s">
        <v>1171</v>
      </c>
      <c r="C552" t="s">
        <v>1172</v>
      </c>
    </row>
    <row r="553" spans="1:3" x14ac:dyDescent="0.25">
      <c r="A553">
        <v>136</v>
      </c>
      <c r="B553" t="s">
        <v>1173</v>
      </c>
      <c r="C553" t="s">
        <v>1174</v>
      </c>
    </row>
    <row r="554" spans="1:3" x14ac:dyDescent="0.25">
      <c r="A554">
        <v>137</v>
      </c>
      <c r="B554" t="s">
        <v>1175</v>
      </c>
      <c r="C554" t="s">
        <v>1176</v>
      </c>
    </row>
    <row r="555" spans="1:3" x14ac:dyDescent="0.25">
      <c r="A555">
        <v>138</v>
      </c>
      <c r="B555" t="s">
        <v>1177</v>
      </c>
      <c r="C555" t="s">
        <v>1178</v>
      </c>
    </row>
    <row r="556" spans="1:3" x14ac:dyDescent="0.25">
      <c r="A556">
        <v>139</v>
      </c>
      <c r="B556" t="s">
        <v>1179</v>
      </c>
      <c r="C556" t="s">
        <v>1180</v>
      </c>
    </row>
    <row r="557" spans="1:3" x14ac:dyDescent="0.25">
      <c r="A557">
        <v>140</v>
      </c>
      <c r="B557" t="s">
        <v>1181</v>
      </c>
      <c r="C557" t="s">
        <v>1182</v>
      </c>
    </row>
    <row r="558" spans="1:3" x14ac:dyDescent="0.25">
      <c r="A558">
        <v>141</v>
      </c>
      <c r="B558" t="s">
        <v>1183</v>
      </c>
      <c r="C558" t="s">
        <v>1184</v>
      </c>
    </row>
    <row r="559" spans="1:3" x14ac:dyDescent="0.25">
      <c r="A559">
        <v>142</v>
      </c>
      <c r="B559" t="s">
        <v>1185</v>
      </c>
      <c r="C559" t="s">
        <v>1186</v>
      </c>
    </row>
    <row r="560" spans="1:3" x14ac:dyDescent="0.25">
      <c r="A560">
        <v>143</v>
      </c>
      <c r="B560" t="s">
        <v>1187</v>
      </c>
      <c r="C560" t="s">
        <v>1188</v>
      </c>
    </row>
    <row r="561" spans="1:3" x14ac:dyDescent="0.25">
      <c r="A561">
        <v>144</v>
      </c>
      <c r="B561" t="s">
        <v>1189</v>
      </c>
      <c r="C561" t="s">
        <v>1190</v>
      </c>
    </row>
    <row r="562" spans="1:3" x14ac:dyDescent="0.25">
      <c r="A562">
        <v>145</v>
      </c>
      <c r="B562" t="s">
        <v>1191</v>
      </c>
      <c r="C562" t="s">
        <v>1192</v>
      </c>
    </row>
    <row r="563" spans="1:3" x14ac:dyDescent="0.25">
      <c r="A563">
        <v>146</v>
      </c>
      <c r="B563" t="s">
        <v>1193</v>
      </c>
      <c r="C563" t="s">
        <v>1194</v>
      </c>
    </row>
    <row r="564" spans="1:3" x14ac:dyDescent="0.25">
      <c r="A564">
        <v>147</v>
      </c>
      <c r="B564" t="s">
        <v>1195</v>
      </c>
      <c r="C564" t="s">
        <v>1196</v>
      </c>
    </row>
    <row r="565" spans="1:3" x14ac:dyDescent="0.25">
      <c r="A565">
        <v>148</v>
      </c>
      <c r="B565" t="s">
        <v>1197</v>
      </c>
      <c r="C565" t="s">
        <v>1198</v>
      </c>
    </row>
    <row r="566" spans="1:3" x14ac:dyDescent="0.25">
      <c r="A566">
        <v>149</v>
      </c>
      <c r="B566" t="s">
        <v>1199</v>
      </c>
      <c r="C566" t="s">
        <v>1200</v>
      </c>
    </row>
    <row r="567" spans="1:3" x14ac:dyDescent="0.25">
      <c r="A567">
        <v>150</v>
      </c>
      <c r="B567" t="s">
        <v>1201</v>
      </c>
      <c r="C567" t="s">
        <v>1202</v>
      </c>
    </row>
    <row r="568" spans="1:3" x14ac:dyDescent="0.25">
      <c r="A568">
        <v>151</v>
      </c>
      <c r="B568" t="s">
        <v>1203</v>
      </c>
      <c r="C568" t="s">
        <v>1204</v>
      </c>
    </row>
    <row r="569" spans="1:3" x14ac:dyDescent="0.25">
      <c r="A569">
        <v>152</v>
      </c>
      <c r="B569" t="s">
        <v>1205</v>
      </c>
      <c r="C569" t="s">
        <v>1206</v>
      </c>
    </row>
    <row r="570" spans="1:3" x14ac:dyDescent="0.25">
      <c r="A570">
        <v>153</v>
      </c>
      <c r="B570" t="s">
        <v>1207</v>
      </c>
      <c r="C570" t="s">
        <v>1208</v>
      </c>
    </row>
    <row r="571" spans="1:3" x14ac:dyDescent="0.25">
      <c r="A571">
        <v>154</v>
      </c>
      <c r="B571" t="s">
        <v>1209</v>
      </c>
      <c r="C571" t="s">
        <v>1210</v>
      </c>
    </row>
    <row r="572" spans="1:3" x14ac:dyDescent="0.25">
      <c r="A572">
        <v>155</v>
      </c>
      <c r="B572" t="s">
        <v>1211</v>
      </c>
      <c r="C572" t="s">
        <v>1212</v>
      </c>
    </row>
    <row r="573" spans="1:3" x14ac:dyDescent="0.25">
      <c r="A573">
        <v>156</v>
      </c>
      <c r="B573" t="s">
        <v>1213</v>
      </c>
      <c r="C573" t="s">
        <v>1214</v>
      </c>
    </row>
    <row r="574" spans="1:3" x14ac:dyDescent="0.25">
      <c r="A574">
        <v>157</v>
      </c>
      <c r="B574" t="s">
        <v>1215</v>
      </c>
      <c r="C574" t="s">
        <v>1216</v>
      </c>
    </row>
    <row r="575" spans="1:3" x14ac:dyDescent="0.25">
      <c r="A575">
        <v>158</v>
      </c>
      <c r="B575" t="s">
        <v>1217</v>
      </c>
      <c r="C575" t="s">
        <v>1218</v>
      </c>
    </row>
    <row r="576" spans="1:3" x14ac:dyDescent="0.25">
      <c r="A576">
        <v>159</v>
      </c>
      <c r="B576" t="s">
        <v>1219</v>
      </c>
      <c r="C576" t="s">
        <v>1220</v>
      </c>
    </row>
    <row r="577" spans="1:3" x14ac:dyDescent="0.25">
      <c r="A577">
        <v>160</v>
      </c>
      <c r="B577" t="s">
        <v>1221</v>
      </c>
      <c r="C577" t="s">
        <v>1222</v>
      </c>
    </row>
    <row r="578" spans="1:3" x14ac:dyDescent="0.25">
      <c r="A578">
        <v>161</v>
      </c>
      <c r="B578" t="s">
        <v>1223</v>
      </c>
      <c r="C578" t="s">
        <v>1224</v>
      </c>
    </row>
    <row r="579" spans="1:3" x14ac:dyDescent="0.25">
      <c r="A579">
        <v>162</v>
      </c>
      <c r="B579" t="s">
        <v>1225</v>
      </c>
      <c r="C579" t="s">
        <v>1226</v>
      </c>
    </row>
    <row r="580" spans="1:3" x14ac:dyDescent="0.25">
      <c r="A580">
        <v>163</v>
      </c>
      <c r="B580" t="s">
        <v>1227</v>
      </c>
      <c r="C580" t="s">
        <v>1228</v>
      </c>
    </row>
    <row r="581" spans="1:3" x14ac:dyDescent="0.25">
      <c r="A581">
        <v>164</v>
      </c>
      <c r="B581" t="s">
        <v>1229</v>
      </c>
      <c r="C581" t="s">
        <v>1230</v>
      </c>
    </row>
    <row r="582" spans="1:3" x14ac:dyDescent="0.25">
      <c r="A582">
        <v>165</v>
      </c>
      <c r="B582" t="s">
        <v>1231</v>
      </c>
      <c r="C582" t="s">
        <v>1232</v>
      </c>
    </row>
    <row r="583" spans="1:3" x14ac:dyDescent="0.25">
      <c r="A583">
        <v>166</v>
      </c>
      <c r="B583" t="s">
        <v>1233</v>
      </c>
      <c r="C583" t="s">
        <v>1234</v>
      </c>
    </row>
    <row r="584" spans="1:3" x14ac:dyDescent="0.25">
      <c r="A584">
        <v>167</v>
      </c>
      <c r="B584" t="s">
        <v>1235</v>
      </c>
      <c r="C584" t="s">
        <v>1236</v>
      </c>
    </row>
    <row r="585" spans="1:3" x14ac:dyDescent="0.25">
      <c r="A585">
        <v>168</v>
      </c>
      <c r="B585" t="s">
        <v>1237</v>
      </c>
      <c r="C585" t="s">
        <v>1238</v>
      </c>
    </row>
    <row r="586" spans="1:3" x14ac:dyDescent="0.25">
      <c r="A586">
        <v>169</v>
      </c>
      <c r="B586" t="s">
        <v>1239</v>
      </c>
      <c r="C586" t="s">
        <v>1240</v>
      </c>
    </row>
    <row r="587" spans="1:3" x14ac:dyDescent="0.25">
      <c r="A587">
        <v>170</v>
      </c>
      <c r="B587" t="s">
        <v>1241</v>
      </c>
      <c r="C587" t="s">
        <v>1242</v>
      </c>
    </row>
    <row r="588" spans="1:3" x14ac:dyDescent="0.25">
      <c r="A588">
        <v>171</v>
      </c>
      <c r="B588" t="s">
        <v>1243</v>
      </c>
      <c r="C588" t="s">
        <v>1244</v>
      </c>
    </row>
    <row r="589" spans="1:3" x14ac:dyDescent="0.25">
      <c r="A589">
        <v>172</v>
      </c>
      <c r="B589" t="s">
        <v>1245</v>
      </c>
      <c r="C589" t="s">
        <v>1246</v>
      </c>
    </row>
    <row r="590" spans="1:3" x14ac:dyDescent="0.25">
      <c r="A590">
        <v>173</v>
      </c>
      <c r="B590" t="s">
        <v>1247</v>
      </c>
      <c r="C590" t="s">
        <v>1248</v>
      </c>
    </row>
    <row r="591" spans="1:3" x14ac:dyDescent="0.25">
      <c r="A591">
        <v>174</v>
      </c>
      <c r="B591" t="s">
        <v>1249</v>
      </c>
      <c r="C591" t="s">
        <v>1250</v>
      </c>
    </row>
    <row r="592" spans="1:3" x14ac:dyDescent="0.25">
      <c r="A592">
        <v>175</v>
      </c>
      <c r="B592" t="s">
        <v>1251</v>
      </c>
      <c r="C592" t="s">
        <v>1252</v>
      </c>
    </row>
    <row r="593" spans="1:3" x14ac:dyDescent="0.25">
      <c r="A593">
        <v>176</v>
      </c>
      <c r="B593" t="s">
        <v>1253</v>
      </c>
      <c r="C593" t="s">
        <v>1254</v>
      </c>
    </row>
    <row r="594" spans="1:3" x14ac:dyDescent="0.25">
      <c r="A594">
        <v>177</v>
      </c>
      <c r="B594" t="s">
        <v>1255</v>
      </c>
      <c r="C594" t="s">
        <v>1256</v>
      </c>
    </row>
    <row r="595" spans="1:3" x14ac:dyDescent="0.25">
      <c r="A595">
        <v>178</v>
      </c>
      <c r="B595" t="s">
        <v>1257</v>
      </c>
      <c r="C595" t="s">
        <v>1258</v>
      </c>
    </row>
    <row r="596" spans="1:3" x14ac:dyDescent="0.25">
      <c r="A596">
        <v>179</v>
      </c>
      <c r="B596" t="s">
        <v>1259</v>
      </c>
      <c r="C596" t="s">
        <v>1260</v>
      </c>
    </row>
    <row r="597" spans="1:3" x14ac:dyDescent="0.25">
      <c r="A597">
        <v>180</v>
      </c>
      <c r="B597" t="s">
        <v>1261</v>
      </c>
      <c r="C597" t="s">
        <v>1262</v>
      </c>
    </row>
    <row r="598" spans="1:3" x14ac:dyDescent="0.25">
      <c r="A598">
        <v>181</v>
      </c>
      <c r="B598" t="s">
        <v>1263</v>
      </c>
      <c r="C598" t="s">
        <v>1264</v>
      </c>
    </row>
    <row r="599" spans="1:3" x14ac:dyDescent="0.25">
      <c r="A599">
        <v>182</v>
      </c>
      <c r="B599" t="s">
        <v>1265</v>
      </c>
      <c r="C599" t="s">
        <v>1266</v>
      </c>
    </row>
    <row r="600" spans="1:3" x14ac:dyDescent="0.25">
      <c r="A600">
        <v>183</v>
      </c>
      <c r="B600" t="s">
        <v>1267</v>
      </c>
      <c r="C600" t="s">
        <v>1268</v>
      </c>
    </row>
    <row r="601" spans="1:3" x14ac:dyDescent="0.25">
      <c r="A601">
        <v>184</v>
      </c>
      <c r="B601" t="s">
        <v>1269</v>
      </c>
      <c r="C601" t="s">
        <v>1270</v>
      </c>
    </row>
    <row r="602" spans="1:3" x14ac:dyDescent="0.25">
      <c r="A602">
        <v>185</v>
      </c>
      <c r="B602" t="s">
        <v>1271</v>
      </c>
      <c r="C602" t="s">
        <v>1272</v>
      </c>
    </row>
    <row r="603" spans="1:3" x14ac:dyDescent="0.25">
      <c r="A603">
        <v>186</v>
      </c>
      <c r="B603" t="s">
        <v>1273</v>
      </c>
      <c r="C603" t="s">
        <v>1274</v>
      </c>
    </row>
    <row r="604" spans="1:3" x14ac:dyDescent="0.25">
      <c r="A604">
        <v>187</v>
      </c>
      <c r="B604" t="s">
        <v>1275</v>
      </c>
      <c r="C604" t="s">
        <v>1276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45A1-BD7A-402F-9160-BC3F5C5A6C22}">
  <dimension ref="A1:C38"/>
  <sheetViews>
    <sheetView topLeftCell="A15" workbookViewId="0">
      <selection activeCell="C25" sqref="C25"/>
    </sheetView>
  </sheetViews>
  <sheetFormatPr defaultColWidth="7.85546875" defaultRowHeight="15" x14ac:dyDescent="0.25"/>
  <cols>
    <col min="1" max="1" width="2.42578125" customWidth="1"/>
    <col min="2" max="2" width="33.28515625" customWidth="1"/>
    <col min="3" max="3" width="14" customWidth="1"/>
  </cols>
  <sheetData>
    <row r="1" spans="1:3" s="26" customFormat="1" ht="12" x14ac:dyDescent="0.2">
      <c r="A1" s="26" t="s">
        <v>483</v>
      </c>
      <c r="B1" s="26" t="s">
        <v>484</v>
      </c>
      <c r="C1" s="26" t="s">
        <v>485</v>
      </c>
    </row>
    <row r="2" spans="1:3" x14ac:dyDescent="0.25">
      <c r="A2">
        <v>1</v>
      </c>
      <c r="B2" t="s">
        <v>309</v>
      </c>
      <c r="C2" t="s">
        <v>1298</v>
      </c>
    </row>
    <row r="3" spans="1:3" x14ac:dyDescent="0.25">
      <c r="A3">
        <v>2</v>
      </c>
      <c r="B3" t="s">
        <v>473</v>
      </c>
      <c r="C3" t="s">
        <v>1299</v>
      </c>
    </row>
    <row r="4" spans="1:3" x14ac:dyDescent="0.25">
      <c r="A4">
        <v>3</v>
      </c>
      <c r="B4" t="s">
        <v>474</v>
      </c>
      <c r="C4" t="s">
        <v>1300</v>
      </c>
    </row>
    <row r="5" spans="1:3" x14ac:dyDescent="0.25">
      <c r="A5">
        <v>4</v>
      </c>
      <c r="B5" t="s">
        <v>475</v>
      </c>
      <c r="C5" t="s">
        <v>1301</v>
      </c>
    </row>
    <row r="6" spans="1:3" x14ac:dyDescent="0.25">
      <c r="A6">
        <v>5</v>
      </c>
      <c r="B6" t="s">
        <v>476</v>
      </c>
      <c r="C6" t="s">
        <v>1302</v>
      </c>
    </row>
    <row r="7" spans="1:3" x14ac:dyDescent="0.25">
      <c r="A7">
        <v>6</v>
      </c>
      <c r="B7" t="s">
        <v>477</v>
      </c>
      <c r="C7" t="s">
        <v>1303</v>
      </c>
    </row>
    <row r="8" spans="1:3" x14ac:dyDescent="0.25">
      <c r="A8">
        <v>7</v>
      </c>
      <c r="B8" t="s">
        <v>478</v>
      </c>
      <c r="C8" t="s">
        <v>1304</v>
      </c>
    </row>
    <row r="9" spans="1:3" x14ac:dyDescent="0.25">
      <c r="A9">
        <v>8</v>
      </c>
      <c r="B9" t="s">
        <v>480</v>
      </c>
      <c r="C9" t="s">
        <v>1305</v>
      </c>
    </row>
    <row r="10" spans="1:3" x14ac:dyDescent="0.25">
      <c r="A10">
        <v>9</v>
      </c>
      <c r="B10" t="s">
        <v>481</v>
      </c>
      <c r="C10" t="s">
        <v>1306</v>
      </c>
    </row>
    <row r="11" spans="1:3" x14ac:dyDescent="0.25">
      <c r="A11">
        <v>10</v>
      </c>
      <c r="B11" t="s">
        <v>376</v>
      </c>
      <c r="C11" t="s">
        <v>1307</v>
      </c>
    </row>
    <row r="12" spans="1:3" x14ac:dyDescent="0.25">
      <c r="A12">
        <v>11</v>
      </c>
      <c r="B12" t="s">
        <v>377</v>
      </c>
      <c r="C12" t="s">
        <v>1308</v>
      </c>
    </row>
    <row r="13" spans="1:3" x14ac:dyDescent="0.25">
      <c r="A13">
        <v>12</v>
      </c>
      <c r="B13" t="s">
        <v>378</v>
      </c>
      <c r="C13" t="s">
        <v>1309</v>
      </c>
    </row>
    <row r="14" spans="1:3" x14ac:dyDescent="0.25">
      <c r="A14">
        <v>13</v>
      </c>
      <c r="B14" t="s">
        <v>379</v>
      </c>
      <c r="C14" t="s">
        <v>1310</v>
      </c>
    </row>
    <row r="15" spans="1:3" x14ac:dyDescent="0.25">
      <c r="A15">
        <v>14</v>
      </c>
      <c r="B15" t="s">
        <v>380</v>
      </c>
      <c r="C15" t="s">
        <v>1311</v>
      </c>
    </row>
    <row r="16" spans="1:3" x14ac:dyDescent="0.25">
      <c r="A16">
        <v>15</v>
      </c>
      <c r="B16" t="s">
        <v>419</v>
      </c>
      <c r="C16" t="s">
        <v>1312</v>
      </c>
    </row>
    <row r="17" spans="1:3" x14ac:dyDescent="0.25">
      <c r="A17">
        <v>16</v>
      </c>
      <c r="B17" t="s">
        <v>420</v>
      </c>
      <c r="C17" t="s">
        <v>1313</v>
      </c>
    </row>
    <row r="18" spans="1:3" x14ac:dyDescent="0.25">
      <c r="A18">
        <v>17</v>
      </c>
      <c r="B18" t="s">
        <v>421</v>
      </c>
      <c r="C18" t="s">
        <v>1314</v>
      </c>
    </row>
    <row r="19" spans="1:3" x14ac:dyDescent="0.25">
      <c r="A19">
        <v>18</v>
      </c>
      <c r="B19" t="s">
        <v>454</v>
      </c>
      <c r="C19" t="s">
        <v>1315</v>
      </c>
    </row>
    <row r="20" spans="1:3" x14ac:dyDescent="0.25">
      <c r="A20">
        <v>19</v>
      </c>
      <c r="B20" t="s">
        <v>455</v>
      </c>
      <c r="C20" t="s">
        <v>1316</v>
      </c>
    </row>
    <row r="21" spans="1:3" x14ac:dyDescent="0.25">
      <c r="A21">
        <v>20</v>
      </c>
      <c r="B21" t="s">
        <v>375</v>
      </c>
      <c r="C21" t="s">
        <v>1317</v>
      </c>
    </row>
    <row r="22" spans="1:3" x14ac:dyDescent="0.25">
      <c r="A22">
        <v>21</v>
      </c>
      <c r="B22" t="s">
        <v>457</v>
      </c>
      <c r="C22" t="s">
        <v>1318</v>
      </c>
    </row>
    <row r="23" spans="1:3" x14ac:dyDescent="0.25">
      <c r="A23">
        <v>22</v>
      </c>
      <c r="B23" t="s">
        <v>458</v>
      </c>
      <c r="C23" t="s">
        <v>1319</v>
      </c>
    </row>
    <row r="24" spans="1:3" x14ac:dyDescent="0.25">
      <c r="A24">
        <v>23</v>
      </c>
      <c r="B24" t="s">
        <v>356</v>
      </c>
      <c r="C24" t="s">
        <v>1320</v>
      </c>
    </row>
    <row r="25" spans="1:3" x14ac:dyDescent="0.25">
      <c r="A25">
        <v>24</v>
      </c>
      <c r="B25" t="s">
        <v>100</v>
      </c>
      <c r="C25" t="s">
        <v>1321</v>
      </c>
    </row>
    <row r="26" spans="1:3" x14ac:dyDescent="0.25">
      <c r="A26">
        <v>25</v>
      </c>
      <c r="B26" t="s">
        <v>452</v>
      </c>
      <c r="C26" t="s">
        <v>1322</v>
      </c>
    </row>
    <row r="27" spans="1:3" x14ac:dyDescent="0.25">
      <c r="A27">
        <v>26</v>
      </c>
      <c r="B27" t="s">
        <v>453</v>
      </c>
      <c r="C27" t="s">
        <v>1323</v>
      </c>
    </row>
    <row r="28" spans="1:3" x14ac:dyDescent="0.25">
      <c r="A28">
        <v>27</v>
      </c>
      <c r="B28" t="s">
        <v>383</v>
      </c>
      <c r="C28" t="s">
        <v>1324</v>
      </c>
    </row>
    <row r="29" spans="1:3" x14ac:dyDescent="0.25">
      <c r="A29">
        <v>28</v>
      </c>
      <c r="B29" t="s">
        <v>384</v>
      </c>
      <c r="C29" t="s">
        <v>1325</v>
      </c>
    </row>
    <row r="30" spans="1:3" x14ac:dyDescent="0.25">
      <c r="A30">
        <v>29</v>
      </c>
      <c r="B30" t="s">
        <v>385</v>
      </c>
      <c r="C30" t="s">
        <v>1326</v>
      </c>
    </row>
    <row r="31" spans="1:3" x14ac:dyDescent="0.25">
      <c r="A31">
        <v>30</v>
      </c>
      <c r="B31" t="s">
        <v>387</v>
      </c>
      <c r="C31" t="s">
        <v>1327</v>
      </c>
    </row>
    <row r="32" spans="1:3" x14ac:dyDescent="0.25">
      <c r="A32">
        <v>31</v>
      </c>
      <c r="B32" t="s">
        <v>388</v>
      </c>
      <c r="C32" t="s">
        <v>1328</v>
      </c>
    </row>
    <row r="33" spans="1:3" x14ac:dyDescent="0.25">
      <c r="A33">
        <v>32</v>
      </c>
      <c r="B33" t="s">
        <v>297</v>
      </c>
      <c r="C33" t="s">
        <v>1329</v>
      </c>
    </row>
    <row r="34" spans="1:3" x14ac:dyDescent="0.25">
      <c r="A34">
        <v>33</v>
      </c>
      <c r="B34" t="s">
        <v>308</v>
      </c>
      <c r="C34" t="s">
        <v>1330</v>
      </c>
    </row>
    <row r="35" spans="1:3" x14ac:dyDescent="0.25">
      <c r="A35">
        <v>34</v>
      </c>
      <c r="B35" t="s">
        <v>307</v>
      </c>
      <c r="C35" t="s">
        <v>1331</v>
      </c>
    </row>
    <row r="36" spans="1:3" x14ac:dyDescent="0.25">
      <c r="A36">
        <v>35</v>
      </c>
      <c r="B36" t="s">
        <v>381</v>
      </c>
      <c r="C36" t="s">
        <v>1332</v>
      </c>
    </row>
    <row r="37" spans="1:3" x14ac:dyDescent="0.25">
      <c r="A37">
        <v>36</v>
      </c>
      <c r="B37" t="s">
        <v>382</v>
      </c>
      <c r="C37" t="s">
        <v>1333</v>
      </c>
    </row>
    <row r="38" spans="1:3" x14ac:dyDescent="0.25">
      <c r="A38">
        <v>37</v>
      </c>
      <c r="B38" t="s">
        <v>386</v>
      </c>
      <c r="C38" t="s">
        <v>1334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F595-05B8-4AF5-BF07-7A3F2A7EC5EB}">
  <dimension ref="A1:C9"/>
  <sheetViews>
    <sheetView workbookViewId="0">
      <selection activeCell="H14" sqref="H14"/>
    </sheetView>
  </sheetViews>
  <sheetFormatPr defaultColWidth="7.85546875" defaultRowHeight="15" x14ac:dyDescent="0.25"/>
  <cols>
    <col min="1" max="1" width="2.28515625" bestFit="1" customWidth="1"/>
    <col min="2" max="2" width="43.5703125" bestFit="1" customWidth="1"/>
    <col min="3" max="3" width="15" bestFit="1" customWidth="1"/>
  </cols>
  <sheetData>
    <row r="1" spans="1:3" s="26" customFormat="1" ht="12" x14ac:dyDescent="0.2">
      <c r="A1" s="26" t="s">
        <v>483</v>
      </c>
      <c r="B1" s="26" t="s">
        <v>484</v>
      </c>
      <c r="C1" s="26" t="s">
        <v>485</v>
      </c>
    </row>
    <row r="2" spans="1:3" x14ac:dyDescent="0.25">
      <c r="A2">
        <v>1</v>
      </c>
      <c r="B2" t="s">
        <v>426</v>
      </c>
      <c r="C2" t="s">
        <v>1335</v>
      </c>
    </row>
    <row r="3" spans="1:3" x14ac:dyDescent="0.25">
      <c r="A3">
        <v>2</v>
      </c>
      <c r="B3" t="s">
        <v>416</v>
      </c>
      <c r="C3" t="s">
        <v>1336</v>
      </c>
    </row>
    <row r="4" spans="1:3" x14ac:dyDescent="0.25">
      <c r="A4">
        <v>3</v>
      </c>
      <c r="B4" t="s">
        <v>450</v>
      </c>
      <c r="C4" t="s">
        <v>1337</v>
      </c>
    </row>
    <row r="5" spans="1:3" x14ac:dyDescent="0.25">
      <c r="A5">
        <v>4</v>
      </c>
      <c r="B5" t="s">
        <v>451</v>
      </c>
      <c r="C5" t="s">
        <v>1338</v>
      </c>
    </row>
    <row r="6" spans="1:3" x14ac:dyDescent="0.25">
      <c r="A6">
        <v>5</v>
      </c>
      <c r="B6" t="s">
        <v>428</v>
      </c>
      <c r="C6" t="s">
        <v>1339</v>
      </c>
    </row>
    <row r="7" spans="1:3" x14ac:dyDescent="0.25">
      <c r="A7">
        <v>6</v>
      </c>
      <c r="B7" t="s">
        <v>429</v>
      </c>
      <c r="C7" t="s">
        <v>1340</v>
      </c>
    </row>
    <row r="8" spans="1:3" x14ac:dyDescent="0.25">
      <c r="A8">
        <v>7</v>
      </c>
      <c r="B8" t="s">
        <v>306</v>
      </c>
      <c r="C8" t="s">
        <v>1341</v>
      </c>
    </row>
    <row r="9" spans="1:3" x14ac:dyDescent="0.25">
      <c r="A9">
        <v>8</v>
      </c>
      <c r="B9" t="s">
        <v>430</v>
      </c>
      <c r="C9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working</vt:lpstr>
      <vt:lpstr>Sheet5</vt:lpstr>
      <vt:lpstr>policy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 Alam</dc:creator>
  <cp:lastModifiedBy>IT User Software</cp:lastModifiedBy>
  <dcterms:created xsi:type="dcterms:W3CDTF">2025-05-16T11:30:53Z</dcterms:created>
  <dcterms:modified xsi:type="dcterms:W3CDTF">2025-05-26T11:18:02Z</dcterms:modified>
</cp:coreProperties>
</file>