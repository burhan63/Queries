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Omair ALi\28-Nov-2024\"/>
    </mc:Choice>
  </mc:AlternateContent>
  <xr:revisionPtr revIDLastSave="0" documentId="13_ncr:1_{93F2AC7A-4BFB-4ECB-82D9-08AA33B4BF18}" xr6:coauthVersionLast="47" xr6:coauthVersionMax="47" xr10:uidLastSave="{00000000-0000-0000-0000-000000000000}"/>
  <bookViews>
    <workbookView xWindow="-120" yWindow="-120" windowWidth="20730" windowHeight="11040" activeTab="1" xr2:uid="{C8A45C18-82F1-4019-BC87-CE6338EB6AB2}"/>
  </bookViews>
  <sheets>
    <sheet name="Sheet1" sheetId="1" r:id="rId1"/>
    <sheet name="working" sheetId="2" r:id="rId2"/>
    <sheet name="Sheet3" sheetId="3" r:id="rId3"/>
    <sheet name="polic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9" i="2" l="1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D15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B150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2" i="2"/>
  <c r="F2" i="2"/>
  <c r="D2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" i="3"/>
  <c r="H2" i="2" l="1"/>
</calcChain>
</file>

<file path=xl/sharedStrings.xml><?xml version="1.0" encoding="utf-8"?>
<sst xmlns="http://schemas.openxmlformats.org/spreadsheetml/2006/main" count="1047" uniqueCount="330">
  <si>
    <t xml:space="preserve">Policy Number </t>
  </si>
  <si>
    <t xml:space="preserve">Outstanding </t>
  </si>
  <si>
    <t>KHI/HO/D/MO/PC COMP/P/72779/07/2023</t>
  </si>
  <si>
    <t>KHI/HO/D/MO/PC TPP/P/89038/05/2024</t>
  </si>
  <si>
    <t>KHI/HO/D/MO/PC COMP/P/60462/04/2022</t>
  </si>
  <si>
    <t>KHI/HO/D/MO/PC COMP/P/67169/01/2023</t>
  </si>
  <si>
    <t>KHI/HO/D/MO/PC COMP/P/65381/11/2022</t>
  </si>
  <si>
    <t>LHR/LHR/D/MO/PC COMP/P/61096/05/2022</t>
  </si>
  <si>
    <t>KHI/HO/D/MO/PD COMP/P/67091/01/2023</t>
  </si>
  <si>
    <t>KHI/HO/D/MO/PD COMP/P/67090/01/2023</t>
  </si>
  <si>
    <t>KHI/HO/D/MO/MC COMP/P/94510/08/2024</t>
  </si>
  <si>
    <t>KHI/HO/D/MO/MC COMP/P/94374/08/2024</t>
  </si>
  <si>
    <t>KHI/HO/D/MO/MC COMP/P/94518/08/2024</t>
  </si>
  <si>
    <t>KHI/HO/D/MO/MC COMP/P/94544/08/2024</t>
  </si>
  <si>
    <t>KHI/HO/D/MO/MC COMP/P/94475/08/2024</t>
  </si>
  <si>
    <t>KHI/HO/D/MO/MC COMP/P/94668/08/2024</t>
  </si>
  <si>
    <t>KHI/HO/D/MO/MC COMP/P/94516/08/2024</t>
  </si>
  <si>
    <t>KHI/HO/D/MO/MC COMP/P/94671/08/2024</t>
  </si>
  <si>
    <t>KHI/HO/D/MO/MC COMP/P/94539/08/2024</t>
  </si>
  <si>
    <t>KHI/HO/D/MO/MC COMP/P/94530/08/2024</t>
  </si>
  <si>
    <t>KHI/HO/D/MO/MC COMP/P/94375/08/2024</t>
  </si>
  <si>
    <t>KHI/HO/D/MO/MC COMP/P/94411/08/2024</t>
  </si>
  <si>
    <t>KHI/HO/D/MO/MC COMP/P/94476/08/2024</t>
  </si>
  <si>
    <t>KHI/HO/D/MO/MC COMP/P/94412/08/2024</t>
  </si>
  <si>
    <t>KHI/HO/D/MO/MC COMP/P/94511/08/2024</t>
  </si>
  <si>
    <t>KHI/HO/D/MO/MC COMP/P/94538/08/2024</t>
  </si>
  <si>
    <t>KHI/HO/D/MO/MC COMP/P/94517/08/2024</t>
  </si>
  <si>
    <t>KHI/HO/D/MO/MC COMP/P/94527/08/2024</t>
  </si>
  <si>
    <t>KHI/HO/D/MO/MC COMP/P/94543/08/2024</t>
  </si>
  <si>
    <t>KHI/HO/D/MO/MC COMP/P/94373/08/2024</t>
  </si>
  <si>
    <t>KHI/HO/D/MO/MC COMP/P/94526/08/2024</t>
  </si>
  <si>
    <t>KHI/HO/D/MO/MC COMP/P/94364/08/2024</t>
  </si>
  <si>
    <t>KHI/HO/D/MO/MC COMP/P/94363/08/2024</t>
  </si>
  <si>
    <t>KHI/HO/D/MO/MC COMP/P/94519/08/2024</t>
  </si>
  <si>
    <t>LHR/LHR/D/MO/PC COMP/P/98931/10/2024</t>
  </si>
  <si>
    <t>LHR/LHR/D/MO/PC COMP/P/100788/10/2024</t>
  </si>
  <si>
    <t>KHI/HO/D/MO/PD COMP/P/85426/03/2024</t>
  </si>
  <si>
    <t>KHI/HO/D/MO/PD COMP/P/81037/01/2024</t>
  </si>
  <si>
    <t>LHR/LHR/D/MO/PC COMP/P/100822/10/2024</t>
  </si>
  <si>
    <t>KHI/HO/D/MO/PC COMP/P/75192/09/2023</t>
  </si>
  <si>
    <t>KHI/HO/D/MO/PC COMP/P/98942/10/2024</t>
  </si>
  <si>
    <t>KHI/HO/D/MO/PC COMP/P/64888/11/2022</t>
  </si>
  <si>
    <t>KHI/HO/D/MO/PC COMP/P/88365/05/2024</t>
  </si>
  <si>
    <t>KHI/HO/D/MO/PC COMP/P/99260/10/2024</t>
  </si>
  <si>
    <t>KHI/HO/D/MO/PC COMP/P/88645/05/2024</t>
  </si>
  <si>
    <t>KHI/HO/D/MO/PC TPP/P/82171/01/2024</t>
  </si>
  <si>
    <t>KHI/HO/D/MO/PC COMP/P/88949/05/2024</t>
  </si>
  <si>
    <t>KHI/HO/D/MO/PC COMP/P/98511/09/2024</t>
  </si>
  <si>
    <t>KHI/HO/D/MO/PC COMP/P/101419/11/2024</t>
  </si>
  <si>
    <t>KHI/HO/D/MO/PC COMP/P/99231/10/2024</t>
  </si>
  <si>
    <t>KHI/HO/D/MO/PC COMP/P/90254/06/2024</t>
  </si>
  <si>
    <t>KHI/HO/D/MO/PC COMP/P/87652/04/2024</t>
  </si>
  <si>
    <t>KHI/HO/D/MO/PC COMP/P/92565/07/2024</t>
  </si>
  <si>
    <t>KHI/HO/D/MO/PC COMP/P/76844/10/2023</t>
  </si>
  <si>
    <t>KHI/HO/D/MO/PC COMP/P/92612/07/2024</t>
  </si>
  <si>
    <t>KHI/HO/D/MO/PC COMP/P/86143/03/2024</t>
  </si>
  <si>
    <t>KHI/HO/D/MO/PC COMP/P/100082/10/2024</t>
  </si>
  <si>
    <t>KHI/HO/D/MO/PC COMP/P/98246/09/2024</t>
  </si>
  <si>
    <t>KHI/HO/D/MO/PC COMP/P/100087/10/2024</t>
  </si>
  <si>
    <t>KHI/HO/D/MO/PC COMP/P/74898/09/2023</t>
  </si>
  <si>
    <t>KHI/HO/D/MO/PC COMP/P/72023/06/2023</t>
  </si>
  <si>
    <t>KHI/HO/D/MO/PC COMP/P/82727/01/2024</t>
  </si>
  <si>
    <t>KHI/HO/D/MO/PC COMP/P/101861/11/2024</t>
  </si>
  <si>
    <t>KHI/HO/D/MO/PC COMP/P/99233/10/2024</t>
  </si>
  <si>
    <t>KHI/HO/D/MO/PC COMP/P/81225/01/2024</t>
  </si>
  <si>
    <t>KHI/HO/D/MO/PC COMP/P/99594/10/2024</t>
  </si>
  <si>
    <t>KHI/HO/D/MO/PC COMP/P/100567/10/2024</t>
  </si>
  <si>
    <t>KHI/HO/D/MO/PC COMP/P/84960/03/2024</t>
  </si>
  <si>
    <t>KHI/HO/D/MO/PC COMP/P/96791/09/2024</t>
  </si>
  <si>
    <t>KHI/HO/D/MO/PC COMP/P/87653/04/2024</t>
  </si>
  <si>
    <t>KHI/HO/D/MO/PC COMP/P/85515/03/2024</t>
  </si>
  <si>
    <t>KHI/HO/D/MO/PC COMP/P/78823/11/2023</t>
  </si>
  <si>
    <t>KHI/HO/D/MO/PC TPP/P/84895/03/2024</t>
  </si>
  <si>
    <t>KHI/HO/D/MO/PC COMP/P/88205/05/2024</t>
  </si>
  <si>
    <t>KHI/HO/D/MO/PC COMP/P/85642/03/2024</t>
  </si>
  <si>
    <t>KHI/HO/D/MO/PC TPP/P/85536/03/2024</t>
  </si>
  <si>
    <t>KHI/HO/D/MO/PC TPP/P/90696/06/2024</t>
  </si>
  <si>
    <t>KHI/HO/D/MO/PC COMP/P/86136/03/2024</t>
  </si>
  <si>
    <t>KHI/HO/D/MO/PC COMP/P/101154/11/2024</t>
  </si>
  <si>
    <t>KHI/HO/D/MO/PC COMP/P/100744/10/2024</t>
  </si>
  <si>
    <t>KHI/HO/D/MO/PC COMP/P/74647/08/2023</t>
  </si>
  <si>
    <t>KHI/HO/D/MO/MC COMP/P/93662/07/2024</t>
  </si>
  <si>
    <t>KHI/AR/AR/D/MO/MC TTT/P/89566/05/2024</t>
  </si>
  <si>
    <t>KHI/HO/D/MO/PD COMP/P/76598/10/2023</t>
  </si>
  <si>
    <t>KHI/HO/D/MO/PC COMP/P/75357/09/2023</t>
  </si>
  <si>
    <t>KHI/HO/D/MO/PC TPP/P/70253/04/2023</t>
  </si>
  <si>
    <t>KHI/HO/D/MO/PC COMP/P/73878/08/2023</t>
  </si>
  <si>
    <t>KHI/HO/D/MO/PC COMP/P/81588/01/2024</t>
  </si>
  <si>
    <t>KHI/HO/D/MO/PC COMP/P/89709/05/2024</t>
  </si>
  <si>
    <t>KHI/HO/D/MO/PC TPP/P/75374/09/2023</t>
  </si>
  <si>
    <t>KHI/HO/D/MO/PC COMP/P/90040/05/2024</t>
  </si>
  <si>
    <t>KHI/HO/D/MO/PC COMP/P/102409/11/2024</t>
  </si>
  <si>
    <t>KHI/HO/D/MO/PC COMP/P/79302/12/2023</t>
  </si>
  <si>
    <t>KHI/HO/D/MO/PC TPP/P/88322/05/2024</t>
  </si>
  <si>
    <t>KHI/HO/D/MO/PC COMP/P/82547/01/2024</t>
  </si>
  <si>
    <t>KHI/HO/D/MO/PC COMP/P/88859/05/2024</t>
  </si>
  <si>
    <t>KHI/HO/D/MO/PC COMP/P/93219/07/2024</t>
  </si>
  <si>
    <t>KHI/HO/D/MO/PC COMP/P/99683/10/2024</t>
  </si>
  <si>
    <t>KHI/HO/D/MO/PC COMP/P/99225/10/2024</t>
  </si>
  <si>
    <t>KHI/HO/D/MO/PC COMP/P/102050/11/2024</t>
  </si>
  <si>
    <t>KHI/HO/D/MO/PC COMP/P/78815/11/2023</t>
  </si>
  <si>
    <t>KHI/HO/D/MO/PC COMP/P/75760/09/2023</t>
  </si>
  <si>
    <t>KHI/HO/D/MO/PC COMP/P/85119/03/2024</t>
  </si>
  <si>
    <t>KHI/HO/D/MO/PC COMP/P/74691/08/2023</t>
  </si>
  <si>
    <t>KHI/AR/AR/D/MO/MC TTT/P/74562/08/2023</t>
  </si>
  <si>
    <t>KHI/HO/D/MO/PD COMP/P/94867/08/2024</t>
  </si>
  <si>
    <t>KHI/HO/D/MO/PC COMP/P/100571/10/2024</t>
  </si>
  <si>
    <t>KHI/HO/D/MO/PC TPP/P/88767/05/2024</t>
  </si>
  <si>
    <t>KHI/HO/D/MO/PC COMP/P/76123/10/2023</t>
  </si>
  <si>
    <t>KHI/HO/D/MO/PC COMP/P/75947/09/2023</t>
  </si>
  <si>
    <t>KHI/HO/D/MO/PC TPP/P/87169/04/2024</t>
  </si>
  <si>
    <t>KHI/HO/D/MO/PC COMP/P/84963/03/2024</t>
  </si>
  <si>
    <t>KHI/HO/D/MO/PC COMP/P/76469/10/2023</t>
  </si>
  <si>
    <t>KHI/AR/AR/D/MO/MC COMP/P/74953/09/2023</t>
  </si>
  <si>
    <t>KHI/HO/D/MO/PC COMP/P/89748/05/2024</t>
  </si>
  <si>
    <t>KHI/HO/D/MO/PD COMP/P/77260/10/2023</t>
  </si>
  <si>
    <t>KHI/HO/D/MO/PD COMP/P/86058/03/2024</t>
  </si>
  <si>
    <t>KHI/HO/D/MO/PC COMP/P/83642/02/2024</t>
  </si>
  <si>
    <t>LHR/LHR/D/MO/PC COMP/P/99019/10/2024</t>
  </si>
  <si>
    <t>KHI/HO/D/MO/PC COMP/P/65112/11/2022</t>
  </si>
  <si>
    <t>KHI/HO/D/MO/PD COMP/P/85267/03/2024</t>
  </si>
  <si>
    <t>LHR/LHR/D/MO/PC COMP/P/100286/10/2024</t>
  </si>
  <si>
    <t>KHI/AR/AR/D/MO/MC TTT/P/74593/08/2023</t>
  </si>
  <si>
    <t>KHI/HO/D/MO/PD COMP/P/81509/01/2024</t>
  </si>
  <si>
    <t>KHI/HO/D/MO/PC COMP/P/74713/08/2023</t>
  </si>
  <si>
    <t>KHI/HO/D/MO/PC COMP/P/78894/11/2023</t>
  </si>
  <si>
    <t>KHI/HO/D/MO/PC COMP/P/102444/11/2024</t>
  </si>
  <si>
    <t>KHI/HO/D/MO/PC TPP/P/90159/06/2024</t>
  </si>
  <si>
    <t>KHI/HO/D/MO/PC COMP/P/87533/04/2024</t>
  </si>
  <si>
    <t>KHI/HO/D/MO/PD COMP/P/82743/01/2024</t>
  </si>
  <si>
    <t>KHI/HO/D/MO/PD COMP/P/82030/01/2024</t>
  </si>
  <si>
    <t>KHI/HO/D/MO/PD COMP/P/89035/05/2024</t>
  </si>
  <si>
    <t>KHI/HO/D/MO/PD COMP/P/83234/02/2024</t>
  </si>
  <si>
    <t>KHI/HO/D/MO/PD COMP/P/90331/06/2024</t>
  </si>
  <si>
    <t>KHI/HO/D/MO/PD COMP/P/86987/04/2024</t>
  </si>
  <si>
    <t>KHI/HO/D/MO/PD COMP/P/82588/01/2024</t>
  </si>
  <si>
    <t>KHI/HO/D/MO/PD COMP/P/86985/04/2024</t>
  </si>
  <si>
    <t>KHI/HO/D/MO/PD COMP/P/87328/04/2024</t>
  </si>
  <si>
    <t>KHI/HO/D/MO/PD COMP/P/86215/03/2024</t>
  </si>
  <si>
    <t>KHI/HO/D/MO/PC COMP/P/79431/12/2023</t>
  </si>
  <si>
    <t>KHI/HO/D/MO/PD COMP/P/84332/02/2024</t>
  </si>
  <si>
    <t>KHI/HO/D/MO/PD COMP/P/81247/01/2024</t>
  </si>
  <si>
    <t>KHI/HO/D/MO/PC COMP/P/74931/09/2023</t>
  </si>
  <si>
    <t>LHR/LHR/D/MO/PC COMP/P/99521/10/2024</t>
  </si>
  <si>
    <t>KHI/AR/AR/D/MO/MC TTT/P/97691/09/2024</t>
  </si>
  <si>
    <t>KHI/HO/D/MO/PC COMP/P/77851/11/2023</t>
  </si>
  <si>
    <t>KHI/HO/D/MO/PD COMP/P/81079/01/2024</t>
  </si>
  <si>
    <t>KHI/HO/D/MO/MC TTT/P/98864/10/2024</t>
  </si>
  <si>
    <t>KHI/HO/D/MO/PD COMP/P/94005/07/2024</t>
  </si>
  <si>
    <t>KHI/HO/D/MO/PD COMP/P/83655/02/2024</t>
  </si>
  <si>
    <t>-07-2023</t>
  </si>
  <si>
    <t>-05-2024</t>
  </si>
  <si>
    <t>-04-2022</t>
  </si>
  <si>
    <t>-01-2023</t>
  </si>
  <si>
    <t>-11-2022</t>
  </si>
  <si>
    <t>-05-2022</t>
  </si>
  <si>
    <t>-08-2024</t>
  </si>
  <si>
    <t>-10-2024</t>
  </si>
  <si>
    <t>-03-2024</t>
  </si>
  <si>
    <t>-01-2024</t>
  </si>
  <si>
    <t>-09-2023</t>
  </si>
  <si>
    <t>-09-2024</t>
  </si>
  <si>
    <t>-11-2024</t>
  </si>
  <si>
    <t>-06-2024</t>
  </si>
  <si>
    <t>-04-2024</t>
  </si>
  <si>
    <t>-07-2024</t>
  </si>
  <si>
    <t>-10-2023</t>
  </si>
  <si>
    <t>-06-2023</t>
  </si>
  <si>
    <t>-11-2023</t>
  </si>
  <si>
    <t>-08-2023</t>
  </si>
  <si>
    <t>-04-2023</t>
  </si>
  <si>
    <t>-12-2023</t>
  </si>
  <si>
    <t>-02-2024</t>
  </si>
  <si>
    <t xml:space="preserve">   </t>
  </si>
  <si>
    <t>FUNC_ASSORTED_STRING(IA.ASSORTED_CODE)</t>
  </si>
  <si>
    <t>ASSORTED_CODE</t>
  </si>
  <si>
    <t>040000117411</t>
  </si>
  <si>
    <t>040000115801</t>
  </si>
  <si>
    <t>040000158730</t>
  </si>
  <si>
    <t>040000137639</t>
  </si>
  <si>
    <t>040000144134</t>
  </si>
  <si>
    <t>040000137638</t>
  </si>
  <si>
    <t>040000130724</t>
  </si>
  <si>
    <t>040000167833</t>
  </si>
  <si>
    <t>040000131881</t>
  </si>
  <si>
    <t>040000138055</t>
  </si>
  <si>
    <t>040000168642</t>
  </si>
  <si>
    <t>040000167744</t>
  </si>
  <si>
    <t>040000155541</t>
  </si>
  <si>
    <t>040000164335</t>
  </si>
  <si>
    <t>040000154858</t>
  </si>
  <si>
    <t>040000153815</t>
  </si>
  <si>
    <t>040000162053</t>
  </si>
  <si>
    <t>040000159348</t>
  </si>
  <si>
    <t>040000162308</t>
  </si>
  <si>
    <t>040000162100</t>
  </si>
  <si>
    <t>040000168767</t>
  </si>
  <si>
    <t>040000158827</t>
  </si>
  <si>
    <t>040000155111</t>
  </si>
  <si>
    <t>040000152930</t>
  </si>
  <si>
    <t>040000164510</t>
  </si>
  <si>
    <t>040000157116</t>
  </si>
  <si>
    <t>040000162736</t>
  </si>
  <si>
    <t>040000162619</t>
  </si>
  <si>
    <t>040000156248</t>
  </si>
  <si>
    <t>040000151802</t>
  </si>
  <si>
    <t>040000151744</t>
  </si>
  <si>
    <t>040000132661</t>
  </si>
  <si>
    <t>040000154350</t>
  </si>
  <si>
    <t>040000152260</t>
  </si>
  <si>
    <t>040000150429</t>
  </si>
  <si>
    <t>040000151981</t>
  </si>
  <si>
    <t>040000154104</t>
  </si>
  <si>
    <t>040000148459</t>
  </si>
  <si>
    <t>040000152304</t>
  </si>
  <si>
    <t>040000152339</t>
  </si>
  <si>
    <t>040000158738</t>
  </si>
  <si>
    <t>040000152648</t>
  </si>
  <si>
    <t>040000152908</t>
  </si>
  <si>
    <t>040000151883</t>
  </si>
  <si>
    <t>040000165124</t>
  </si>
  <si>
    <t>040000159498</t>
  </si>
  <si>
    <t>040000165687</t>
  </si>
  <si>
    <t>040000169496</t>
  </si>
  <si>
    <t>040000168267</t>
  </si>
  <si>
    <t>040000165702</t>
  </si>
  <si>
    <t>040000168484</t>
  </si>
  <si>
    <t>040000164224</t>
  </si>
  <si>
    <t>040000163693</t>
  </si>
  <si>
    <t>040000168615</t>
  </si>
  <si>
    <t>040000163365</t>
  </si>
  <si>
    <t>040000169617</t>
  </si>
  <si>
    <t>040000168054</t>
  </si>
  <si>
    <t>040000147076</t>
  </si>
  <si>
    <t>040000171422</t>
  </si>
  <si>
    <t>040000171583</t>
  </si>
  <si>
    <t>040000162332</t>
  </si>
  <si>
    <t>040000164527</t>
  </si>
  <si>
    <t>040000172373</t>
  </si>
  <si>
    <t>040000166984</t>
  </si>
  <si>
    <t>040000171152</t>
  </si>
  <si>
    <t>040000172524</t>
  </si>
  <si>
    <t>040000172590</t>
  </si>
  <si>
    <t>040000170684</t>
  </si>
  <si>
    <t>040000170686</t>
  </si>
  <si>
    <t>040000169603</t>
  </si>
  <si>
    <t>040000167830</t>
  </si>
  <si>
    <t>040000170930</t>
  </si>
  <si>
    <t>040000169705</t>
  </si>
  <si>
    <t>040000171585</t>
  </si>
  <si>
    <t>040000175719</t>
  </si>
  <si>
    <t>040000151942</t>
  </si>
  <si>
    <t>040000173375</t>
  </si>
  <si>
    <t>040000186727</t>
  </si>
  <si>
    <t>040000187734</t>
  </si>
  <si>
    <t>040000186621</t>
  </si>
  <si>
    <t>040000184438</t>
  </si>
  <si>
    <t>040000185817</t>
  </si>
  <si>
    <t>040000185829</t>
  </si>
  <si>
    <t>040000186161</t>
  </si>
  <si>
    <t>040000186171</t>
  </si>
  <si>
    <t>040000187187</t>
  </si>
  <si>
    <t>040000186540</t>
  </si>
  <si>
    <t>040000188372</t>
  </si>
  <si>
    <t>040000187927</t>
  </si>
  <si>
    <t>040000187973</t>
  </si>
  <si>
    <t>040000187730</t>
  </si>
  <si>
    <t>040000183364</t>
  </si>
  <si>
    <t>040000185736</t>
  </si>
  <si>
    <t>040000185051</t>
  </si>
  <si>
    <t>040000174128</t>
  </si>
  <si>
    <t>040000179008</t>
  </si>
  <si>
    <t>040000179972</t>
  </si>
  <si>
    <t>040000180443</t>
  </si>
  <si>
    <t>040000180441</t>
  </si>
  <si>
    <t>040000180444</t>
  </si>
  <si>
    <t>040000174366</t>
  </si>
  <si>
    <t>040000180803</t>
  </si>
  <si>
    <t>040000180485</t>
  </si>
  <si>
    <t>040000180486</t>
  </si>
  <si>
    <t>040000173141</t>
  </si>
  <si>
    <t>040000178204</t>
  </si>
  <si>
    <t>040000173252</t>
  </si>
  <si>
    <t>040000172963</t>
  </si>
  <si>
    <t>040000180627</t>
  </si>
  <si>
    <t>040000180626</t>
  </si>
  <si>
    <t>040000180645</t>
  </si>
  <si>
    <t>040000180646</t>
  </si>
  <si>
    <t>040000179561</t>
  </si>
  <si>
    <t>040000175085</t>
  </si>
  <si>
    <t>040000180800</t>
  </si>
  <si>
    <t>040000175192</t>
  </si>
  <si>
    <t>040000180616</t>
  </si>
  <si>
    <t>040000180618</t>
  </si>
  <si>
    <t>040000180619</t>
  </si>
  <si>
    <t>KHI/HO/D/MO/PC COMP/P/94373/08/2024</t>
  </si>
  <si>
    <t>040000180442</t>
  </si>
  <si>
    <t>040000180617</t>
  </si>
  <si>
    <t>040000173496</t>
  </si>
  <si>
    <t>040000180571</t>
  </si>
  <si>
    <t>040000180572</t>
  </si>
  <si>
    <t>040000180609</t>
  </si>
  <si>
    <t>040000180610</t>
  </si>
  <si>
    <t>040000173493</t>
  </si>
  <si>
    <t>040000178264</t>
  </si>
  <si>
    <t>040000174972</t>
  </si>
  <si>
    <t>040000174323</t>
  </si>
  <si>
    <t>040000174835</t>
  </si>
  <si>
    <t>040000180632</t>
  </si>
  <si>
    <t>040000180640</t>
  </si>
  <si>
    <t>040000180641</t>
  </si>
  <si>
    <t>040000186169</t>
  </si>
  <si>
    <t>040000185349</t>
  </si>
  <si>
    <t>040000186199</t>
  </si>
  <si>
    <t>040000187193</t>
  </si>
  <si>
    <t>040000185921</t>
  </si>
  <si>
    <t>040000188010</t>
  </si>
  <si>
    <t>040000187416</t>
  </si>
  <si>
    <t>040000181040</t>
  </si>
  <si>
    <t>040000180430</t>
  </si>
  <si>
    <t>040000180429</t>
  </si>
  <si>
    <t>040000189853</t>
  </si>
  <si>
    <t>040000189201</t>
  </si>
  <si>
    <t>040000189431</t>
  </si>
  <si>
    <t>040000188689</t>
  </si>
  <si>
    <t>040000189901</t>
  </si>
  <si>
    <t>POLICY NO.</t>
  </si>
  <si>
    <t>Assorted_code</t>
  </si>
  <si>
    <t>Premium</t>
  </si>
  <si>
    <t>27Nov240142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</si>
</sst>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4DCF8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vertical="center"/>
    </xf>
    <xf numFmtId="43" fontId="2" fillId="2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43" fontId="3" fillId="3" borderId="4" xfId="1" applyFont="1" applyFill="1" applyBorder="1" applyAlignment="1">
      <alignment horizontal="right" vertical="center"/>
    </xf>
    <xf numFmtId="0" fontId="5" fillId="0" borderId="0" xfId="0" applyFont="1"/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6" fillId="0" borderId="0" xfId="0" applyFont="1"/>
    <xf numFmtId="0" fontId="0" fillId="0" borderId="0" xfId="0" applyAlignment="1">
      <alignment vertical="top"/>
    </xf>
    <xf numFmtId="164" fontId="7" fillId="0" borderId="0" xfId="1" applyNumberFormat="1" applyFont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  <xf numFmtId="43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422F-42CF-45FA-8D96-1E57ED9B034B}">
  <dimension ref="A1:B150"/>
  <sheetViews>
    <sheetView topLeftCell="A143" workbookViewId="0">
      <selection activeCell="B149" sqref="B2:B149"/>
    </sheetView>
  </sheetViews>
  <sheetFormatPr defaultRowHeight="15" x14ac:dyDescent="0.25"/>
  <cols>
    <col min="1" max="1" width="39.28515625" bestFit="1" customWidth="1"/>
    <col min="2" max="2" width="12.7109375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4">
        <v>-85</v>
      </c>
    </row>
    <row r="3" spans="1:2" ht="15.75" thickBot="1" x14ac:dyDescent="0.3">
      <c r="A3" s="3" t="s">
        <v>3</v>
      </c>
      <c r="B3" s="4">
        <v>-68</v>
      </c>
    </row>
    <row r="4" spans="1:2" ht="15.75" thickBot="1" x14ac:dyDescent="0.3">
      <c r="A4" s="3" t="s">
        <v>4</v>
      </c>
      <c r="B4" s="4">
        <v>-57</v>
      </c>
    </row>
    <row r="5" spans="1:2" ht="15.75" thickBot="1" x14ac:dyDescent="0.3">
      <c r="A5" s="3" t="s">
        <v>5</v>
      </c>
      <c r="B5" s="4">
        <v>-36</v>
      </c>
    </row>
    <row r="6" spans="1:2" ht="15.75" thickBot="1" x14ac:dyDescent="0.3">
      <c r="A6" s="3" t="s">
        <v>6</v>
      </c>
      <c r="B6" s="4">
        <v>-29</v>
      </c>
    </row>
    <row r="7" spans="1:2" ht="15.75" thickBot="1" x14ac:dyDescent="0.3">
      <c r="A7" s="3" t="s">
        <v>7</v>
      </c>
      <c r="B7" s="4">
        <v>-22</v>
      </c>
    </row>
    <row r="8" spans="1:2" ht="15.75" thickBot="1" x14ac:dyDescent="0.3">
      <c r="A8" s="3" t="s">
        <v>8</v>
      </c>
      <c r="B8" s="4">
        <v>-1</v>
      </c>
    </row>
    <row r="9" spans="1:2" ht="15.75" thickBot="1" x14ac:dyDescent="0.3">
      <c r="A9" s="3" t="s">
        <v>9</v>
      </c>
      <c r="B9" s="4">
        <v>-1</v>
      </c>
    </row>
    <row r="10" spans="1:2" ht="15.75" thickBot="1" x14ac:dyDescent="0.3">
      <c r="A10" s="3" t="s">
        <v>10</v>
      </c>
      <c r="B10" s="4">
        <v>1</v>
      </c>
    </row>
    <row r="11" spans="1:2" ht="15.75" thickBot="1" x14ac:dyDescent="0.3">
      <c r="A11" s="3" t="s">
        <v>11</v>
      </c>
      <c r="B11" s="4">
        <v>1</v>
      </c>
    </row>
    <row r="12" spans="1:2" ht="15.75" thickBot="1" x14ac:dyDescent="0.3">
      <c r="A12" s="3" t="s">
        <v>12</v>
      </c>
      <c r="B12" s="4">
        <v>1</v>
      </c>
    </row>
    <row r="13" spans="1:2" ht="15.75" thickBot="1" x14ac:dyDescent="0.3">
      <c r="A13" s="3" t="s">
        <v>13</v>
      </c>
      <c r="B13" s="4">
        <v>1</v>
      </c>
    </row>
    <row r="14" spans="1:2" ht="15.75" thickBot="1" x14ac:dyDescent="0.3">
      <c r="A14" s="3" t="s">
        <v>14</v>
      </c>
      <c r="B14" s="4">
        <v>1</v>
      </c>
    </row>
    <row r="15" spans="1:2" ht="15.75" thickBot="1" x14ac:dyDescent="0.3">
      <c r="A15" s="3" t="s">
        <v>15</v>
      </c>
      <c r="B15" s="4">
        <v>1</v>
      </c>
    </row>
    <row r="16" spans="1:2" ht="15.75" thickBot="1" x14ac:dyDescent="0.3">
      <c r="A16" s="3" t="s">
        <v>16</v>
      </c>
      <c r="B16" s="4">
        <v>1</v>
      </c>
    </row>
    <row r="17" spans="1:2" ht="15.75" thickBot="1" x14ac:dyDescent="0.3">
      <c r="A17" s="3" t="s">
        <v>17</v>
      </c>
      <c r="B17" s="4">
        <v>1</v>
      </c>
    </row>
    <row r="18" spans="1:2" ht="15.75" thickBot="1" x14ac:dyDescent="0.3">
      <c r="A18" s="3" t="s">
        <v>18</v>
      </c>
      <c r="B18" s="4">
        <v>1</v>
      </c>
    </row>
    <row r="19" spans="1:2" ht="15.75" thickBot="1" x14ac:dyDescent="0.3">
      <c r="A19" s="3" t="s">
        <v>19</v>
      </c>
      <c r="B19" s="4">
        <v>1</v>
      </c>
    </row>
    <row r="20" spans="1:2" ht="15.75" thickBot="1" x14ac:dyDescent="0.3">
      <c r="A20" s="3" t="s">
        <v>20</v>
      </c>
      <c r="B20" s="4">
        <v>1</v>
      </c>
    </row>
    <row r="21" spans="1:2" ht="15.75" thickBot="1" x14ac:dyDescent="0.3">
      <c r="A21" s="3" t="s">
        <v>21</v>
      </c>
      <c r="B21" s="4">
        <v>1</v>
      </c>
    </row>
    <row r="22" spans="1:2" ht="15.75" thickBot="1" x14ac:dyDescent="0.3">
      <c r="A22" s="3" t="s">
        <v>22</v>
      </c>
      <c r="B22" s="4">
        <v>1</v>
      </c>
    </row>
    <row r="23" spans="1:2" ht="15.75" thickBot="1" x14ac:dyDescent="0.3">
      <c r="A23" s="3" t="s">
        <v>23</v>
      </c>
      <c r="B23" s="4">
        <v>1</v>
      </c>
    </row>
    <row r="24" spans="1:2" ht="15.75" thickBot="1" x14ac:dyDescent="0.3">
      <c r="A24" s="3" t="s">
        <v>24</v>
      </c>
      <c r="B24" s="4">
        <v>1</v>
      </c>
    </row>
    <row r="25" spans="1:2" ht="15.75" thickBot="1" x14ac:dyDescent="0.3">
      <c r="A25" s="3" t="s">
        <v>25</v>
      </c>
      <c r="B25" s="4">
        <v>1</v>
      </c>
    </row>
    <row r="26" spans="1:2" ht="15.75" thickBot="1" x14ac:dyDescent="0.3">
      <c r="A26" s="3" t="s">
        <v>26</v>
      </c>
      <c r="B26" s="4">
        <v>1</v>
      </c>
    </row>
    <row r="27" spans="1:2" ht="15.75" thickBot="1" x14ac:dyDescent="0.3">
      <c r="A27" s="3" t="s">
        <v>27</v>
      </c>
      <c r="B27" s="4">
        <v>1</v>
      </c>
    </row>
    <row r="28" spans="1:2" ht="15.75" thickBot="1" x14ac:dyDescent="0.3">
      <c r="A28" s="3" t="s">
        <v>28</v>
      </c>
      <c r="B28" s="4">
        <v>1</v>
      </c>
    </row>
    <row r="29" spans="1:2" ht="15.75" thickBot="1" x14ac:dyDescent="0.3">
      <c r="A29" s="3" t="s">
        <v>29</v>
      </c>
      <c r="B29" s="4">
        <v>1</v>
      </c>
    </row>
    <row r="30" spans="1:2" ht="15.75" thickBot="1" x14ac:dyDescent="0.3">
      <c r="A30" s="3" t="s">
        <v>30</v>
      </c>
      <c r="B30" s="4">
        <v>1</v>
      </c>
    </row>
    <row r="31" spans="1:2" ht="15.75" thickBot="1" x14ac:dyDescent="0.3">
      <c r="A31" s="3" t="s">
        <v>31</v>
      </c>
      <c r="B31" s="4">
        <v>1</v>
      </c>
    </row>
    <row r="32" spans="1:2" ht="15.75" thickBot="1" x14ac:dyDescent="0.3">
      <c r="A32" s="3" t="s">
        <v>32</v>
      </c>
      <c r="B32" s="4">
        <v>1</v>
      </c>
    </row>
    <row r="33" spans="1:2" ht="15.75" thickBot="1" x14ac:dyDescent="0.3">
      <c r="A33" s="3" t="s">
        <v>33</v>
      </c>
      <c r="B33" s="4">
        <v>1</v>
      </c>
    </row>
    <row r="34" spans="1:2" ht="15.75" thickBot="1" x14ac:dyDescent="0.3">
      <c r="A34" s="3" t="s">
        <v>34</v>
      </c>
      <c r="B34" s="4">
        <v>1</v>
      </c>
    </row>
    <row r="35" spans="1:2" ht="15.75" thickBot="1" x14ac:dyDescent="0.3">
      <c r="A35" s="3" t="s">
        <v>35</v>
      </c>
      <c r="B35" s="4">
        <v>1</v>
      </c>
    </row>
    <row r="36" spans="1:2" ht="15.75" thickBot="1" x14ac:dyDescent="0.3">
      <c r="A36" s="3" t="s">
        <v>36</v>
      </c>
      <c r="B36" s="4">
        <v>1</v>
      </c>
    </row>
    <row r="37" spans="1:2" ht="15.75" thickBot="1" x14ac:dyDescent="0.3">
      <c r="A37" s="3" t="s">
        <v>37</v>
      </c>
      <c r="B37" s="4">
        <v>1</v>
      </c>
    </row>
    <row r="38" spans="1:2" ht="15.75" thickBot="1" x14ac:dyDescent="0.3">
      <c r="A38" s="3" t="s">
        <v>38</v>
      </c>
      <c r="B38" s="4">
        <v>1</v>
      </c>
    </row>
    <row r="39" spans="1:2" ht="15.75" thickBot="1" x14ac:dyDescent="0.3">
      <c r="A39" s="3" t="s">
        <v>39</v>
      </c>
      <c r="B39" s="4">
        <v>1</v>
      </c>
    </row>
    <row r="40" spans="1:2" ht="15.75" thickBot="1" x14ac:dyDescent="0.3">
      <c r="A40" s="3" t="s">
        <v>40</v>
      </c>
      <c r="B40" s="4">
        <v>1</v>
      </c>
    </row>
    <row r="41" spans="1:2" ht="15.75" thickBot="1" x14ac:dyDescent="0.3">
      <c r="A41" s="3" t="s">
        <v>41</v>
      </c>
      <c r="B41" s="4">
        <v>1</v>
      </c>
    </row>
    <row r="42" spans="1:2" ht="15.75" thickBot="1" x14ac:dyDescent="0.3">
      <c r="A42" s="3" t="s">
        <v>42</v>
      </c>
      <c r="B42" s="4">
        <v>1</v>
      </c>
    </row>
    <row r="43" spans="1:2" ht="15.75" thickBot="1" x14ac:dyDescent="0.3">
      <c r="A43" s="3" t="s">
        <v>43</v>
      </c>
      <c r="B43" s="4">
        <v>1</v>
      </c>
    </row>
    <row r="44" spans="1:2" ht="15.75" thickBot="1" x14ac:dyDescent="0.3">
      <c r="A44" s="3" t="s">
        <v>44</v>
      </c>
      <c r="B44" s="4">
        <v>1</v>
      </c>
    </row>
    <row r="45" spans="1:2" ht="15.75" thickBot="1" x14ac:dyDescent="0.3">
      <c r="A45" s="3" t="s">
        <v>45</v>
      </c>
      <c r="B45" s="4">
        <v>1</v>
      </c>
    </row>
    <row r="46" spans="1:2" ht="15.75" thickBot="1" x14ac:dyDescent="0.3">
      <c r="A46" s="3" t="s">
        <v>46</v>
      </c>
      <c r="B46" s="4">
        <v>1</v>
      </c>
    </row>
    <row r="47" spans="1:2" ht="15.75" thickBot="1" x14ac:dyDescent="0.3">
      <c r="A47" s="3" t="s">
        <v>47</v>
      </c>
      <c r="B47" s="4">
        <v>1</v>
      </c>
    </row>
    <row r="48" spans="1:2" ht="15.75" thickBot="1" x14ac:dyDescent="0.3">
      <c r="A48" s="3" t="s">
        <v>48</v>
      </c>
      <c r="B48" s="4">
        <v>1</v>
      </c>
    </row>
    <row r="49" spans="1:2" ht="15.75" thickBot="1" x14ac:dyDescent="0.3">
      <c r="A49" s="3" t="s">
        <v>49</v>
      </c>
      <c r="B49" s="4">
        <v>1</v>
      </c>
    </row>
    <row r="50" spans="1:2" ht="15.75" thickBot="1" x14ac:dyDescent="0.3">
      <c r="A50" s="3" t="s">
        <v>50</v>
      </c>
      <c r="B50" s="4">
        <v>1</v>
      </c>
    </row>
    <row r="51" spans="1:2" ht="15.75" thickBot="1" x14ac:dyDescent="0.3">
      <c r="A51" s="3" t="s">
        <v>51</v>
      </c>
      <c r="B51" s="4">
        <v>1</v>
      </c>
    </row>
    <row r="52" spans="1:2" ht="15.75" thickBot="1" x14ac:dyDescent="0.3">
      <c r="A52" s="3" t="s">
        <v>52</v>
      </c>
      <c r="B52" s="4">
        <v>1</v>
      </c>
    </row>
    <row r="53" spans="1:2" ht="15.75" thickBot="1" x14ac:dyDescent="0.3">
      <c r="A53" s="3" t="s">
        <v>53</v>
      </c>
      <c r="B53" s="4">
        <v>1</v>
      </c>
    </row>
    <row r="54" spans="1:2" ht="15.75" thickBot="1" x14ac:dyDescent="0.3">
      <c r="A54" s="3" t="s">
        <v>54</v>
      </c>
      <c r="B54" s="4">
        <v>1</v>
      </c>
    </row>
    <row r="55" spans="1:2" ht="15.75" thickBot="1" x14ac:dyDescent="0.3">
      <c r="A55" s="3" t="s">
        <v>55</v>
      </c>
      <c r="B55" s="4">
        <v>1</v>
      </c>
    </row>
    <row r="56" spans="1:2" ht="15.75" thickBot="1" x14ac:dyDescent="0.3">
      <c r="A56" s="3" t="s">
        <v>56</v>
      </c>
      <c r="B56" s="4">
        <v>1</v>
      </c>
    </row>
    <row r="57" spans="1:2" ht="15.75" thickBot="1" x14ac:dyDescent="0.3">
      <c r="A57" s="3" t="s">
        <v>57</v>
      </c>
      <c r="B57" s="4">
        <v>1</v>
      </c>
    </row>
    <row r="58" spans="1:2" ht="15.75" thickBot="1" x14ac:dyDescent="0.3">
      <c r="A58" s="3" t="s">
        <v>58</v>
      </c>
      <c r="B58" s="4">
        <v>1</v>
      </c>
    </row>
    <row r="59" spans="1:2" ht="15.75" thickBot="1" x14ac:dyDescent="0.3">
      <c r="A59" s="3" t="s">
        <v>59</v>
      </c>
      <c r="B59" s="4">
        <v>1</v>
      </c>
    </row>
    <row r="60" spans="1:2" ht="15.75" thickBot="1" x14ac:dyDescent="0.3">
      <c r="A60" s="3" t="s">
        <v>60</v>
      </c>
      <c r="B60" s="4">
        <v>1</v>
      </c>
    </row>
    <row r="61" spans="1:2" ht="15.75" thickBot="1" x14ac:dyDescent="0.3">
      <c r="A61" s="3" t="s">
        <v>61</v>
      </c>
      <c r="B61" s="4">
        <v>1</v>
      </c>
    </row>
    <row r="62" spans="1:2" ht="15.75" thickBot="1" x14ac:dyDescent="0.3">
      <c r="A62" s="3" t="s">
        <v>62</v>
      </c>
      <c r="B62" s="4">
        <v>1</v>
      </c>
    </row>
    <row r="63" spans="1:2" ht="15.75" thickBot="1" x14ac:dyDescent="0.3">
      <c r="A63" s="3" t="s">
        <v>63</v>
      </c>
      <c r="B63" s="4">
        <v>1</v>
      </c>
    </row>
    <row r="64" spans="1:2" ht="15.75" thickBot="1" x14ac:dyDescent="0.3">
      <c r="A64" s="3" t="s">
        <v>64</v>
      </c>
      <c r="B64" s="4">
        <v>1</v>
      </c>
    </row>
    <row r="65" spans="1:2" ht="15.75" thickBot="1" x14ac:dyDescent="0.3">
      <c r="A65" s="3" t="s">
        <v>65</v>
      </c>
      <c r="B65" s="4">
        <v>1</v>
      </c>
    </row>
    <row r="66" spans="1:2" ht="15.75" thickBot="1" x14ac:dyDescent="0.3">
      <c r="A66" s="3" t="s">
        <v>66</v>
      </c>
      <c r="B66" s="4">
        <v>1</v>
      </c>
    </row>
    <row r="67" spans="1:2" ht="15.75" thickBot="1" x14ac:dyDescent="0.3">
      <c r="A67" s="3" t="s">
        <v>67</v>
      </c>
      <c r="B67" s="4">
        <v>1</v>
      </c>
    </row>
    <row r="68" spans="1:2" ht="15.75" thickBot="1" x14ac:dyDescent="0.3">
      <c r="A68" s="3" t="s">
        <v>68</v>
      </c>
      <c r="B68" s="4">
        <v>1</v>
      </c>
    </row>
    <row r="69" spans="1:2" ht="15.75" thickBot="1" x14ac:dyDescent="0.3">
      <c r="A69" s="3" t="s">
        <v>69</v>
      </c>
      <c r="B69" s="4">
        <v>1</v>
      </c>
    </row>
    <row r="70" spans="1:2" ht="15.75" thickBot="1" x14ac:dyDescent="0.3">
      <c r="A70" s="3" t="s">
        <v>70</v>
      </c>
      <c r="B70" s="4">
        <v>1</v>
      </c>
    </row>
    <row r="71" spans="1:2" ht="15.75" thickBot="1" x14ac:dyDescent="0.3">
      <c r="A71" s="3" t="s">
        <v>71</v>
      </c>
      <c r="B71" s="4">
        <v>1</v>
      </c>
    </row>
    <row r="72" spans="1:2" ht="15.75" thickBot="1" x14ac:dyDescent="0.3">
      <c r="A72" s="3" t="s">
        <v>72</v>
      </c>
      <c r="B72" s="4">
        <v>1</v>
      </c>
    </row>
    <row r="73" spans="1:2" ht="15.75" thickBot="1" x14ac:dyDescent="0.3">
      <c r="A73" s="3" t="s">
        <v>73</v>
      </c>
      <c r="B73" s="4">
        <v>1</v>
      </c>
    </row>
    <row r="74" spans="1:2" ht="15.75" thickBot="1" x14ac:dyDescent="0.3">
      <c r="A74" s="3" t="s">
        <v>74</v>
      </c>
      <c r="B74" s="4">
        <v>1</v>
      </c>
    </row>
    <row r="75" spans="1:2" ht="15.75" thickBot="1" x14ac:dyDescent="0.3">
      <c r="A75" s="3" t="s">
        <v>75</v>
      </c>
      <c r="B75" s="4">
        <v>1</v>
      </c>
    </row>
    <row r="76" spans="1:2" ht="15.75" thickBot="1" x14ac:dyDescent="0.3">
      <c r="A76" s="3" t="s">
        <v>76</v>
      </c>
      <c r="B76" s="4">
        <v>1</v>
      </c>
    </row>
    <row r="77" spans="1:2" ht="15.75" thickBot="1" x14ac:dyDescent="0.3">
      <c r="A77" s="3" t="s">
        <v>77</v>
      </c>
      <c r="B77" s="4">
        <v>1</v>
      </c>
    </row>
    <row r="78" spans="1:2" ht="15.75" thickBot="1" x14ac:dyDescent="0.3">
      <c r="A78" s="3" t="s">
        <v>78</v>
      </c>
      <c r="B78" s="4">
        <v>1</v>
      </c>
    </row>
    <row r="79" spans="1:2" ht="15.75" thickBot="1" x14ac:dyDescent="0.3">
      <c r="A79" s="3" t="s">
        <v>79</v>
      </c>
      <c r="B79" s="4">
        <v>1</v>
      </c>
    </row>
    <row r="80" spans="1:2" ht="15.75" thickBot="1" x14ac:dyDescent="0.3">
      <c r="A80" s="3" t="s">
        <v>80</v>
      </c>
      <c r="B80" s="4">
        <v>1</v>
      </c>
    </row>
    <row r="81" spans="1:2" ht="15.75" thickBot="1" x14ac:dyDescent="0.3">
      <c r="A81" s="3" t="s">
        <v>81</v>
      </c>
      <c r="B81" s="4">
        <v>1</v>
      </c>
    </row>
    <row r="82" spans="1:2" ht="15.75" thickBot="1" x14ac:dyDescent="0.3">
      <c r="A82" s="3" t="s">
        <v>82</v>
      </c>
      <c r="B82" s="4">
        <v>1</v>
      </c>
    </row>
    <row r="83" spans="1:2" ht="15.75" thickBot="1" x14ac:dyDescent="0.3">
      <c r="A83" s="3" t="s">
        <v>83</v>
      </c>
      <c r="B83" s="4">
        <v>2</v>
      </c>
    </row>
    <row r="84" spans="1:2" ht="15.75" thickBot="1" x14ac:dyDescent="0.3">
      <c r="A84" s="3" t="s">
        <v>84</v>
      </c>
      <c r="B84" s="4">
        <v>2</v>
      </c>
    </row>
    <row r="85" spans="1:2" ht="15.75" thickBot="1" x14ac:dyDescent="0.3">
      <c r="A85" s="3" t="s">
        <v>85</v>
      </c>
      <c r="B85" s="4">
        <v>2</v>
      </c>
    </row>
    <row r="86" spans="1:2" ht="15.75" thickBot="1" x14ac:dyDescent="0.3">
      <c r="A86" s="3" t="s">
        <v>86</v>
      </c>
      <c r="B86" s="4">
        <v>2</v>
      </c>
    </row>
    <row r="87" spans="1:2" ht="15.75" thickBot="1" x14ac:dyDescent="0.3">
      <c r="A87" s="3" t="s">
        <v>87</v>
      </c>
      <c r="B87" s="4">
        <v>2</v>
      </c>
    </row>
    <row r="88" spans="1:2" ht="15.75" thickBot="1" x14ac:dyDescent="0.3">
      <c r="A88" s="3" t="s">
        <v>88</v>
      </c>
      <c r="B88" s="4">
        <v>3</v>
      </c>
    </row>
    <row r="89" spans="1:2" ht="15.75" thickBot="1" x14ac:dyDescent="0.3">
      <c r="A89" s="3" t="s">
        <v>89</v>
      </c>
      <c r="B89" s="4">
        <v>3</v>
      </c>
    </row>
    <row r="90" spans="1:2" ht="15.75" thickBot="1" x14ac:dyDescent="0.3">
      <c r="A90" s="3" t="s">
        <v>90</v>
      </c>
      <c r="B90" s="4">
        <v>3</v>
      </c>
    </row>
    <row r="91" spans="1:2" ht="15.75" thickBot="1" x14ac:dyDescent="0.3">
      <c r="A91" s="3" t="s">
        <v>91</v>
      </c>
      <c r="B91" s="4">
        <v>3</v>
      </c>
    </row>
    <row r="92" spans="1:2" ht="15.75" thickBot="1" x14ac:dyDescent="0.3">
      <c r="A92" s="3" t="s">
        <v>92</v>
      </c>
      <c r="B92" s="4">
        <v>4</v>
      </c>
    </row>
    <row r="93" spans="1:2" ht="15.75" thickBot="1" x14ac:dyDescent="0.3">
      <c r="A93" s="3" t="s">
        <v>93</v>
      </c>
      <c r="B93" s="4">
        <v>4</v>
      </c>
    </row>
    <row r="94" spans="1:2" ht="15.75" thickBot="1" x14ac:dyDescent="0.3">
      <c r="A94" s="3" t="s">
        <v>94</v>
      </c>
      <c r="B94" s="4">
        <v>4</v>
      </c>
    </row>
    <row r="95" spans="1:2" ht="15.75" thickBot="1" x14ac:dyDescent="0.3">
      <c r="A95" s="3" t="s">
        <v>95</v>
      </c>
      <c r="B95" s="4">
        <v>4</v>
      </c>
    </row>
    <row r="96" spans="1:2" ht="15.75" thickBot="1" x14ac:dyDescent="0.3">
      <c r="A96" s="3" t="s">
        <v>96</v>
      </c>
      <c r="B96" s="4">
        <v>4</v>
      </c>
    </row>
    <row r="97" spans="1:2" ht="15.75" thickBot="1" x14ac:dyDescent="0.3">
      <c r="A97" s="3" t="s">
        <v>97</v>
      </c>
      <c r="B97" s="4">
        <v>4</v>
      </c>
    </row>
    <row r="98" spans="1:2" ht="15.75" thickBot="1" x14ac:dyDescent="0.3">
      <c r="A98" s="3" t="s">
        <v>98</v>
      </c>
      <c r="B98" s="4">
        <v>4</v>
      </c>
    </row>
    <row r="99" spans="1:2" ht="15.75" thickBot="1" x14ac:dyDescent="0.3">
      <c r="A99" s="3" t="s">
        <v>99</v>
      </c>
      <c r="B99" s="4">
        <v>4</v>
      </c>
    </row>
    <row r="100" spans="1:2" ht="15.75" thickBot="1" x14ac:dyDescent="0.3">
      <c r="A100" s="3" t="s">
        <v>100</v>
      </c>
      <c r="B100" s="4">
        <v>6</v>
      </c>
    </row>
    <row r="101" spans="1:2" ht="15.75" thickBot="1" x14ac:dyDescent="0.3">
      <c r="A101" s="3" t="s">
        <v>101</v>
      </c>
      <c r="B101" s="4">
        <v>7</v>
      </c>
    </row>
    <row r="102" spans="1:2" ht="15.75" thickBot="1" x14ac:dyDescent="0.3">
      <c r="A102" s="3" t="s">
        <v>102</v>
      </c>
      <c r="B102" s="4">
        <v>8</v>
      </c>
    </row>
    <row r="103" spans="1:2" ht="15.75" thickBot="1" x14ac:dyDescent="0.3">
      <c r="A103" s="3" t="s">
        <v>103</v>
      </c>
      <c r="B103" s="4">
        <v>8</v>
      </c>
    </row>
    <row r="104" spans="1:2" ht="15.75" thickBot="1" x14ac:dyDescent="0.3">
      <c r="A104" s="3" t="s">
        <v>104</v>
      </c>
      <c r="B104" s="4">
        <v>8</v>
      </c>
    </row>
    <row r="105" spans="1:2" ht="15.75" thickBot="1" x14ac:dyDescent="0.3">
      <c r="A105" s="3" t="s">
        <v>105</v>
      </c>
      <c r="B105" s="4">
        <v>9</v>
      </c>
    </row>
    <row r="106" spans="1:2" ht="15.75" thickBot="1" x14ac:dyDescent="0.3">
      <c r="A106" s="3" t="s">
        <v>106</v>
      </c>
      <c r="B106" s="4">
        <v>9</v>
      </c>
    </row>
    <row r="107" spans="1:2" ht="15.75" thickBot="1" x14ac:dyDescent="0.3">
      <c r="A107" s="3" t="s">
        <v>107</v>
      </c>
      <c r="B107" s="4">
        <v>9</v>
      </c>
    </row>
    <row r="108" spans="1:2" ht="15.75" thickBot="1" x14ac:dyDescent="0.3">
      <c r="A108" s="3" t="s">
        <v>108</v>
      </c>
      <c r="B108" s="4">
        <v>10</v>
      </c>
    </row>
    <row r="109" spans="1:2" ht="15.75" thickBot="1" x14ac:dyDescent="0.3">
      <c r="A109" s="3" t="s">
        <v>109</v>
      </c>
      <c r="B109" s="4">
        <v>10</v>
      </c>
    </row>
    <row r="110" spans="1:2" ht="15.75" thickBot="1" x14ac:dyDescent="0.3">
      <c r="A110" s="3" t="s">
        <v>110</v>
      </c>
      <c r="B110" s="4">
        <v>10</v>
      </c>
    </row>
    <row r="111" spans="1:2" ht="15.75" thickBot="1" x14ac:dyDescent="0.3">
      <c r="A111" s="3" t="s">
        <v>111</v>
      </c>
      <c r="B111" s="4">
        <v>10</v>
      </c>
    </row>
    <row r="112" spans="1:2" ht="15.75" thickBot="1" x14ac:dyDescent="0.3">
      <c r="A112" s="3" t="s">
        <v>112</v>
      </c>
      <c r="B112" s="4">
        <v>10</v>
      </c>
    </row>
    <row r="113" spans="1:2" ht="15.75" thickBot="1" x14ac:dyDescent="0.3">
      <c r="A113" s="3" t="s">
        <v>113</v>
      </c>
      <c r="B113" s="4">
        <v>10</v>
      </c>
    </row>
    <row r="114" spans="1:2" ht="15.75" thickBot="1" x14ac:dyDescent="0.3">
      <c r="A114" s="3" t="s">
        <v>114</v>
      </c>
      <c r="B114" s="4">
        <v>13</v>
      </c>
    </row>
    <row r="115" spans="1:2" ht="15.75" thickBot="1" x14ac:dyDescent="0.3">
      <c r="A115" s="3" t="s">
        <v>115</v>
      </c>
      <c r="B115" s="4">
        <v>14</v>
      </c>
    </row>
    <row r="116" spans="1:2" ht="15.75" thickBot="1" x14ac:dyDescent="0.3">
      <c r="A116" s="3" t="s">
        <v>116</v>
      </c>
      <c r="B116" s="4">
        <v>15</v>
      </c>
    </row>
    <row r="117" spans="1:2" ht="15.75" thickBot="1" x14ac:dyDescent="0.3">
      <c r="A117" s="3" t="s">
        <v>117</v>
      </c>
      <c r="B117" s="4">
        <v>15</v>
      </c>
    </row>
    <row r="118" spans="1:2" ht="15.75" thickBot="1" x14ac:dyDescent="0.3">
      <c r="A118" s="3" t="s">
        <v>118</v>
      </c>
      <c r="B118" s="4">
        <v>16</v>
      </c>
    </row>
    <row r="119" spans="1:2" ht="15.75" thickBot="1" x14ac:dyDescent="0.3">
      <c r="A119" s="3" t="s">
        <v>119</v>
      </c>
      <c r="B119" s="4">
        <v>18</v>
      </c>
    </row>
    <row r="120" spans="1:2" ht="15.75" thickBot="1" x14ac:dyDescent="0.3">
      <c r="A120" s="3" t="s">
        <v>120</v>
      </c>
      <c r="B120" s="4">
        <v>19</v>
      </c>
    </row>
    <row r="121" spans="1:2" ht="15.75" thickBot="1" x14ac:dyDescent="0.3">
      <c r="A121" s="3" t="s">
        <v>121</v>
      </c>
      <c r="B121" s="4">
        <v>24</v>
      </c>
    </row>
    <row r="122" spans="1:2" ht="15.75" thickBot="1" x14ac:dyDescent="0.3">
      <c r="A122" s="3" t="s">
        <v>122</v>
      </c>
      <c r="B122" s="4">
        <v>25</v>
      </c>
    </row>
    <row r="123" spans="1:2" ht="15.75" thickBot="1" x14ac:dyDescent="0.3">
      <c r="A123" s="3" t="s">
        <v>123</v>
      </c>
      <c r="B123" s="4">
        <v>28</v>
      </c>
    </row>
    <row r="124" spans="1:2" ht="15.75" thickBot="1" x14ac:dyDescent="0.3">
      <c r="A124" s="3" t="s">
        <v>124</v>
      </c>
      <c r="B124" s="4">
        <v>38</v>
      </c>
    </row>
    <row r="125" spans="1:2" ht="15.75" thickBot="1" x14ac:dyDescent="0.3">
      <c r="A125" s="3" t="s">
        <v>125</v>
      </c>
      <c r="B125" s="4">
        <v>38</v>
      </c>
    </row>
    <row r="126" spans="1:2" ht="15.75" thickBot="1" x14ac:dyDescent="0.3">
      <c r="A126" s="3" t="s">
        <v>126</v>
      </c>
      <c r="B126" s="4">
        <v>40</v>
      </c>
    </row>
    <row r="127" spans="1:2" ht="15.75" thickBot="1" x14ac:dyDescent="0.3">
      <c r="A127" s="3" t="s">
        <v>127</v>
      </c>
      <c r="B127" s="4">
        <v>42</v>
      </c>
    </row>
    <row r="128" spans="1:2" ht="15.75" thickBot="1" x14ac:dyDescent="0.3">
      <c r="A128" s="3" t="s">
        <v>128</v>
      </c>
      <c r="B128" s="4">
        <v>42</v>
      </c>
    </row>
    <row r="129" spans="1:2" ht="15.75" thickBot="1" x14ac:dyDescent="0.3">
      <c r="A129" s="3" t="s">
        <v>129</v>
      </c>
      <c r="B129" s="4">
        <v>43</v>
      </c>
    </row>
    <row r="130" spans="1:2" ht="15.75" thickBot="1" x14ac:dyDescent="0.3">
      <c r="A130" s="3" t="s">
        <v>130</v>
      </c>
      <c r="B130" s="4">
        <v>50</v>
      </c>
    </row>
    <row r="131" spans="1:2" ht="15.75" thickBot="1" x14ac:dyDescent="0.3">
      <c r="A131" s="3" t="s">
        <v>131</v>
      </c>
      <c r="B131" s="4">
        <v>50</v>
      </c>
    </row>
    <row r="132" spans="1:2" ht="15.75" thickBot="1" x14ac:dyDescent="0.3">
      <c r="A132" s="3" t="s">
        <v>132</v>
      </c>
      <c r="B132" s="4">
        <v>50</v>
      </c>
    </row>
    <row r="133" spans="1:2" ht="15.75" thickBot="1" x14ac:dyDescent="0.3">
      <c r="A133" s="3" t="s">
        <v>133</v>
      </c>
      <c r="B133" s="4">
        <v>50</v>
      </c>
    </row>
    <row r="134" spans="1:2" ht="15.75" thickBot="1" x14ac:dyDescent="0.3">
      <c r="A134" s="3" t="s">
        <v>134</v>
      </c>
      <c r="B134" s="4">
        <v>50</v>
      </c>
    </row>
    <row r="135" spans="1:2" ht="15.75" thickBot="1" x14ac:dyDescent="0.3">
      <c r="A135" s="3" t="s">
        <v>135</v>
      </c>
      <c r="B135" s="4">
        <v>50</v>
      </c>
    </row>
    <row r="136" spans="1:2" ht="15.75" thickBot="1" x14ac:dyDescent="0.3">
      <c r="A136" s="3" t="s">
        <v>136</v>
      </c>
      <c r="B136" s="4">
        <v>50</v>
      </c>
    </row>
    <row r="137" spans="1:2" ht="15.75" thickBot="1" x14ac:dyDescent="0.3">
      <c r="A137" s="3" t="s">
        <v>137</v>
      </c>
      <c r="B137" s="4">
        <v>50</v>
      </c>
    </row>
    <row r="138" spans="1:2" ht="15.75" thickBot="1" x14ac:dyDescent="0.3">
      <c r="A138" s="3" t="s">
        <v>138</v>
      </c>
      <c r="B138" s="4">
        <v>50</v>
      </c>
    </row>
    <row r="139" spans="1:2" ht="15.75" thickBot="1" x14ac:dyDescent="0.3">
      <c r="A139" s="3" t="s">
        <v>139</v>
      </c>
      <c r="B139" s="4">
        <v>50</v>
      </c>
    </row>
    <row r="140" spans="1:2" ht="15.75" thickBot="1" x14ac:dyDescent="0.3">
      <c r="A140" s="3" t="s">
        <v>140</v>
      </c>
      <c r="B140" s="4">
        <v>51</v>
      </c>
    </row>
    <row r="141" spans="1:2" ht="15.75" thickBot="1" x14ac:dyDescent="0.3">
      <c r="A141" s="3" t="s">
        <v>141</v>
      </c>
      <c r="B141" s="4">
        <v>55</v>
      </c>
    </row>
    <row r="142" spans="1:2" ht="15.75" thickBot="1" x14ac:dyDescent="0.3">
      <c r="A142" s="3" t="s">
        <v>142</v>
      </c>
      <c r="B142" s="4">
        <v>60</v>
      </c>
    </row>
    <row r="143" spans="1:2" ht="15.75" thickBot="1" x14ac:dyDescent="0.3">
      <c r="A143" s="3" t="s">
        <v>143</v>
      </c>
      <c r="B143" s="4">
        <v>65</v>
      </c>
    </row>
    <row r="144" spans="1:2" ht="15.75" thickBot="1" x14ac:dyDescent="0.3">
      <c r="A144" s="3" t="s">
        <v>144</v>
      </c>
      <c r="B144" s="4">
        <v>68</v>
      </c>
    </row>
    <row r="145" spans="1:2" ht="15.75" thickBot="1" x14ac:dyDescent="0.3">
      <c r="A145" s="3" t="s">
        <v>145</v>
      </c>
      <c r="B145" s="4">
        <v>72</v>
      </c>
    </row>
    <row r="146" spans="1:2" ht="15.75" thickBot="1" x14ac:dyDescent="0.3">
      <c r="A146" s="3" t="s">
        <v>146</v>
      </c>
      <c r="B146" s="4">
        <v>79</v>
      </c>
    </row>
    <row r="147" spans="1:2" ht="15.75" thickBot="1" x14ac:dyDescent="0.3">
      <c r="A147" s="3" t="s">
        <v>147</v>
      </c>
      <c r="B147" s="4">
        <v>80</v>
      </c>
    </row>
    <row r="148" spans="1:2" ht="15.75" thickBot="1" x14ac:dyDescent="0.3">
      <c r="A148" s="3" t="s">
        <v>148</v>
      </c>
      <c r="B148" s="4">
        <v>90</v>
      </c>
    </row>
    <row r="149" spans="1:2" ht="15.75" thickBot="1" x14ac:dyDescent="0.3">
      <c r="A149" s="3" t="s">
        <v>149</v>
      </c>
      <c r="B149" s="4">
        <v>96</v>
      </c>
    </row>
    <row r="150" spans="1:2" x14ac:dyDescent="0.25">
      <c r="B150" s="14">
        <f>SUM(B2:B149)</f>
        <v>1598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8FCC-6B7C-492A-A22F-4D02C07B1B8F}">
  <dimension ref="A1:H150"/>
  <sheetViews>
    <sheetView tabSelected="1" topLeftCell="G148" workbookViewId="0">
      <selection activeCell="H149" sqref="H149"/>
    </sheetView>
  </sheetViews>
  <sheetFormatPr defaultRowHeight="15" x14ac:dyDescent="0.25"/>
  <cols>
    <col min="1" max="1" width="38.7109375" bestFit="1" customWidth="1"/>
    <col min="2" max="2" width="14" bestFit="1" customWidth="1"/>
    <col min="3" max="3" width="13.28515625" bestFit="1" customWidth="1"/>
    <col min="4" max="4" width="9.5703125" bestFit="1" customWidth="1"/>
    <col min="5" max="5" width="13.7109375" bestFit="1" customWidth="1"/>
    <col min="6" max="6" width="99" customWidth="1"/>
    <col min="7" max="7" width="89.85546875" customWidth="1"/>
    <col min="8" max="8" width="78.85546875" customWidth="1"/>
  </cols>
  <sheetData>
    <row r="1" spans="1:8" x14ac:dyDescent="0.25">
      <c r="A1" s="6" t="s">
        <v>326</v>
      </c>
      <c r="B1" t="s">
        <v>327</v>
      </c>
      <c r="D1" s="7" t="s">
        <v>328</v>
      </c>
      <c r="E1" s="8" t="s">
        <v>329</v>
      </c>
    </row>
    <row r="2" spans="1:8" ht="165" customHeight="1" thickBot="1" x14ac:dyDescent="0.3">
      <c r="A2" s="3" t="s">
        <v>2</v>
      </c>
      <c r="B2" s="9" t="str">
        <f>VLOOKUP(A2,policy!B:C,2,0)</f>
        <v>040000148459</v>
      </c>
      <c r="C2" s="4">
        <v>-85</v>
      </c>
      <c r="D2" s="10">
        <f>ROUND(C2,0)</f>
        <v>-85</v>
      </c>
      <c r="E2" s="8" t="s">
        <v>329</v>
      </c>
      <c r="F2" s="11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2" t="str">
        <f>"('"&amp;E2&amp;"','"&amp;B2&amp;"','"&amp;D2&amp;"',(select max(to_number(i.premium_rcv_detail_code))+1
from ins_premium_det i),'"&amp;D2&amp;"','"&amp;D2&amp;"','02', '11000003','00','Request by Mr. Omair Ali 28-Nov-2024');"</f>
        <v>('27Nov240142','040000148459','-85',(select max(to_number(i.premium_rcv_detail_code))+1
from ins_premium_det i),'-85','-85','02', '11000003','00','Request by Mr. Omair Ali 28-Nov-2024');</v>
      </c>
      <c r="H2" s="13" t="str">
        <f>F2&amp;G2</f>
        <v>insert into ins_premium_det (premium_rcv_code,assorted_code, rec_amount,premium_rcv_detail_code,remaining_amt, payrec, mode_code,coinsurance_code,class_cd,it_remarks) values('27Nov240142','040000148459','-85',(select max(to_number(i.premium_rcv_detail_code))+1
from ins_premium_det i),'-85','-85','02', '11000003','00','Request by Mr. Omair Ali 28-Nov-2024');</v>
      </c>
    </row>
    <row r="3" spans="1:8" ht="105.75" thickBot="1" x14ac:dyDescent="0.3">
      <c r="A3" s="3" t="s">
        <v>3</v>
      </c>
      <c r="B3" s="9" t="str">
        <f>VLOOKUP(A3,policy!B:C,2,0)</f>
        <v>040000173496</v>
      </c>
      <c r="C3" s="4">
        <v>-68</v>
      </c>
      <c r="D3" s="10">
        <f t="shared" ref="D3:D66" si="1">ROUND(C3,0)</f>
        <v>-68</v>
      </c>
      <c r="E3" s="8" t="s">
        <v>329</v>
      </c>
      <c r="F3" s="11" t="str">
        <f t="shared" si="0"/>
        <v>insert into ins_premium_det (premium_rcv_code,assorted_code, rec_amount,premium_rcv_detail_code,remaining_amt, payrec, mode_code,coinsurance_code,class_cd,it_remarks) values</v>
      </c>
      <c r="G3" s="12" t="str">
        <f t="shared" ref="G3:G66" si="2">"('"&amp;E3&amp;"','"&amp;B3&amp;"','"&amp;D3&amp;"',(select max(to_number(i.premium_rcv_detail_code))+1
from ins_premium_det i),'"&amp;D3&amp;"','"&amp;D3&amp;"','02', '11000003','00','Request by Mr. Omair Ali 28-Nov-2024');"</f>
        <v>('27Nov240142','040000173496','-68',(select max(to_number(i.premium_rcv_detail_code))+1
from ins_premium_det i),'-68','-68','02', '11000003','00','Request by Mr. Omair Ali 28-Nov-2024');</v>
      </c>
      <c r="H3" s="13" t="str">
        <f t="shared" ref="H3:H66" si="3">F3&amp;G3</f>
        <v>insert into ins_premium_det (premium_rcv_code,assorted_code, rec_amount,premium_rcv_detail_code,remaining_amt, payrec, mode_code,coinsurance_code,class_cd,it_remarks) values('27Nov240142','040000173496','-68',(select max(to_number(i.premium_rcv_detail_code))+1
from ins_premium_det i),'-68','-68','02', '11000003','00','Request by Mr. Omair Ali 28-Nov-2024');</v>
      </c>
    </row>
    <row r="4" spans="1:8" ht="105.75" thickBot="1" x14ac:dyDescent="0.3">
      <c r="A4" s="3" t="s">
        <v>4</v>
      </c>
      <c r="B4" s="9" t="str">
        <f>VLOOKUP(A4,policy!B:C,2,0)</f>
        <v>040000115801</v>
      </c>
      <c r="C4" s="4">
        <v>-57</v>
      </c>
      <c r="D4" s="10">
        <f t="shared" si="1"/>
        <v>-57</v>
      </c>
      <c r="E4" s="8" t="s">
        <v>329</v>
      </c>
      <c r="F4" s="11" t="str">
        <f t="shared" si="0"/>
        <v>insert into ins_premium_det (premium_rcv_code,assorted_code, rec_amount,premium_rcv_detail_code,remaining_amt, payrec, mode_code,coinsurance_code,class_cd,it_remarks) values</v>
      </c>
      <c r="G4" s="12" t="str">
        <f t="shared" si="2"/>
        <v>('27Nov240142','040000115801','-57',(select max(to_number(i.premium_rcv_detail_code))+1
from ins_premium_det i),'-57','-57','02', '11000003','00','Request by Mr. Omair Ali 28-Nov-2024');</v>
      </c>
      <c r="H4" s="13" t="str">
        <f t="shared" si="3"/>
        <v>insert into ins_premium_det (premium_rcv_code,assorted_code, rec_amount,premium_rcv_detail_code,remaining_amt, payrec, mode_code,coinsurance_code,class_cd,it_remarks) values('27Nov240142','040000115801','-57',(select max(to_number(i.premium_rcv_detail_code))+1
from ins_premium_det i),'-57','-57','02', '11000003','00','Request by Mr. Omair Ali 28-Nov-2024');</v>
      </c>
    </row>
    <row r="5" spans="1:8" ht="105.75" thickBot="1" x14ac:dyDescent="0.3">
      <c r="A5" s="3" t="s">
        <v>5</v>
      </c>
      <c r="B5" s="9" t="str">
        <f>VLOOKUP(A5,policy!B:C,2,0)</f>
        <v>040000138055</v>
      </c>
      <c r="C5" s="4">
        <v>-36</v>
      </c>
      <c r="D5" s="10">
        <f t="shared" si="1"/>
        <v>-36</v>
      </c>
      <c r="E5" s="8" t="s">
        <v>329</v>
      </c>
      <c r="F5" s="11" t="str">
        <f t="shared" si="0"/>
        <v>insert into ins_premium_det (premium_rcv_code,assorted_code, rec_amount,premium_rcv_detail_code,remaining_amt, payrec, mode_code,coinsurance_code,class_cd,it_remarks) values</v>
      </c>
      <c r="G5" s="12" t="str">
        <f t="shared" si="2"/>
        <v>('27Nov240142','040000138055','-36',(select max(to_number(i.premium_rcv_detail_code))+1
from ins_premium_det i),'-36','-36','02', '11000003','00','Request by Mr. Omair Ali 28-Nov-2024');</v>
      </c>
      <c r="H5" s="13" t="str">
        <f t="shared" si="3"/>
        <v>insert into ins_premium_det (premium_rcv_code,assorted_code, rec_amount,premium_rcv_detail_code,remaining_amt, payrec, mode_code,coinsurance_code,class_cd,it_remarks) values('27Nov240142','040000138055','-36',(select max(to_number(i.premium_rcv_detail_code))+1
from ins_premium_det i),'-36','-36','02', '11000003','00','Request by Mr. Omair Ali 28-Nov-2024');</v>
      </c>
    </row>
    <row r="6" spans="1:8" ht="105.75" thickBot="1" x14ac:dyDescent="0.3">
      <c r="A6" s="3" t="s">
        <v>6</v>
      </c>
      <c r="B6" s="9" t="str">
        <f>VLOOKUP(A6,policy!B:C,2,0)</f>
        <v>040000132661</v>
      </c>
      <c r="C6" s="4">
        <v>-29</v>
      </c>
      <c r="D6" s="10">
        <f t="shared" si="1"/>
        <v>-29</v>
      </c>
      <c r="E6" s="8" t="s">
        <v>329</v>
      </c>
      <c r="F6" s="11" t="str">
        <f t="shared" si="0"/>
        <v>insert into ins_premium_det (premium_rcv_code,assorted_code, rec_amount,premium_rcv_detail_code,remaining_amt, payrec, mode_code,coinsurance_code,class_cd,it_remarks) values</v>
      </c>
      <c r="G6" s="12" t="str">
        <f t="shared" si="2"/>
        <v>('27Nov240142','040000132661','-29',(select max(to_number(i.premium_rcv_detail_code))+1
from ins_premium_det i),'-29','-29','02', '11000003','00','Request by Mr. Omair Ali 28-Nov-2024');</v>
      </c>
      <c r="H6" s="13" t="str">
        <f t="shared" si="3"/>
        <v>insert into ins_premium_det (premium_rcv_code,assorted_code, rec_amount,premium_rcv_detail_code,remaining_amt, payrec, mode_code,coinsurance_code,class_cd,it_remarks) values('27Nov240142','040000132661','-29',(select max(to_number(i.premium_rcv_detail_code))+1
from ins_premium_det i),'-29','-29','02', '11000003','00','Request by Mr. Omair Ali 28-Nov-2024');</v>
      </c>
    </row>
    <row r="7" spans="1:8" ht="105.75" thickBot="1" x14ac:dyDescent="0.3">
      <c r="A7" s="3" t="s">
        <v>7</v>
      </c>
      <c r="B7" s="9" t="str">
        <f>VLOOKUP(A7,policy!B:C,2,0)</f>
        <v>040000117411</v>
      </c>
      <c r="C7" s="4">
        <v>-22</v>
      </c>
      <c r="D7" s="10">
        <f t="shared" si="1"/>
        <v>-22</v>
      </c>
      <c r="E7" s="8" t="s">
        <v>329</v>
      </c>
      <c r="F7" s="11" t="str">
        <f t="shared" si="0"/>
        <v>insert into ins_premium_det (premium_rcv_code,assorted_code, rec_amount,premium_rcv_detail_code,remaining_amt, payrec, mode_code,coinsurance_code,class_cd,it_remarks) values</v>
      </c>
      <c r="G7" s="12" t="str">
        <f t="shared" si="2"/>
        <v>('27Nov240142','040000117411','-22',(select max(to_number(i.premium_rcv_detail_code))+1
from ins_premium_det i),'-22','-22','02', '11000003','00','Request by Mr. Omair Ali 28-Nov-2024');</v>
      </c>
      <c r="H7" s="13" t="str">
        <f t="shared" si="3"/>
        <v>insert into ins_premium_det (premium_rcv_code,assorted_code, rec_amount,premium_rcv_detail_code,remaining_amt, payrec, mode_code,coinsurance_code,class_cd,it_remarks) values('27Nov240142','040000117411','-22',(select max(to_number(i.premium_rcv_detail_code))+1
from ins_premium_det i),'-22','-22','02', '11000003','00','Request by Mr. Omair Ali 28-Nov-2024');</v>
      </c>
    </row>
    <row r="8" spans="1:8" ht="105.75" thickBot="1" x14ac:dyDescent="0.3">
      <c r="A8" s="3" t="s">
        <v>8</v>
      </c>
      <c r="B8" s="9" t="str">
        <f>VLOOKUP(A8,policy!B:C,2,0)</f>
        <v>040000137639</v>
      </c>
      <c r="C8" s="4">
        <v>-1</v>
      </c>
      <c r="D8" s="10">
        <f t="shared" si="1"/>
        <v>-1</v>
      </c>
      <c r="E8" s="8" t="s">
        <v>329</v>
      </c>
      <c r="F8" s="11" t="str">
        <f t="shared" si="0"/>
        <v>insert into ins_premium_det (premium_rcv_code,assorted_code, rec_amount,premium_rcv_detail_code,remaining_amt, payrec, mode_code,coinsurance_code,class_cd,it_remarks) values</v>
      </c>
      <c r="G8" s="12" t="str">
        <f t="shared" si="2"/>
        <v>('27Nov240142','040000137639','-1',(select max(to_number(i.premium_rcv_detail_code))+1
from ins_premium_det i),'-1','-1','02', '11000003','00','Request by Mr. Omair Ali 28-Nov-2024');</v>
      </c>
      <c r="H8" s="13" t="str">
        <f t="shared" si="3"/>
        <v>insert into ins_premium_det (premium_rcv_code,assorted_code, rec_amount,premium_rcv_detail_code,remaining_amt, payrec, mode_code,coinsurance_code,class_cd,it_remarks) values('27Nov240142','040000137639','-1',(select max(to_number(i.premium_rcv_detail_code))+1
from ins_premium_det i),'-1','-1','02', '11000003','00','Request by Mr. Omair Ali 28-Nov-2024');</v>
      </c>
    </row>
    <row r="9" spans="1:8" ht="105.75" thickBot="1" x14ac:dyDescent="0.3">
      <c r="A9" s="3" t="s">
        <v>9</v>
      </c>
      <c r="B9" s="9" t="str">
        <f>VLOOKUP(A9,policy!B:C,2,0)</f>
        <v>040000137638</v>
      </c>
      <c r="C9" s="4">
        <v>-1</v>
      </c>
      <c r="D9" s="10">
        <f t="shared" si="1"/>
        <v>-1</v>
      </c>
      <c r="E9" s="8" t="s">
        <v>329</v>
      </c>
      <c r="F9" s="11" t="str">
        <f t="shared" si="0"/>
        <v>insert into ins_premium_det (premium_rcv_code,assorted_code, rec_amount,premium_rcv_detail_code,remaining_amt, payrec, mode_code,coinsurance_code,class_cd,it_remarks) values</v>
      </c>
      <c r="G9" s="12" t="str">
        <f t="shared" si="2"/>
        <v>('27Nov240142','040000137638','-1',(select max(to_number(i.premium_rcv_detail_code))+1
from ins_premium_det i),'-1','-1','02', '11000003','00','Request by Mr. Omair Ali 28-Nov-2024');</v>
      </c>
      <c r="H9" s="13" t="str">
        <f t="shared" si="3"/>
        <v>insert into ins_premium_det (premium_rcv_code,assorted_code, rec_amount,premium_rcv_detail_code,remaining_amt, payrec, mode_code,coinsurance_code,class_cd,it_remarks) values('27Nov240142','040000137638','-1',(select max(to_number(i.premium_rcv_detail_code))+1
from ins_premium_det i),'-1','-1','02', '11000003','00','Request by Mr. Omair Ali 28-Nov-2024');</v>
      </c>
    </row>
    <row r="10" spans="1:8" ht="105.75" thickBot="1" x14ac:dyDescent="0.3">
      <c r="A10" s="3" t="s">
        <v>10</v>
      </c>
      <c r="B10" s="9" t="str">
        <f>VLOOKUP(A10,policy!B:C,2,0)</f>
        <v>040000180609</v>
      </c>
      <c r="C10" s="4">
        <v>1</v>
      </c>
      <c r="D10" s="10">
        <f t="shared" si="1"/>
        <v>1</v>
      </c>
      <c r="E10" s="8" t="s">
        <v>329</v>
      </c>
      <c r="F10" s="11" t="str">
        <f t="shared" si="0"/>
        <v>insert into ins_premium_det (premium_rcv_code,assorted_code, rec_amount,premium_rcv_detail_code,remaining_amt, payrec, mode_code,coinsurance_code,class_cd,it_remarks) values</v>
      </c>
      <c r="G10" s="12" t="str">
        <f t="shared" si="2"/>
        <v>('27Nov240142','040000180609','1',(select max(to_number(i.premium_rcv_detail_code))+1
from ins_premium_det i),'1','1','02', '11000003','00','Request by Mr. Omair Ali 28-Nov-2024');</v>
      </c>
      <c r="H10" s="13" t="str">
        <f t="shared" si="3"/>
        <v>insert into ins_premium_det (premium_rcv_code,assorted_code, rec_amount,premium_rcv_detail_code,remaining_amt, payrec, mode_code,coinsurance_code,class_cd,it_remarks) values('27Nov240142','040000180609','1',(select max(to_number(i.premium_rcv_detail_code))+1
from ins_premium_det i),'1','1','02', '11000003','00','Request by Mr. Omair Ali 28-Nov-2024');</v>
      </c>
    </row>
    <row r="11" spans="1:8" ht="105.75" thickBot="1" x14ac:dyDescent="0.3">
      <c r="A11" s="3" t="s">
        <v>11</v>
      </c>
      <c r="B11" s="9" t="str">
        <f>VLOOKUP(A11,policy!B:C,2,0)</f>
        <v>040000180443</v>
      </c>
      <c r="C11" s="4">
        <v>1</v>
      </c>
      <c r="D11" s="10">
        <f t="shared" si="1"/>
        <v>1</v>
      </c>
      <c r="E11" s="8" t="s">
        <v>329</v>
      </c>
      <c r="F11" s="11" t="str">
        <f t="shared" si="0"/>
        <v>insert into ins_premium_det (premium_rcv_code,assorted_code, rec_amount,premium_rcv_detail_code,remaining_amt, payrec, mode_code,coinsurance_code,class_cd,it_remarks) values</v>
      </c>
      <c r="G11" s="12" t="str">
        <f t="shared" si="2"/>
        <v>('27Nov240142','040000180443','1',(select max(to_number(i.premium_rcv_detail_code))+1
from ins_premium_det i),'1','1','02', '11000003','00','Request by Mr. Omair Ali 28-Nov-2024');</v>
      </c>
      <c r="H11" s="13" t="str">
        <f t="shared" si="3"/>
        <v>insert into ins_premium_det (premium_rcv_code,assorted_code, rec_amount,premium_rcv_detail_code,remaining_amt, payrec, mode_code,coinsurance_code,class_cd,it_remarks) values('27Nov240142','040000180443','1',(select max(to_number(i.premium_rcv_detail_code))+1
from ins_premium_det i),'1','1','02', '11000003','00','Request by Mr. Omair Ali 28-Nov-2024');</v>
      </c>
    </row>
    <row r="12" spans="1:8" ht="105.75" thickBot="1" x14ac:dyDescent="0.3">
      <c r="A12" s="3" t="s">
        <v>12</v>
      </c>
      <c r="B12" s="9" t="str">
        <f>VLOOKUP(A12,policy!B:C,2,0)</f>
        <v>040000180618</v>
      </c>
      <c r="C12" s="4">
        <v>1</v>
      </c>
      <c r="D12" s="10">
        <f t="shared" si="1"/>
        <v>1</v>
      </c>
      <c r="E12" s="8" t="s">
        <v>329</v>
      </c>
      <c r="F12" s="11" t="str">
        <f t="shared" si="0"/>
        <v>insert into ins_premium_det (premium_rcv_code,assorted_code, rec_amount,premium_rcv_detail_code,remaining_amt, payrec, mode_code,coinsurance_code,class_cd,it_remarks) values</v>
      </c>
      <c r="G12" s="12" t="str">
        <f t="shared" si="2"/>
        <v>('27Nov240142','040000180618','1',(select max(to_number(i.premium_rcv_detail_code))+1
from ins_premium_det i),'1','1','02', '11000003','00','Request by Mr. Omair Ali 28-Nov-2024');</v>
      </c>
      <c r="H12" s="13" t="str">
        <f t="shared" si="3"/>
        <v>insert into ins_premium_det (premium_rcv_code,assorted_code, rec_amount,premium_rcv_detail_code,remaining_amt, payrec, mode_code,coinsurance_code,class_cd,it_remarks) values('27Nov240142','040000180618','1',(select max(to_number(i.premium_rcv_detail_code))+1
from ins_premium_det i),'1','1','02', '11000003','00','Request by Mr. Omair Ali 28-Nov-2024');</v>
      </c>
    </row>
    <row r="13" spans="1:8" ht="105.75" thickBot="1" x14ac:dyDescent="0.3">
      <c r="A13" s="3" t="s">
        <v>13</v>
      </c>
      <c r="B13" s="9" t="str">
        <f>VLOOKUP(A13,policy!B:C,2,0)</f>
        <v>040000180646</v>
      </c>
      <c r="C13" s="4">
        <v>1</v>
      </c>
      <c r="D13" s="10">
        <f t="shared" si="1"/>
        <v>1</v>
      </c>
      <c r="E13" s="8" t="s">
        <v>329</v>
      </c>
      <c r="F13" s="11" t="str">
        <f t="shared" si="0"/>
        <v>insert into ins_premium_det (premium_rcv_code,assorted_code, rec_amount,premium_rcv_detail_code,remaining_amt, payrec, mode_code,coinsurance_code,class_cd,it_remarks) values</v>
      </c>
      <c r="G13" s="12" t="str">
        <f t="shared" si="2"/>
        <v>('27Nov240142','040000180646','1',(select max(to_number(i.premium_rcv_detail_code))+1
from ins_premium_det i),'1','1','02', '11000003','00','Request by Mr. Omair Ali 28-Nov-2024');</v>
      </c>
      <c r="H13" s="13" t="str">
        <f t="shared" si="3"/>
        <v>insert into ins_premium_det (premium_rcv_code,assorted_code, rec_amount,premium_rcv_detail_code,remaining_amt, payrec, mode_code,coinsurance_code,class_cd,it_remarks) values('27Nov240142','040000180646','1',(select max(to_number(i.premium_rcv_detail_code))+1
from ins_premium_det i),'1','1','02', '11000003','00','Request by Mr. Omair Ali 28-Nov-2024');</v>
      </c>
    </row>
    <row r="14" spans="1:8" ht="105.75" thickBot="1" x14ac:dyDescent="0.3">
      <c r="A14" s="3" t="s">
        <v>14</v>
      </c>
      <c r="B14" s="9" t="str">
        <f>VLOOKUP(A14,policy!B:C,2,0)</f>
        <v>040000180571</v>
      </c>
      <c r="C14" s="4">
        <v>1</v>
      </c>
      <c r="D14" s="10">
        <f t="shared" si="1"/>
        <v>1</v>
      </c>
      <c r="E14" s="8" t="s">
        <v>329</v>
      </c>
      <c r="F14" s="11" t="str">
        <f t="shared" si="0"/>
        <v>insert into ins_premium_det (premium_rcv_code,assorted_code, rec_amount,premium_rcv_detail_code,remaining_amt, payrec, mode_code,coinsurance_code,class_cd,it_remarks) values</v>
      </c>
      <c r="G14" s="12" t="str">
        <f t="shared" si="2"/>
        <v>('27Nov240142','040000180571','1',(select max(to_number(i.premium_rcv_detail_code))+1
from ins_premium_det i),'1','1','02', '11000003','00','Request by Mr. Omair Ali 28-Nov-2024');</v>
      </c>
      <c r="H14" s="13" t="str">
        <f t="shared" si="3"/>
        <v>insert into ins_premium_det (premium_rcv_code,assorted_code, rec_amount,premium_rcv_detail_code,remaining_amt, payrec, mode_code,coinsurance_code,class_cd,it_remarks) values('27Nov240142','040000180571','1',(select max(to_number(i.premium_rcv_detail_code))+1
from ins_premium_det i),'1','1','02', '11000003','00','Request by Mr. Omair Ali 28-Nov-2024');</v>
      </c>
    </row>
    <row r="15" spans="1:8" ht="105.75" thickBot="1" x14ac:dyDescent="0.3">
      <c r="A15" s="3" t="s">
        <v>15</v>
      </c>
      <c r="B15" s="9" t="str">
        <f>VLOOKUP(A15,policy!B:C,2,0)</f>
        <v>040000180800</v>
      </c>
      <c r="C15" s="4">
        <v>1</v>
      </c>
      <c r="D15" s="10">
        <f t="shared" si="1"/>
        <v>1</v>
      </c>
      <c r="E15" s="8" t="s">
        <v>329</v>
      </c>
      <c r="F15" s="11" t="str">
        <f t="shared" si="0"/>
        <v>insert into ins_premium_det (premium_rcv_code,assorted_code, rec_amount,premium_rcv_detail_code,remaining_amt, payrec, mode_code,coinsurance_code,class_cd,it_remarks) values</v>
      </c>
      <c r="G15" s="12" t="str">
        <f t="shared" si="2"/>
        <v>('27Nov240142','040000180800','1',(select max(to_number(i.premium_rcv_detail_code))+1
from ins_premium_det i),'1','1','02', '11000003','00','Request by Mr. Omair Ali 28-Nov-2024');</v>
      </c>
      <c r="H15" s="13" t="str">
        <f t="shared" si="3"/>
        <v>insert into ins_premium_det (premium_rcv_code,assorted_code, rec_amount,premium_rcv_detail_code,remaining_amt, payrec, mode_code,coinsurance_code,class_cd,it_remarks) values('27Nov240142','040000180800','1',(select max(to_number(i.premium_rcv_detail_code))+1
from ins_premium_det i),'1','1','02', '11000003','00','Request by Mr. Omair Ali 28-Nov-2024');</v>
      </c>
    </row>
    <row r="16" spans="1:8" ht="105.75" thickBot="1" x14ac:dyDescent="0.3">
      <c r="A16" s="3" t="s">
        <v>16</v>
      </c>
      <c r="B16" s="9" t="str">
        <f>VLOOKUP(A16,policy!B:C,2,0)</f>
        <v>040000180616</v>
      </c>
      <c r="C16" s="4">
        <v>1</v>
      </c>
      <c r="D16" s="10">
        <f t="shared" si="1"/>
        <v>1</v>
      </c>
      <c r="E16" s="8" t="s">
        <v>329</v>
      </c>
      <c r="F16" s="11" t="str">
        <f t="shared" si="0"/>
        <v>insert into ins_premium_det (premium_rcv_code,assorted_code, rec_amount,premium_rcv_detail_code,remaining_amt, payrec, mode_code,coinsurance_code,class_cd,it_remarks) values</v>
      </c>
      <c r="G16" s="12" t="str">
        <f t="shared" si="2"/>
        <v>('27Nov240142','040000180616','1',(select max(to_number(i.premium_rcv_detail_code))+1
from ins_premium_det i),'1','1','02', '11000003','00','Request by Mr. Omair Ali 28-Nov-2024');</v>
      </c>
      <c r="H16" s="13" t="str">
        <f t="shared" si="3"/>
        <v>insert into ins_premium_det (premium_rcv_code,assorted_code, rec_amount,premium_rcv_detail_code,remaining_amt, payrec, mode_code,coinsurance_code,class_cd,it_remarks) values('27Nov240142','040000180616','1',(select max(to_number(i.premium_rcv_detail_code))+1
from ins_premium_det i),'1','1','02', '11000003','00','Request by Mr. Omair Ali 28-Nov-2024');</v>
      </c>
    </row>
    <row r="17" spans="1:8" ht="105.75" thickBot="1" x14ac:dyDescent="0.3">
      <c r="A17" s="3" t="s">
        <v>17</v>
      </c>
      <c r="B17" s="9" t="str">
        <f>VLOOKUP(A17,policy!B:C,2,0)</f>
        <v>040000180803</v>
      </c>
      <c r="C17" s="4">
        <v>1</v>
      </c>
      <c r="D17" s="10">
        <f t="shared" si="1"/>
        <v>1</v>
      </c>
      <c r="E17" s="8" t="s">
        <v>329</v>
      </c>
      <c r="F17" s="11" t="str">
        <f t="shared" si="0"/>
        <v>insert into ins_premium_det (premium_rcv_code,assorted_code, rec_amount,premium_rcv_detail_code,remaining_amt, payrec, mode_code,coinsurance_code,class_cd,it_remarks) values</v>
      </c>
      <c r="G17" s="12" t="str">
        <f t="shared" si="2"/>
        <v>('27Nov240142','040000180803','1',(select max(to_number(i.premium_rcv_detail_code))+1
from ins_premium_det i),'1','1','02', '11000003','00','Request by Mr. Omair Ali 28-Nov-2024');</v>
      </c>
      <c r="H17" s="13" t="str">
        <f t="shared" si="3"/>
        <v>insert into ins_premium_det (premium_rcv_code,assorted_code, rec_amount,premium_rcv_detail_code,remaining_amt, payrec, mode_code,coinsurance_code,class_cd,it_remarks) values('27Nov240142','040000180803','1',(select max(to_number(i.premium_rcv_detail_code))+1
from ins_premium_det i),'1','1','02', '11000003','00','Request by Mr. Omair Ali 28-Nov-2024');</v>
      </c>
    </row>
    <row r="18" spans="1:8" ht="105.75" thickBot="1" x14ac:dyDescent="0.3">
      <c r="A18" s="3" t="s">
        <v>18</v>
      </c>
      <c r="B18" s="9" t="str">
        <f>VLOOKUP(A18,policy!B:C,2,0)</f>
        <v>040000180641</v>
      </c>
      <c r="C18" s="4">
        <v>1</v>
      </c>
      <c r="D18" s="10">
        <f t="shared" si="1"/>
        <v>1</v>
      </c>
      <c r="E18" s="8" t="s">
        <v>329</v>
      </c>
      <c r="F18" s="11" t="str">
        <f t="shared" si="0"/>
        <v>insert into ins_premium_det (premium_rcv_code,assorted_code, rec_amount,premium_rcv_detail_code,remaining_amt, payrec, mode_code,coinsurance_code,class_cd,it_remarks) values</v>
      </c>
      <c r="G18" s="12" t="str">
        <f t="shared" si="2"/>
        <v>('27Nov240142','040000180641','1',(select max(to_number(i.premium_rcv_detail_code))+1
from ins_premium_det i),'1','1','02', '11000003','00','Request by Mr. Omair Ali 28-Nov-2024');</v>
      </c>
      <c r="H18" s="13" t="str">
        <f t="shared" si="3"/>
        <v>insert into ins_premium_det (premium_rcv_code,assorted_code, rec_amount,premium_rcv_detail_code,remaining_amt, payrec, mode_code,coinsurance_code,class_cd,it_remarks) values('27Nov240142','040000180641','1',(select max(to_number(i.premium_rcv_detail_code))+1
from ins_premium_det i),'1','1','02', '11000003','00','Request by Mr. Omair Ali 28-Nov-2024');</v>
      </c>
    </row>
    <row r="19" spans="1:8" ht="105.75" thickBot="1" x14ac:dyDescent="0.3">
      <c r="A19" s="3" t="s">
        <v>19</v>
      </c>
      <c r="B19" s="9" t="str">
        <f>VLOOKUP(A19,policy!B:C,2,0)</f>
        <v>040000180632</v>
      </c>
      <c r="C19" s="4">
        <v>1</v>
      </c>
      <c r="D19" s="10">
        <f t="shared" si="1"/>
        <v>1</v>
      </c>
      <c r="E19" s="8" t="s">
        <v>329</v>
      </c>
      <c r="F19" s="11" t="str">
        <f t="shared" si="0"/>
        <v>insert into ins_premium_det (premium_rcv_code,assorted_code, rec_amount,premium_rcv_detail_code,remaining_amt, payrec, mode_code,coinsurance_code,class_cd,it_remarks) values</v>
      </c>
      <c r="G19" s="12" t="str">
        <f t="shared" si="2"/>
        <v>('27Nov240142','040000180632','1',(select max(to_number(i.premium_rcv_detail_code))+1
from ins_premium_det i),'1','1','02', '11000003','00','Request by Mr. Omair Ali 28-Nov-2024');</v>
      </c>
      <c r="H19" s="13" t="str">
        <f t="shared" si="3"/>
        <v>insert into ins_premium_det (premium_rcv_code,assorted_code, rec_amount,premium_rcv_detail_code,remaining_amt, payrec, mode_code,coinsurance_code,class_cd,it_remarks) values('27Nov240142','040000180632','1',(select max(to_number(i.premium_rcv_detail_code))+1
from ins_premium_det i),'1','1','02', '11000003','00','Request by Mr. Omair Ali 28-Nov-2024');</v>
      </c>
    </row>
    <row r="20" spans="1:8" ht="105.75" thickBot="1" x14ac:dyDescent="0.3">
      <c r="A20" s="3" t="s">
        <v>20</v>
      </c>
      <c r="B20" s="9" t="str">
        <f>VLOOKUP(A20,policy!B:C,2,0)</f>
        <v>040000180444</v>
      </c>
      <c r="C20" s="4">
        <v>1</v>
      </c>
      <c r="D20" s="10">
        <f t="shared" si="1"/>
        <v>1</v>
      </c>
      <c r="E20" s="8" t="s">
        <v>329</v>
      </c>
      <c r="F20" s="11" t="str">
        <f t="shared" si="0"/>
        <v>insert into ins_premium_det (premium_rcv_code,assorted_code, rec_amount,premium_rcv_detail_code,remaining_amt, payrec, mode_code,coinsurance_code,class_cd,it_remarks) values</v>
      </c>
      <c r="G20" s="12" t="str">
        <f t="shared" si="2"/>
        <v>('27Nov240142','040000180444','1',(select max(to_number(i.premium_rcv_detail_code))+1
from ins_premium_det i),'1','1','02', '11000003','00','Request by Mr. Omair Ali 28-Nov-2024');</v>
      </c>
      <c r="H20" s="13" t="str">
        <f t="shared" si="3"/>
        <v>insert into ins_premium_det (premium_rcv_code,assorted_code, rec_amount,premium_rcv_detail_code,remaining_amt, payrec, mode_code,coinsurance_code,class_cd,it_remarks) values('27Nov240142','040000180444','1',(select max(to_number(i.premium_rcv_detail_code))+1
from ins_premium_det i),'1','1','02', '11000003','00','Request by Mr. Omair Ali 28-Nov-2024');</v>
      </c>
    </row>
    <row r="21" spans="1:8" ht="105.75" thickBot="1" x14ac:dyDescent="0.3">
      <c r="A21" s="3" t="s">
        <v>21</v>
      </c>
      <c r="B21" s="9" t="str">
        <f>VLOOKUP(A21,policy!B:C,2,0)</f>
        <v>040000180485</v>
      </c>
      <c r="C21" s="4">
        <v>1</v>
      </c>
      <c r="D21" s="10">
        <f t="shared" si="1"/>
        <v>1</v>
      </c>
      <c r="E21" s="8" t="s">
        <v>329</v>
      </c>
      <c r="F21" s="11" t="str">
        <f t="shared" si="0"/>
        <v>insert into ins_premium_det (premium_rcv_code,assorted_code, rec_amount,premium_rcv_detail_code,remaining_amt, payrec, mode_code,coinsurance_code,class_cd,it_remarks) values</v>
      </c>
      <c r="G21" s="12" t="str">
        <f t="shared" si="2"/>
        <v>('27Nov240142','040000180485','1',(select max(to_number(i.premium_rcv_detail_code))+1
from ins_premium_det i),'1','1','02', '11000003','00','Request by Mr. Omair Ali 28-Nov-2024');</v>
      </c>
      <c r="H21" s="13" t="str">
        <f t="shared" si="3"/>
        <v>insert into ins_premium_det (premium_rcv_code,assorted_code, rec_amount,premium_rcv_detail_code,remaining_amt, payrec, mode_code,coinsurance_code,class_cd,it_remarks) values('27Nov240142','040000180485','1',(select max(to_number(i.premium_rcv_detail_code))+1
from ins_premium_det i),'1','1','02', '11000003','00','Request by Mr. Omair Ali 28-Nov-2024');</v>
      </c>
    </row>
    <row r="22" spans="1:8" ht="105.75" thickBot="1" x14ac:dyDescent="0.3">
      <c r="A22" s="3" t="s">
        <v>22</v>
      </c>
      <c r="B22" s="9" t="str">
        <f>VLOOKUP(A22,policy!B:C,2,0)</f>
        <v>040000180572</v>
      </c>
      <c r="C22" s="4">
        <v>1</v>
      </c>
      <c r="D22" s="10">
        <f t="shared" si="1"/>
        <v>1</v>
      </c>
      <c r="E22" s="8" t="s">
        <v>329</v>
      </c>
      <c r="F22" s="11" t="str">
        <f t="shared" si="0"/>
        <v>insert into ins_premium_det (premium_rcv_code,assorted_code, rec_amount,premium_rcv_detail_code,remaining_amt, payrec, mode_code,coinsurance_code,class_cd,it_remarks) values</v>
      </c>
      <c r="G22" s="12" t="str">
        <f t="shared" si="2"/>
        <v>('27Nov240142','040000180572','1',(select max(to_number(i.premium_rcv_detail_code))+1
from ins_premium_det i),'1','1','02', '11000003','00','Request by Mr. Omair Ali 28-Nov-2024');</v>
      </c>
      <c r="H22" s="13" t="str">
        <f t="shared" si="3"/>
        <v>insert into ins_premium_det (premium_rcv_code,assorted_code, rec_amount,premium_rcv_detail_code,remaining_amt, payrec, mode_code,coinsurance_code,class_cd,it_remarks) values('27Nov240142','040000180572','1',(select max(to_number(i.premium_rcv_detail_code))+1
from ins_premium_det i),'1','1','02', '11000003','00','Request by Mr. Omair Ali 28-Nov-2024');</v>
      </c>
    </row>
    <row r="23" spans="1:8" ht="105.75" thickBot="1" x14ac:dyDescent="0.3">
      <c r="A23" s="3" t="s">
        <v>23</v>
      </c>
      <c r="B23" s="9" t="str">
        <f>VLOOKUP(A23,policy!B:C,2,0)</f>
        <v>040000180486</v>
      </c>
      <c r="C23" s="4">
        <v>1</v>
      </c>
      <c r="D23" s="10">
        <f t="shared" si="1"/>
        <v>1</v>
      </c>
      <c r="E23" s="8" t="s">
        <v>329</v>
      </c>
      <c r="F23" s="11" t="str">
        <f t="shared" si="0"/>
        <v>insert into ins_premium_det (premium_rcv_code,assorted_code, rec_amount,premium_rcv_detail_code,remaining_amt, payrec, mode_code,coinsurance_code,class_cd,it_remarks) values</v>
      </c>
      <c r="G23" s="12" t="str">
        <f t="shared" si="2"/>
        <v>('27Nov240142','040000180486','1',(select max(to_number(i.premium_rcv_detail_code))+1
from ins_premium_det i),'1','1','02', '11000003','00','Request by Mr. Omair Ali 28-Nov-2024');</v>
      </c>
      <c r="H23" s="13" t="str">
        <f t="shared" si="3"/>
        <v>insert into ins_premium_det (premium_rcv_code,assorted_code, rec_amount,premium_rcv_detail_code,remaining_amt, payrec, mode_code,coinsurance_code,class_cd,it_remarks) values('27Nov240142','040000180486','1',(select max(to_number(i.premium_rcv_detail_code))+1
from ins_premium_det i),'1','1','02', '11000003','00','Request by Mr. Omair Ali 28-Nov-2024');</v>
      </c>
    </row>
    <row r="24" spans="1:8" ht="105.75" thickBot="1" x14ac:dyDescent="0.3">
      <c r="A24" s="3" t="s">
        <v>24</v>
      </c>
      <c r="B24" s="9" t="str">
        <f>VLOOKUP(A24,policy!B:C,2,0)</f>
        <v>040000180610</v>
      </c>
      <c r="C24" s="4">
        <v>1</v>
      </c>
      <c r="D24" s="10">
        <f t="shared" si="1"/>
        <v>1</v>
      </c>
      <c r="E24" s="8" t="s">
        <v>329</v>
      </c>
      <c r="F24" s="11" t="str">
        <f t="shared" si="0"/>
        <v>insert into ins_premium_det (premium_rcv_code,assorted_code, rec_amount,premium_rcv_detail_code,remaining_amt, payrec, mode_code,coinsurance_code,class_cd,it_remarks) values</v>
      </c>
      <c r="G24" s="12" t="str">
        <f t="shared" si="2"/>
        <v>('27Nov240142','040000180610','1',(select max(to_number(i.premium_rcv_detail_code))+1
from ins_premium_det i),'1','1','02', '11000003','00','Request by Mr. Omair Ali 28-Nov-2024');</v>
      </c>
      <c r="H24" s="13" t="str">
        <f t="shared" si="3"/>
        <v>insert into ins_premium_det (premium_rcv_code,assorted_code, rec_amount,premium_rcv_detail_code,remaining_amt, payrec, mode_code,coinsurance_code,class_cd,it_remarks) values('27Nov240142','040000180610','1',(select max(to_number(i.premium_rcv_detail_code))+1
from ins_premium_det i),'1','1','02', '11000003','00','Request by Mr. Omair Ali 28-Nov-2024');</v>
      </c>
    </row>
    <row r="25" spans="1:8" ht="105.75" thickBot="1" x14ac:dyDescent="0.3">
      <c r="A25" s="3" t="s">
        <v>25</v>
      </c>
      <c r="B25" s="9" t="str">
        <f>VLOOKUP(A25,policy!B:C,2,0)</f>
        <v>040000180640</v>
      </c>
      <c r="C25" s="4">
        <v>1</v>
      </c>
      <c r="D25" s="10">
        <f t="shared" si="1"/>
        <v>1</v>
      </c>
      <c r="E25" s="8" t="s">
        <v>329</v>
      </c>
      <c r="F25" s="11" t="str">
        <f t="shared" si="0"/>
        <v>insert into ins_premium_det (premium_rcv_code,assorted_code, rec_amount,premium_rcv_detail_code,remaining_amt, payrec, mode_code,coinsurance_code,class_cd,it_remarks) values</v>
      </c>
      <c r="G25" s="12" t="str">
        <f t="shared" si="2"/>
        <v>('27Nov240142','040000180640','1',(select max(to_number(i.premium_rcv_detail_code))+1
from ins_premium_det i),'1','1','02', '11000003','00','Request by Mr. Omair Ali 28-Nov-2024');</v>
      </c>
      <c r="H25" s="13" t="str">
        <f t="shared" si="3"/>
        <v>insert into ins_premium_det (premium_rcv_code,assorted_code, rec_amount,premium_rcv_detail_code,remaining_amt, payrec, mode_code,coinsurance_code,class_cd,it_remarks) values('27Nov240142','040000180640','1',(select max(to_number(i.premium_rcv_detail_code))+1
from ins_premium_det i),'1','1','02', '11000003','00','Request by Mr. Omair Ali 28-Nov-2024');</v>
      </c>
    </row>
    <row r="26" spans="1:8" ht="105.75" thickBot="1" x14ac:dyDescent="0.3">
      <c r="A26" s="3" t="s">
        <v>26</v>
      </c>
      <c r="B26" s="9" t="str">
        <f>VLOOKUP(A26,policy!B:C,2,0)</f>
        <v>040000180617</v>
      </c>
      <c r="C26" s="4">
        <v>1</v>
      </c>
      <c r="D26" s="10">
        <f t="shared" si="1"/>
        <v>1</v>
      </c>
      <c r="E26" s="8" t="s">
        <v>329</v>
      </c>
      <c r="F26" s="11" t="str">
        <f t="shared" si="0"/>
        <v>insert into ins_premium_det (premium_rcv_code,assorted_code, rec_amount,premium_rcv_detail_code,remaining_amt, payrec, mode_code,coinsurance_code,class_cd,it_remarks) values</v>
      </c>
      <c r="G26" s="12" t="str">
        <f t="shared" si="2"/>
        <v>('27Nov240142','040000180617','1',(select max(to_number(i.premium_rcv_detail_code))+1
from ins_premium_det i),'1','1','02', '11000003','00','Request by Mr. Omair Ali 28-Nov-2024');</v>
      </c>
      <c r="H26" s="13" t="str">
        <f t="shared" si="3"/>
        <v>insert into ins_premium_det (premium_rcv_code,assorted_code, rec_amount,premium_rcv_detail_code,remaining_amt, payrec, mode_code,coinsurance_code,class_cd,it_remarks) values('27Nov240142','040000180617','1',(select max(to_number(i.premium_rcv_detail_code))+1
from ins_premium_det i),'1','1','02', '11000003','00','Request by Mr. Omair Ali 28-Nov-2024');</v>
      </c>
    </row>
    <row r="27" spans="1:8" ht="105.75" thickBot="1" x14ac:dyDescent="0.3">
      <c r="A27" s="3" t="s">
        <v>27</v>
      </c>
      <c r="B27" s="9" t="str">
        <f>VLOOKUP(A27,policy!B:C,2,0)</f>
        <v>040000180627</v>
      </c>
      <c r="C27" s="4">
        <v>1</v>
      </c>
      <c r="D27" s="10">
        <f t="shared" si="1"/>
        <v>1</v>
      </c>
      <c r="E27" s="8" t="s">
        <v>329</v>
      </c>
      <c r="F27" s="11" t="str">
        <f t="shared" si="0"/>
        <v>insert into ins_premium_det (premium_rcv_code,assorted_code, rec_amount,premium_rcv_detail_code,remaining_amt, payrec, mode_code,coinsurance_code,class_cd,it_remarks) values</v>
      </c>
      <c r="G27" s="12" t="str">
        <f t="shared" si="2"/>
        <v>('27Nov240142','040000180627','1',(select max(to_number(i.premium_rcv_detail_code))+1
from ins_premium_det i),'1','1','02', '11000003','00','Request by Mr. Omair Ali 28-Nov-2024');</v>
      </c>
      <c r="H27" s="13" t="str">
        <f t="shared" si="3"/>
        <v>insert into ins_premium_det (premium_rcv_code,assorted_code, rec_amount,premium_rcv_detail_code,remaining_amt, payrec, mode_code,coinsurance_code,class_cd,it_remarks) values('27Nov240142','040000180627','1',(select max(to_number(i.premium_rcv_detail_code))+1
from ins_premium_det i),'1','1','02', '11000003','00','Request by Mr. Omair Ali 28-Nov-2024');</v>
      </c>
    </row>
    <row r="28" spans="1:8" ht="105.75" thickBot="1" x14ac:dyDescent="0.3">
      <c r="A28" s="3" t="s">
        <v>28</v>
      </c>
      <c r="B28" s="9" t="str">
        <f>VLOOKUP(A28,policy!B:C,2,0)</f>
        <v>040000180645</v>
      </c>
      <c r="C28" s="4">
        <v>1</v>
      </c>
      <c r="D28" s="10">
        <f t="shared" si="1"/>
        <v>1</v>
      </c>
      <c r="E28" s="8" t="s">
        <v>329</v>
      </c>
      <c r="F28" s="11" t="str">
        <f t="shared" si="0"/>
        <v>insert into ins_premium_det (premium_rcv_code,assorted_code, rec_amount,premium_rcv_detail_code,remaining_amt, payrec, mode_code,coinsurance_code,class_cd,it_remarks) values</v>
      </c>
      <c r="G28" s="12" t="str">
        <f t="shared" si="2"/>
        <v>('27Nov240142','040000180645','1',(select max(to_number(i.premium_rcv_detail_code))+1
from ins_premium_det i),'1','1','02', '11000003','00','Request by Mr. Omair Ali 28-Nov-2024');</v>
      </c>
      <c r="H28" s="13" t="str">
        <f t="shared" si="3"/>
        <v>insert into ins_premium_det (premium_rcv_code,assorted_code, rec_amount,premium_rcv_detail_code,remaining_amt, payrec, mode_code,coinsurance_code,class_cd,it_remarks) values('27Nov240142','040000180645','1',(select max(to_number(i.premium_rcv_detail_code))+1
from ins_premium_det i),'1','1','02', '11000003','00','Request by Mr. Omair Ali 28-Nov-2024');</v>
      </c>
    </row>
    <row r="29" spans="1:8" ht="105.75" thickBot="1" x14ac:dyDescent="0.3">
      <c r="A29" s="3" t="s">
        <v>29</v>
      </c>
      <c r="B29" s="9" t="str">
        <f>VLOOKUP(A29,policy!B:C,2,0)</f>
        <v>040000180441</v>
      </c>
      <c r="C29" s="4">
        <v>1</v>
      </c>
      <c r="D29" s="10">
        <f t="shared" si="1"/>
        <v>1</v>
      </c>
      <c r="E29" s="8" t="s">
        <v>329</v>
      </c>
      <c r="F29" s="11" t="str">
        <f t="shared" si="0"/>
        <v>insert into ins_premium_det (premium_rcv_code,assorted_code, rec_amount,premium_rcv_detail_code,remaining_amt, payrec, mode_code,coinsurance_code,class_cd,it_remarks) values</v>
      </c>
      <c r="G29" s="12" t="str">
        <f t="shared" si="2"/>
        <v>('27Nov240142','040000180441','1',(select max(to_number(i.premium_rcv_detail_code))+1
from ins_premium_det i),'1','1','02', '11000003','00','Request by Mr. Omair Ali 28-Nov-2024');</v>
      </c>
      <c r="H29" s="13" t="str">
        <f t="shared" si="3"/>
        <v>insert into ins_premium_det (premium_rcv_code,assorted_code, rec_amount,premium_rcv_detail_code,remaining_amt, payrec, mode_code,coinsurance_code,class_cd,it_remarks) values('27Nov240142','040000180441','1',(select max(to_number(i.premium_rcv_detail_code))+1
from ins_premium_det i),'1','1','02', '11000003','00','Request by Mr. Omair Ali 28-Nov-2024');</v>
      </c>
    </row>
    <row r="30" spans="1:8" ht="105.75" thickBot="1" x14ac:dyDescent="0.3">
      <c r="A30" s="3" t="s">
        <v>30</v>
      </c>
      <c r="B30" s="9" t="str">
        <f>VLOOKUP(A30,policy!B:C,2,0)</f>
        <v>040000180626</v>
      </c>
      <c r="C30" s="4">
        <v>1</v>
      </c>
      <c r="D30" s="10">
        <f t="shared" si="1"/>
        <v>1</v>
      </c>
      <c r="E30" s="8" t="s">
        <v>329</v>
      </c>
      <c r="F30" s="11" t="str">
        <f t="shared" si="0"/>
        <v>insert into ins_premium_det (premium_rcv_code,assorted_code, rec_amount,premium_rcv_detail_code,remaining_amt, payrec, mode_code,coinsurance_code,class_cd,it_remarks) values</v>
      </c>
      <c r="G30" s="12" t="str">
        <f t="shared" si="2"/>
        <v>('27Nov240142','040000180626','1',(select max(to_number(i.premium_rcv_detail_code))+1
from ins_premium_det i),'1','1','02', '11000003','00','Request by Mr. Omair Ali 28-Nov-2024');</v>
      </c>
      <c r="H30" s="13" t="str">
        <f t="shared" si="3"/>
        <v>insert into ins_premium_det (premium_rcv_code,assorted_code, rec_amount,premium_rcv_detail_code,remaining_amt, payrec, mode_code,coinsurance_code,class_cd,it_remarks) values('27Nov240142','040000180626','1',(select max(to_number(i.premium_rcv_detail_code))+1
from ins_premium_det i),'1','1','02', '11000003','00','Request by Mr. Omair Ali 28-Nov-2024');</v>
      </c>
    </row>
    <row r="31" spans="1:8" ht="105.75" thickBot="1" x14ac:dyDescent="0.3">
      <c r="A31" s="3" t="s">
        <v>31</v>
      </c>
      <c r="B31" s="9" t="str">
        <f>VLOOKUP(A31,policy!B:C,2,0)</f>
        <v>040000180430</v>
      </c>
      <c r="C31" s="4">
        <v>1</v>
      </c>
      <c r="D31" s="10">
        <f t="shared" si="1"/>
        <v>1</v>
      </c>
      <c r="E31" s="8" t="s">
        <v>329</v>
      </c>
      <c r="F31" s="11" t="str">
        <f t="shared" si="0"/>
        <v>insert into ins_premium_det (premium_rcv_code,assorted_code, rec_amount,premium_rcv_detail_code,remaining_amt, payrec, mode_code,coinsurance_code,class_cd,it_remarks) values</v>
      </c>
      <c r="G31" s="12" t="str">
        <f t="shared" si="2"/>
        <v>('27Nov240142','040000180430','1',(select max(to_number(i.premium_rcv_detail_code))+1
from ins_premium_det i),'1','1','02', '11000003','00','Request by Mr. Omair Ali 28-Nov-2024');</v>
      </c>
      <c r="H31" s="13" t="str">
        <f t="shared" si="3"/>
        <v>insert into ins_premium_det (premium_rcv_code,assorted_code, rec_amount,premium_rcv_detail_code,remaining_amt, payrec, mode_code,coinsurance_code,class_cd,it_remarks) values('27Nov240142','040000180430','1',(select max(to_number(i.premium_rcv_detail_code))+1
from ins_premium_det i),'1','1','02', '11000003','00','Request by Mr. Omair Ali 28-Nov-2024');</v>
      </c>
    </row>
    <row r="32" spans="1:8" ht="105.75" thickBot="1" x14ac:dyDescent="0.3">
      <c r="A32" s="3" t="s">
        <v>32</v>
      </c>
      <c r="B32" s="9" t="str">
        <f>VLOOKUP(A32,policy!B:C,2,0)</f>
        <v>040000180429</v>
      </c>
      <c r="C32" s="4">
        <v>1</v>
      </c>
      <c r="D32" s="10">
        <f t="shared" si="1"/>
        <v>1</v>
      </c>
      <c r="E32" s="8" t="s">
        <v>329</v>
      </c>
      <c r="F32" s="11" t="str">
        <f t="shared" si="0"/>
        <v>insert into ins_premium_det (premium_rcv_code,assorted_code, rec_amount,premium_rcv_detail_code,remaining_amt, payrec, mode_code,coinsurance_code,class_cd,it_remarks) values</v>
      </c>
      <c r="G32" s="12" t="str">
        <f t="shared" si="2"/>
        <v>('27Nov240142','040000180429','1',(select max(to_number(i.premium_rcv_detail_code))+1
from ins_premium_det i),'1','1','02', '11000003','00','Request by Mr. Omair Ali 28-Nov-2024');</v>
      </c>
      <c r="H32" s="13" t="str">
        <f t="shared" si="3"/>
        <v>insert into ins_premium_det (premium_rcv_code,assorted_code, rec_amount,premium_rcv_detail_code,remaining_amt, payrec, mode_code,coinsurance_code,class_cd,it_remarks) values('27Nov240142','040000180429','1',(select max(to_number(i.premium_rcv_detail_code))+1
from ins_premium_det i),'1','1','02', '11000003','00','Request by Mr. Omair Ali 28-Nov-2024');</v>
      </c>
    </row>
    <row r="33" spans="1:8" ht="105.75" thickBot="1" x14ac:dyDescent="0.3">
      <c r="A33" s="3" t="s">
        <v>33</v>
      </c>
      <c r="B33" s="9" t="str">
        <f>VLOOKUP(A33,policy!B:C,2,0)</f>
        <v>040000180619</v>
      </c>
      <c r="C33" s="4">
        <v>1</v>
      </c>
      <c r="D33" s="10">
        <f t="shared" si="1"/>
        <v>1</v>
      </c>
      <c r="E33" s="8" t="s">
        <v>329</v>
      </c>
      <c r="F33" s="11" t="str">
        <f t="shared" si="0"/>
        <v>insert into ins_premium_det (premium_rcv_code,assorted_code, rec_amount,premium_rcv_detail_code,remaining_amt, payrec, mode_code,coinsurance_code,class_cd,it_remarks) values</v>
      </c>
      <c r="G33" s="12" t="str">
        <f t="shared" si="2"/>
        <v>('27Nov240142','040000180619','1',(select max(to_number(i.premium_rcv_detail_code))+1
from ins_premium_det i),'1','1','02', '11000003','00','Request by Mr. Omair Ali 28-Nov-2024');</v>
      </c>
      <c r="H33" s="13" t="str">
        <f t="shared" si="3"/>
        <v>insert into ins_premium_det (premium_rcv_code,assorted_code, rec_amount,premium_rcv_detail_code,remaining_amt, payrec, mode_code,coinsurance_code,class_cd,it_remarks) values('27Nov240142','040000180619','1',(select max(to_number(i.premium_rcv_detail_code))+1
from ins_premium_det i),'1','1','02', '11000003','00','Request by Mr. Omair Ali 28-Nov-2024');</v>
      </c>
    </row>
    <row r="34" spans="1:8" ht="105.75" thickBot="1" x14ac:dyDescent="0.3">
      <c r="A34" s="3" t="s">
        <v>34</v>
      </c>
      <c r="B34" s="9" t="str">
        <f>VLOOKUP(A34,policy!B:C,2,0)</f>
        <v>040000185817</v>
      </c>
      <c r="C34" s="4">
        <v>1</v>
      </c>
      <c r="D34" s="10">
        <f t="shared" si="1"/>
        <v>1</v>
      </c>
      <c r="E34" s="8" t="s">
        <v>329</v>
      </c>
      <c r="F34" s="11" t="str">
        <f t="shared" si="0"/>
        <v>insert into ins_premium_det (premium_rcv_code,assorted_code, rec_amount,premium_rcv_detail_code,remaining_amt, payrec, mode_code,coinsurance_code,class_cd,it_remarks) values</v>
      </c>
      <c r="G34" s="12" t="str">
        <f t="shared" si="2"/>
        <v>('27Nov240142','040000185817','1',(select max(to_number(i.premium_rcv_detail_code))+1
from ins_premium_det i),'1','1','02', '11000003','00','Request by Mr. Omair Ali 28-Nov-2024');</v>
      </c>
      <c r="H34" s="13" t="str">
        <f t="shared" si="3"/>
        <v>insert into ins_premium_det (premium_rcv_code,assorted_code, rec_amount,premium_rcv_detail_code,remaining_amt, payrec, mode_code,coinsurance_code,class_cd,it_remarks) values('27Nov240142','040000185817','1',(select max(to_number(i.premium_rcv_detail_code))+1
from ins_premium_det i),'1','1','02', '11000003','00','Request by Mr. Omair Ali 28-Nov-2024');</v>
      </c>
    </row>
    <row r="35" spans="1:8" ht="105.75" thickBot="1" x14ac:dyDescent="0.3">
      <c r="A35" s="3" t="s">
        <v>35</v>
      </c>
      <c r="B35" s="9" t="str">
        <f>VLOOKUP(A35,policy!B:C,2,0)</f>
        <v>040000187973</v>
      </c>
      <c r="C35" s="4">
        <v>1</v>
      </c>
      <c r="D35" s="10">
        <f t="shared" si="1"/>
        <v>1</v>
      </c>
      <c r="E35" s="8" t="s">
        <v>329</v>
      </c>
      <c r="F35" s="11" t="str">
        <f t="shared" si="0"/>
        <v>insert into ins_premium_det (premium_rcv_code,assorted_code, rec_amount,premium_rcv_detail_code,remaining_amt, payrec, mode_code,coinsurance_code,class_cd,it_remarks) values</v>
      </c>
      <c r="G35" s="12" t="str">
        <f t="shared" si="2"/>
        <v>('27Nov240142','040000187973','1',(select max(to_number(i.premium_rcv_detail_code))+1
from ins_premium_det i),'1','1','02', '11000003','00','Request by Mr. Omair Ali 28-Nov-2024');</v>
      </c>
      <c r="H35" s="13" t="str">
        <f t="shared" si="3"/>
        <v>insert into ins_premium_det (premium_rcv_code,assorted_code, rec_amount,premium_rcv_detail_code,remaining_amt, payrec, mode_code,coinsurance_code,class_cd,it_remarks) values('27Nov240142','040000187973','1',(select max(to_number(i.premium_rcv_detail_code))+1
from ins_premium_det i),'1','1','02', '11000003','00','Request by Mr. Omair Ali 28-Nov-2024');</v>
      </c>
    </row>
    <row r="36" spans="1:8" ht="105.75" thickBot="1" x14ac:dyDescent="0.3">
      <c r="A36" s="3" t="s">
        <v>36</v>
      </c>
      <c r="B36" s="9" t="str">
        <f>VLOOKUP(A36,policy!B:C,2,0)</f>
        <v>040000168484</v>
      </c>
      <c r="C36" s="4">
        <v>1</v>
      </c>
      <c r="D36" s="10">
        <f t="shared" si="1"/>
        <v>1</v>
      </c>
      <c r="E36" s="8" t="s">
        <v>329</v>
      </c>
      <c r="F36" s="11" t="str">
        <f t="shared" si="0"/>
        <v>insert into ins_premium_det (premium_rcv_code,assorted_code, rec_amount,premium_rcv_detail_code,remaining_amt, payrec, mode_code,coinsurance_code,class_cd,it_remarks) values</v>
      </c>
      <c r="G36" s="12" t="str">
        <f t="shared" si="2"/>
        <v>('27Nov240142','040000168484','1',(select max(to_number(i.premium_rcv_detail_code))+1
from ins_premium_det i),'1','1','02', '11000003','00','Request by Mr. Omair Ali 28-Nov-2024');</v>
      </c>
      <c r="H36" s="13" t="str">
        <f t="shared" si="3"/>
        <v>insert into ins_premium_det (premium_rcv_code,assorted_code, rec_amount,premium_rcv_detail_code,remaining_amt, payrec, mode_code,coinsurance_code,class_cd,it_remarks) values('27Nov240142','040000168484','1',(select max(to_number(i.premium_rcv_detail_code))+1
from ins_premium_det i),'1','1','02', '11000003','00','Request by Mr. Omair Ali 28-Nov-2024');</v>
      </c>
    </row>
    <row r="37" spans="1:8" ht="105.75" thickBot="1" x14ac:dyDescent="0.3">
      <c r="A37" s="3" t="s">
        <v>37</v>
      </c>
      <c r="B37" s="9" t="str">
        <f>VLOOKUP(A37,policy!B:C,2,0)</f>
        <v>040000162053</v>
      </c>
      <c r="C37" s="4">
        <v>1</v>
      </c>
      <c r="D37" s="10">
        <f t="shared" si="1"/>
        <v>1</v>
      </c>
      <c r="E37" s="8" t="s">
        <v>329</v>
      </c>
      <c r="F37" s="11" t="str">
        <f t="shared" si="0"/>
        <v>insert into ins_premium_det (premium_rcv_code,assorted_code, rec_amount,premium_rcv_detail_code,remaining_amt, payrec, mode_code,coinsurance_code,class_cd,it_remarks) values</v>
      </c>
      <c r="G37" s="12" t="str">
        <f t="shared" si="2"/>
        <v>('27Nov240142','040000162053','1',(select max(to_number(i.premium_rcv_detail_code))+1
from ins_premium_det i),'1','1','02', '11000003','00','Request by Mr. Omair Ali 28-Nov-2024');</v>
      </c>
      <c r="H37" s="13" t="str">
        <f t="shared" si="3"/>
        <v>insert into ins_premium_det (premium_rcv_code,assorted_code, rec_amount,premium_rcv_detail_code,remaining_amt, payrec, mode_code,coinsurance_code,class_cd,it_remarks) values('27Nov240142','040000162053','1',(select max(to_number(i.premium_rcv_detail_code))+1
from ins_premium_det i),'1','1','02', '11000003','00','Request by Mr. Omair Ali 28-Nov-2024');</v>
      </c>
    </row>
    <row r="38" spans="1:8" ht="105.75" thickBot="1" x14ac:dyDescent="0.3">
      <c r="A38" s="3" t="s">
        <v>38</v>
      </c>
      <c r="B38" s="9" t="str">
        <f>VLOOKUP(A38,policy!B:C,2,0)</f>
        <v>040000188010</v>
      </c>
      <c r="C38" s="4">
        <v>1</v>
      </c>
      <c r="D38" s="10">
        <f t="shared" si="1"/>
        <v>1</v>
      </c>
      <c r="E38" s="8" t="s">
        <v>329</v>
      </c>
      <c r="F38" s="11" t="str">
        <f t="shared" si="0"/>
        <v>insert into ins_premium_det (premium_rcv_code,assorted_code, rec_amount,premium_rcv_detail_code,remaining_amt, payrec, mode_code,coinsurance_code,class_cd,it_remarks) values</v>
      </c>
      <c r="G38" s="12" t="str">
        <f t="shared" si="2"/>
        <v>('27Nov240142','040000188010','1',(select max(to_number(i.premium_rcv_detail_code))+1
from ins_premium_det i),'1','1','02', '11000003','00','Request by Mr. Omair Ali 28-Nov-2024');</v>
      </c>
      <c r="H38" s="13" t="str">
        <f t="shared" si="3"/>
        <v>insert into ins_premium_det (premium_rcv_code,assorted_code, rec_amount,premium_rcv_detail_code,remaining_amt, payrec, mode_code,coinsurance_code,class_cd,it_remarks) values('27Nov240142','040000188010','1',(select max(to_number(i.premium_rcv_detail_code))+1
from ins_premium_det i),'1','1','02', '11000003','00','Request by Mr. Omair Ali 28-Nov-2024');</v>
      </c>
    </row>
    <row r="39" spans="1:8" ht="105.75" thickBot="1" x14ac:dyDescent="0.3">
      <c r="A39" s="3" t="s">
        <v>39</v>
      </c>
      <c r="B39" s="9" t="str">
        <f>VLOOKUP(A39,policy!B:C,2,0)</f>
        <v>040000152648</v>
      </c>
      <c r="C39" s="4">
        <v>1</v>
      </c>
      <c r="D39" s="10">
        <f t="shared" si="1"/>
        <v>1</v>
      </c>
      <c r="E39" s="8" t="s">
        <v>329</v>
      </c>
      <c r="F39" s="11" t="str">
        <f t="shared" si="0"/>
        <v>insert into ins_premium_det (premium_rcv_code,assorted_code, rec_amount,premium_rcv_detail_code,remaining_amt, payrec, mode_code,coinsurance_code,class_cd,it_remarks) values</v>
      </c>
      <c r="G39" s="12" t="str">
        <f t="shared" si="2"/>
        <v>('27Nov240142','040000152648','1',(select max(to_number(i.premium_rcv_detail_code))+1
from ins_premium_det i),'1','1','02', '11000003','00','Request by Mr. Omair Ali 28-Nov-2024');</v>
      </c>
      <c r="H39" s="13" t="str">
        <f t="shared" si="3"/>
        <v>insert into ins_premium_det (premium_rcv_code,assorted_code, rec_amount,premium_rcv_detail_code,remaining_amt, payrec, mode_code,coinsurance_code,class_cd,it_remarks) values('27Nov240142','040000152648','1',(select max(to_number(i.premium_rcv_detail_code))+1
from ins_premium_det i),'1','1','02', '11000003','00','Request by Mr. Omair Ali 28-Nov-2024');</v>
      </c>
    </row>
    <row r="40" spans="1:8" ht="105.75" thickBot="1" x14ac:dyDescent="0.3">
      <c r="A40" s="3" t="s">
        <v>40</v>
      </c>
      <c r="B40" s="9" t="str">
        <f>VLOOKUP(A40,policy!B:C,2,0)</f>
        <v>040000185829</v>
      </c>
      <c r="C40" s="4">
        <v>1</v>
      </c>
      <c r="D40" s="10">
        <f t="shared" si="1"/>
        <v>1</v>
      </c>
      <c r="E40" s="8" t="s">
        <v>329</v>
      </c>
      <c r="F40" s="11" t="str">
        <f t="shared" si="0"/>
        <v>insert into ins_premium_det (premium_rcv_code,assorted_code, rec_amount,premium_rcv_detail_code,remaining_amt, payrec, mode_code,coinsurance_code,class_cd,it_remarks) values</v>
      </c>
      <c r="G40" s="12" t="str">
        <f t="shared" si="2"/>
        <v>('27Nov240142','040000185829','1',(select max(to_number(i.premium_rcv_detail_code))+1
from ins_premium_det i),'1','1','02', '11000003','00','Request by Mr. Omair Ali 28-Nov-2024');</v>
      </c>
      <c r="H40" s="13" t="str">
        <f t="shared" si="3"/>
        <v>insert into ins_premium_det (premium_rcv_code,assorted_code, rec_amount,premium_rcv_detail_code,remaining_amt, payrec, mode_code,coinsurance_code,class_cd,it_remarks) values('27Nov240142','040000185829','1',(select max(to_number(i.premium_rcv_detail_code))+1
from ins_premium_det i),'1','1','02', '11000003','00','Request by Mr. Omair Ali 28-Nov-2024');</v>
      </c>
    </row>
    <row r="41" spans="1:8" ht="105.75" thickBot="1" x14ac:dyDescent="0.3">
      <c r="A41" s="3" t="s">
        <v>41</v>
      </c>
      <c r="B41" s="9" t="str">
        <f>VLOOKUP(A41,policy!B:C,2,0)</f>
        <v>040000130724</v>
      </c>
      <c r="C41" s="4">
        <v>1</v>
      </c>
      <c r="D41" s="10">
        <f t="shared" si="1"/>
        <v>1</v>
      </c>
      <c r="E41" s="8" t="s">
        <v>329</v>
      </c>
      <c r="F41" s="11" t="str">
        <f t="shared" si="0"/>
        <v>insert into ins_premium_det (premium_rcv_code,assorted_code, rec_amount,premium_rcv_detail_code,remaining_amt, payrec, mode_code,coinsurance_code,class_cd,it_remarks) values</v>
      </c>
      <c r="G41" s="12" t="str">
        <f t="shared" si="2"/>
        <v>('27Nov240142','040000130724','1',(select max(to_number(i.premium_rcv_detail_code))+1
from ins_premium_det i),'1','1','02', '11000003','00','Request by Mr. Omair Ali 28-Nov-2024');</v>
      </c>
      <c r="H41" s="13" t="str">
        <f t="shared" si="3"/>
        <v>insert into ins_premium_det (premium_rcv_code,assorted_code, rec_amount,premium_rcv_detail_code,remaining_amt, payrec, mode_code,coinsurance_code,class_cd,it_remarks) values('27Nov240142','040000130724','1',(select max(to_number(i.premium_rcv_detail_code))+1
from ins_premium_det i),'1','1','02', '11000003','00','Request by Mr. Omair Ali 28-Nov-2024');</v>
      </c>
    </row>
    <row r="42" spans="1:8" ht="105.75" thickBot="1" x14ac:dyDescent="0.3">
      <c r="A42" s="3" t="s">
        <v>42</v>
      </c>
      <c r="B42" s="9" t="str">
        <f>VLOOKUP(A42,policy!B:C,2,0)</f>
        <v>040000172590</v>
      </c>
      <c r="C42" s="4">
        <v>1</v>
      </c>
      <c r="D42" s="10">
        <f t="shared" si="1"/>
        <v>1</v>
      </c>
      <c r="E42" s="8" t="s">
        <v>329</v>
      </c>
      <c r="F42" s="11" t="str">
        <f t="shared" si="0"/>
        <v>insert into ins_premium_det (premium_rcv_code,assorted_code, rec_amount,premium_rcv_detail_code,remaining_amt, payrec, mode_code,coinsurance_code,class_cd,it_remarks) values</v>
      </c>
      <c r="G42" s="12" t="str">
        <f t="shared" si="2"/>
        <v>('27Nov240142','040000172590','1',(select max(to_number(i.premium_rcv_detail_code))+1
from ins_premium_det i),'1','1','02', '11000003','00','Request by Mr. Omair Ali 28-Nov-2024');</v>
      </c>
      <c r="H42" s="13" t="str">
        <f t="shared" si="3"/>
        <v>insert into ins_premium_det (premium_rcv_code,assorted_code, rec_amount,premium_rcv_detail_code,remaining_amt, payrec, mode_code,coinsurance_code,class_cd,it_remarks) values('27Nov240142','040000172590','1',(select max(to_number(i.premium_rcv_detail_code))+1
from ins_premium_det i),'1','1','02', '11000003','00','Request by Mr. Omair Ali 28-Nov-2024');</v>
      </c>
    </row>
    <row r="43" spans="1:8" ht="105.75" thickBot="1" x14ac:dyDescent="0.3">
      <c r="A43" s="3" t="s">
        <v>43</v>
      </c>
      <c r="B43" s="9" t="str">
        <f>VLOOKUP(A43,policy!B:C,2,0)</f>
        <v>040000186199</v>
      </c>
      <c r="C43" s="4">
        <v>1</v>
      </c>
      <c r="D43" s="10">
        <f t="shared" si="1"/>
        <v>1</v>
      </c>
      <c r="E43" s="8" t="s">
        <v>329</v>
      </c>
      <c r="F43" s="11" t="str">
        <f t="shared" si="0"/>
        <v>insert into ins_premium_det (premium_rcv_code,assorted_code, rec_amount,premium_rcv_detail_code,remaining_amt, payrec, mode_code,coinsurance_code,class_cd,it_remarks) values</v>
      </c>
      <c r="G43" s="12" t="str">
        <f t="shared" si="2"/>
        <v>('27Nov240142','040000186199','1',(select max(to_number(i.premium_rcv_detail_code))+1
from ins_premium_det i),'1','1','02', '11000003','00','Request by Mr. Omair Ali 28-Nov-2024');</v>
      </c>
      <c r="H43" s="13" t="str">
        <f t="shared" si="3"/>
        <v>insert into ins_premium_det (premium_rcv_code,assorted_code, rec_amount,premium_rcv_detail_code,remaining_amt, payrec, mode_code,coinsurance_code,class_cd,it_remarks) values('27Nov240142','040000186199','1',(select max(to_number(i.premium_rcv_detail_code))+1
from ins_premium_det i),'1','1','02', '11000003','00','Request by Mr. Omair Ali 28-Nov-2024');</v>
      </c>
    </row>
    <row r="44" spans="1:8" ht="105.75" thickBot="1" x14ac:dyDescent="0.3">
      <c r="A44" s="3" t="s">
        <v>44</v>
      </c>
      <c r="B44" s="9" t="str">
        <f>VLOOKUP(A44,policy!B:C,2,0)</f>
        <v>040000172963</v>
      </c>
      <c r="C44" s="4">
        <v>1</v>
      </c>
      <c r="D44" s="10">
        <f t="shared" si="1"/>
        <v>1</v>
      </c>
      <c r="E44" s="8" t="s">
        <v>329</v>
      </c>
      <c r="F44" s="11" t="str">
        <f t="shared" si="0"/>
        <v>insert into ins_premium_det (premium_rcv_code,assorted_code, rec_amount,premium_rcv_detail_code,remaining_amt, payrec, mode_code,coinsurance_code,class_cd,it_remarks) values</v>
      </c>
      <c r="G44" s="12" t="str">
        <f t="shared" si="2"/>
        <v>('27Nov240142','040000172963','1',(select max(to_number(i.premium_rcv_detail_code))+1
from ins_premium_det i),'1','1','02', '11000003','00','Request by Mr. Omair Ali 28-Nov-2024');</v>
      </c>
      <c r="H44" s="13" t="str">
        <f t="shared" si="3"/>
        <v>insert into ins_premium_det (premium_rcv_code,assorted_code, rec_amount,premium_rcv_detail_code,remaining_amt, payrec, mode_code,coinsurance_code,class_cd,it_remarks) values('27Nov240142','040000172963','1',(select max(to_number(i.premium_rcv_detail_code))+1
from ins_premium_det i),'1','1','02', '11000003','00','Request by Mr. Omair Ali 28-Nov-2024');</v>
      </c>
    </row>
    <row r="45" spans="1:8" ht="105.75" thickBot="1" x14ac:dyDescent="0.3">
      <c r="A45" s="3" t="s">
        <v>45</v>
      </c>
      <c r="B45" s="9" t="str">
        <f>VLOOKUP(A45,policy!B:C,2,0)</f>
        <v>040000163693</v>
      </c>
      <c r="C45" s="4">
        <v>1</v>
      </c>
      <c r="D45" s="10">
        <f t="shared" si="1"/>
        <v>1</v>
      </c>
      <c r="E45" s="8" t="s">
        <v>329</v>
      </c>
      <c r="F45" s="11" t="str">
        <f t="shared" si="0"/>
        <v>insert into ins_premium_det (premium_rcv_code,assorted_code, rec_amount,premium_rcv_detail_code,remaining_amt, payrec, mode_code,coinsurance_code,class_cd,it_remarks) values</v>
      </c>
      <c r="G45" s="12" t="str">
        <f t="shared" si="2"/>
        <v>('27Nov240142','040000163693','1',(select max(to_number(i.premium_rcv_detail_code))+1
from ins_premium_det i),'1','1','02', '11000003','00','Request by Mr. Omair Ali 28-Nov-2024');</v>
      </c>
      <c r="H45" s="13" t="str">
        <f t="shared" si="3"/>
        <v>insert into ins_premium_det (premium_rcv_code,assorted_code, rec_amount,premium_rcv_detail_code,remaining_amt, payrec, mode_code,coinsurance_code,class_cd,it_remarks) values('27Nov240142','040000163693','1',(select max(to_number(i.premium_rcv_detail_code))+1
from ins_premium_det i),'1','1','02', '11000003','00','Request by Mr. Omair Ali 28-Nov-2024');</v>
      </c>
    </row>
    <row r="46" spans="1:8" ht="105.75" thickBot="1" x14ac:dyDescent="0.3">
      <c r="A46" s="3" t="s">
        <v>46</v>
      </c>
      <c r="B46" s="9" t="str">
        <f>VLOOKUP(A46,policy!B:C,2,0)</f>
        <v>040000173375</v>
      </c>
      <c r="C46" s="4">
        <v>1</v>
      </c>
      <c r="D46" s="10">
        <f t="shared" si="1"/>
        <v>1</v>
      </c>
      <c r="E46" s="8" t="s">
        <v>329</v>
      </c>
      <c r="F46" s="11" t="str">
        <f t="shared" si="0"/>
        <v>insert into ins_premium_det (premium_rcv_code,assorted_code, rec_amount,premium_rcv_detail_code,remaining_amt, payrec, mode_code,coinsurance_code,class_cd,it_remarks) values</v>
      </c>
      <c r="G46" s="12" t="str">
        <f t="shared" si="2"/>
        <v>('27Nov240142','040000173375','1',(select max(to_number(i.premium_rcv_detail_code))+1
from ins_premium_det i),'1','1','02', '11000003','00','Request by Mr. Omair Ali 28-Nov-2024');</v>
      </c>
      <c r="H46" s="13" t="str">
        <f t="shared" si="3"/>
        <v>insert into ins_premium_det (premium_rcv_code,assorted_code, rec_amount,premium_rcv_detail_code,remaining_amt, payrec, mode_code,coinsurance_code,class_cd,it_remarks) values('27Nov240142','040000173375','1',(select max(to_number(i.premium_rcv_detail_code))+1
from ins_premium_det i),'1','1','02', '11000003','00','Request by Mr. Omair Ali 28-Nov-2024');</v>
      </c>
    </row>
    <row r="47" spans="1:8" ht="105.75" thickBot="1" x14ac:dyDescent="0.3">
      <c r="A47" s="3" t="s">
        <v>47</v>
      </c>
      <c r="B47" s="9" t="str">
        <f>VLOOKUP(A47,policy!B:C,2,0)</f>
        <v>040000185349</v>
      </c>
      <c r="C47" s="4">
        <v>1</v>
      </c>
      <c r="D47" s="10">
        <f t="shared" si="1"/>
        <v>1</v>
      </c>
      <c r="E47" s="8" t="s">
        <v>329</v>
      </c>
      <c r="F47" s="11" t="str">
        <f t="shared" si="0"/>
        <v>insert into ins_premium_det (premium_rcv_code,assorted_code, rec_amount,premium_rcv_detail_code,remaining_amt, payrec, mode_code,coinsurance_code,class_cd,it_remarks) values</v>
      </c>
      <c r="G47" s="12" t="str">
        <f t="shared" si="2"/>
        <v>('27Nov240142','040000185349','1',(select max(to_number(i.premium_rcv_detail_code))+1
from ins_premium_det i),'1','1','02', '11000003','00','Request by Mr. Omair Ali 28-Nov-2024');</v>
      </c>
      <c r="H47" s="13" t="str">
        <f t="shared" si="3"/>
        <v>insert into ins_premium_det (premium_rcv_code,assorted_code, rec_amount,premium_rcv_detail_code,remaining_amt, payrec, mode_code,coinsurance_code,class_cd,it_remarks) values('27Nov240142','040000185349','1',(select max(to_number(i.premium_rcv_detail_code))+1
from ins_premium_det i),'1','1','02', '11000003','00','Request by Mr. Omair Ali 28-Nov-2024');</v>
      </c>
    </row>
    <row r="48" spans="1:8" ht="105.75" thickBot="1" x14ac:dyDescent="0.3">
      <c r="A48" s="3" t="s">
        <v>48</v>
      </c>
      <c r="B48" s="9" t="str">
        <f>VLOOKUP(A48,policy!B:C,2,0)</f>
        <v>040000188689</v>
      </c>
      <c r="C48" s="4">
        <v>1</v>
      </c>
      <c r="D48" s="10">
        <f t="shared" si="1"/>
        <v>1</v>
      </c>
      <c r="E48" s="8" t="s">
        <v>329</v>
      </c>
      <c r="F48" s="11" t="str">
        <f t="shared" si="0"/>
        <v>insert into ins_premium_det (premium_rcv_code,assorted_code, rec_amount,premium_rcv_detail_code,remaining_amt, payrec, mode_code,coinsurance_code,class_cd,it_remarks) values</v>
      </c>
      <c r="G48" s="12" t="str">
        <f t="shared" si="2"/>
        <v>('27Nov240142','040000188689','1',(select max(to_number(i.premium_rcv_detail_code))+1
from ins_premium_det i),'1','1','02', '11000003','00','Request by Mr. Omair Ali 28-Nov-2024');</v>
      </c>
      <c r="H48" s="13" t="str">
        <f t="shared" si="3"/>
        <v>insert into ins_premium_det (premium_rcv_code,assorted_code, rec_amount,premium_rcv_detail_code,remaining_amt, payrec, mode_code,coinsurance_code,class_cd,it_remarks) values('27Nov240142','040000188689','1',(select max(to_number(i.premium_rcv_detail_code))+1
from ins_premium_det i),'1','1','02', '11000003','00','Request by Mr. Omair Ali 28-Nov-2024');</v>
      </c>
    </row>
    <row r="49" spans="1:8" ht="105.75" thickBot="1" x14ac:dyDescent="0.3">
      <c r="A49" s="3" t="s">
        <v>49</v>
      </c>
      <c r="B49" s="9" t="str">
        <f>VLOOKUP(A49,policy!B:C,2,0)</f>
        <v>040000186169</v>
      </c>
      <c r="C49" s="4">
        <v>1</v>
      </c>
      <c r="D49" s="10">
        <f t="shared" si="1"/>
        <v>1</v>
      </c>
      <c r="E49" s="8" t="s">
        <v>329</v>
      </c>
      <c r="F49" s="11" t="str">
        <f t="shared" si="0"/>
        <v>insert into ins_premium_det (premium_rcv_code,assorted_code, rec_amount,premium_rcv_detail_code,remaining_amt, payrec, mode_code,coinsurance_code,class_cd,it_remarks) values</v>
      </c>
      <c r="G49" s="12" t="str">
        <f t="shared" si="2"/>
        <v>('27Nov240142','040000186169','1',(select max(to_number(i.premium_rcv_detail_code))+1
from ins_premium_det i),'1','1','02', '11000003','00','Request by Mr. Omair Ali 28-Nov-2024');</v>
      </c>
      <c r="H49" s="13" t="str">
        <f t="shared" si="3"/>
        <v>insert into ins_premium_det (premium_rcv_code,assorted_code, rec_amount,premium_rcv_detail_code,remaining_amt, payrec, mode_code,coinsurance_code,class_cd,it_remarks) values('27Nov240142','040000186169','1',(select max(to_number(i.premium_rcv_detail_code))+1
from ins_premium_det i),'1','1','02', '11000003','00','Request by Mr. Omair Ali 28-Nov-2024');</v>
      </c>
    </row>
    <row r="50" spans="1:8" ht="105.75" thickBot="1" x14ac:dyDescent="0.3">
      <c r="A50" s="3" t="s">
        <v>50</v>
      </c>
      <c r="B50" s="9" t="str">
        <f>VLOOKUP(A50,policy!B:C,2,0)</f>
        <v>040000175085</v>
      </c>
      <c r="C50" s="4">
        <v>1</v>
      </c>
      <c r="D50" s="10">
        <f t="shared" si="1"/>
        <v>1</v>
      </c>
      <c r="E50" s="8" t="s">
        <v>329</v>
      </c>
      <c r="F50" s="11" t="str">
        <f t="shared" si="0"/>
        <v>insert into ins_premium_det (premium_rcv_code,assorted_code, rec_amount,premium_rcv_detail_code,remaining_amt, payrec, mode_code,coinsurance_code,class_cd,it_remarks) values</v>
      </c>
      <c r="G50" s="12" t="str">
        <f t="shared" si="2"/>
        <v>('27Nov240142','040000175085','1',(select max(to_number(i.premium_rcv_detail_code))+1
from ins_premium_det i),'1','1','02', '11000003','00','Request by Mr. Omair Ali 28-Nov-2024');</v>
      </c>
      <c r="H50" s="13" t="str">
        <f t="shared" si="3"/>
        <v>insert into ins_premium_det (premium_rcv_code,assorted_code, rec_amount,premium_rcv_detail_code,remaining_amt, payrec, mode_code,coinsurance_code,class_cd,it_remarks) values('27Nov240142','040000175085','1',(select max(to_number(i.premium_rcv_detail_code))+1
from ins_premium_det i),'1','1','02', '11000003','00','Request by Mr. Omair Ali 28-Nov-2024');</v>
      </c>
    </row>
    <row r="51" spans="1:8" ht="105.75" thickBot="1" x14ac:dyDescent="0.3">
      <c r="A51" s="3" t="s">
        <v>51</v>
      </c>
      <c r="B51" s="9" t="str">
        <f>VLOOKUP(A51,policy!B:C,2,0)</f>
        <v>040000171583</v>
      </c>
      <c r="C51" s="4">
        <v>1</v>
      </c>
      <c r="D51" s="10">
        <f t="shared" si="1"/>
        <v>1</v>
      </c>
      <c r="E51" s="8" t="s">
        <v>329</v>
      </c>
      <c r="F51" s="11" t="str">
        <f t="shared" si="0"/>
        <v>insert into ins_premium_det (premium_rcv_code,assorted_code, rec_amount,premium_rcv_detail_code,remaining_amt, payrec, mode_code,coinsurance_code,class_cd,it_remarks) values</v>
      </c>
      <c r="G51" s="12" t="str">
        <f t="shared" si="2"/>
        <v>('27Nov240142','040000171583','1',(select max(to_number(i.premium_rcv_detail_code))+1
from ins_premium_det i),'1','1','02', '11000003','00','Request by Mr. Omair Ali 28-Nov-2024');</v>
      </c>
      <c r="H51" s="13" t="str">
        <f t="shared" si="3"/>
        <v>insert into ins_premium_det (premium_rcv_code,assorted_code, rec_amount,premium_rcv_detail_code,remaining_amt, payrec, mode_code,coinsurance_code,class_cd,it_remarks) values('27Nov240142','040000171583','1',(select max(to_number(i.premium_rcv_detail_code))+1
from ins_premium_det i),'1','1','02', '11000003','00','Request by Mr. Omair Ali 28-Nov-2024');</v>
      </c>
    </row>
    <row r="52" spans="1:8" ht="105.75" thickBot="1" x14ac:dyDescent="0.3">
      <c r="A52" s="3" t="s">
        <v>52</v>
      </c>
      <c r="B52" s="9" t="str">
        <f>VLOOKUP(A52,policy!B:C,2,0)</f>
        <v>040000178204</v>
      </c>
      <c r="C52" s="4">
        <v>1</v>
      </c>
      <c r="D52" s="10">
        <f t="shared" si="1"/>
        <v>1</v>
      </c>
      <c r="E52" s="8" t="s">
        <v>329</v>
      </c>
      <c r="F52" s="11" t="str">
        <f t="shared" si="0"/>
        <v>insert into ins_premium_det (premium_rcv_code,assorted_code, rec_amount,premium_rcv_detail_code,remaining_amt, payrec, mode_code,coinsurance_code,class_cd,it_remarks) values</v>
      </c>
      <c r="G52" s="12" t="str">
        <f t="shared" si="2"/>
        <v>('27Nov240142','040000178204','1',(select max(to_number(i.premium_rcv_detail_code))+1
from ins_premium_det i),'1','1','02', '11000003','00','Request by Mr. Omair Ali 28-Nov-2024');</v>
      </c>
      <c r="H52" s="13" t="str">
        <f t="shared" si="3"/>
        <v>insert into ins_premium_det (premium_rcv_code,assorted_code, rec_amount,premium_rcv_detail_code,remaining_amt, payrec, mode_code,coinsurance_code,class_cd,it_remarks) values('27Nov240142','040000178204','1',(select max(to_number(i.premium_rcv_detail_code))+1
from ins_premium_det i),'1','1','02', '11000003','00','Request by Mr. Omair Ali 28-Nov-2024');</v>
      </c>
    </row>
    <row r="53" spans="1:8" ht="105.75" thickBot="1" x14ac:dyDescent="0.3">
      <c r="A53" s="3" t="s">
        <v>53</v>
      </c>
      <c r="B53" s="9" t="str">
        <f>VLOOKUP(A53,policy!B:C,2,0)</f>
        <v>040000155541</v>
      </c>
      <c r="C53" s="4">
        <v>1</v>
      </c>
      <c r="D53" s="10">
        <f t="shared" si="1"/>
        <v>1</v>
      </c>
      <c r="E53" s="8" t="s">
        <v>329</v>
      </c>
      <c r="F53" s="11" t="str">
        <f t="shared" si="0"/>
        <v>insert into ins_premium_det (premium_rcv_code,assorted_code, rec_amount,premium_rcv_detail_code,remaining_amt, payrec, mode_code,coinsurance_code,class_cd,it_remarks) values</v>
      </c>
      <c r="G53" s="12" t="str">
        <f t="shared" si="2"/>
        <v>('27Nov240142','040000155541','1',(select max(to_number(i.premium_rcv_detail_code))+1
from ins_premium_det i),'1','1','02', '11000003','00','Request by Mr. Omair Ali 28-Nov-2024');</v>
      </c>
      <c r="H53" s="13" t="str">
        <f t="shared" si="3"/>
        <v>insert into ins_premium_det (premium_rcv_code,assorted_code, rec_amount,premium_rcv_detail_code,remaining_amt, payrec, mode_code,coinsurance_code,class_cd,it_remarks) values('27Nov240142','040000155541','1',(select max(to_number(i.premium_rcv_detail_code))+1
from ins_premium_det i),'1','1','02', '11000003','00','Request by Mr. Omair Ali 28-Nov-2024');</v>
      </c>
    </row>
    <row r="54" spans="1:8" ht="105.75" thickBot="1" x14ac:dyDescent="0.3">
      <c r="A54" s="3" t="s">
        <v>54</v>
      </c>
      <c r="B54" s="9" t="str">
        <f>VLOOKUP(A54,policy!B:C,2,0)</f>
        <v>040000178264</v>
      </c>
      <c r="C54" s="4">
        <v>1</v>
      </c>
      <c r="D54" s="10">
        <f t="shared" si="1"/>
        <v>1</v>
      </c>
      <c r="E54" s="8" t="s">
        <v>329</v>
      </c>
      <c r="F54" s="11" t="str">
        <f t="shared" si="0"/>
        <v>insert into ins_premium_det (premium_rcv_code,assorted_code, rec_amount,premium_rcv_detail_code,remaining_amt, payrec, mode_code,coinsurance_code,class_cd,it_remarks) values</v>
      </c>
      <c r="G54" s="12" t="str">
        <f t="shared" si="2"/>
        <v>('27Nov240142','040000178264','1',(select max(to_number(i.premium_rcv_detail_code))+1
from ins_premium_det i),'1','1','02', '11000003','00','Request by Mr. Omair Ali 28-Nov-2024');</v>
      </c>
      <c r="H54" s="13" t="str">
        <f t="shared" si="3"/>
        <v>insert into ins_premium_det (premium_rcv_code,assorted_code, rec_amount,premium_rcv_detail_code,remaining_amt, payrec, mode_code,coinsurance_code,class_cd,it_remarks) values('27Nov240142','040000178264','1',(select max(to_number(i.premium_rcv_detail_code))+1
from ins_premium_det i),'1','1','02', '11000003','00','Request by Mr. Omair Ali 28-Nov-2024');</v>
      </c>
    </row>
    <row r="55" spans="1:8" ht="105.75" thickBot="1" x14ac:dyDescent="0.3">
      <c r="A55" s="3" t="s">
        <v>55</v>
      </c>
      <c r="B55" s="9" t="str">
        <f>VLOOKUP(A55,policy!B:C,2,0)</f>
        <v>040000169617</v>
      </c>
      <c r="C55" s="4">
        <v>1</v>
      </c>
      <c r="D55" s="10">
        <f t="shared" si="1"/>
        <v>1</v>
      </c>
      <c r="E55" s="8" t="s">
        <v>329</v>
      </c>
      <c r="F55" s="11" t="str">
        <f t="shared" si="0"/>
        <v>insert into ins_premium_det (premium_rcv_code,assorted_code, rec_amount,premium_rcv_detail_code,remaining_amt, payrec, mode_code,coinsurance_code,class_cd,it_remarks) values</v>
      </c>
      <c r="G55" s="12" t="str">
        <f t="shared" si="2"/>
        <v>('27Nov240142','040000169617','1',(select max(to_number(i.premium_rcv_detail_code))+1
from ins_premium_det i),'1','1','02', '11000003','00','Request by Mr. Omair Ali 28-Nov-2024');</v>
      </c>
      <c r="H55" s="13" t="str">
        <f t="shared" si="3"/>
        <v>insert into ins_premium_det (premium_rcv_code,assorted_code, rec_amount,premium_rcv_detail_code,remaining_amt, payrec, mode_code,coinsurance_code,class_cd,it_remarks) values('27Nov240142','040000169617','1',(select max(to_number(i.premium_rcv_detail_code))+1
from ins_premium_det i),'1','1','02', '11000003','00','Request by Mr. Omair Ali 28-Nov-2024');</v>
      </c>
    </row>
    <row r="56" spans="1:8" ht="105.75" thickBot="1" x14ac:dyDescent="0.3">
      <c r="A56" s="3" t="s">
        <v>56</v>
      </c>
      <c r="B56" s="9" t="str">
        <f>VLOOKUP(A56,policy!B:C,2,0)</f>
        <v>040000187187</v>
      </c>
      <c r="C56" s="4">
        <v>1</v>
      </c>
      <c r="D56" s="10">
        <f t="shared" si="1"/>
        <v>1</v>
      </c>
      <c r="E56" s="8" t="s">
        <v>329</v>
      </c>
      <c r="F56" s="11" t="str">
        <f t="shared" si="0"/>
        <v>insert into ins_premium_det (premium_rcv_code,assorted_code, rec_amount,premium_rcv_detail_code,remaining_amt, payrec, mode_code,coinsurance_code,class_cd,it_remarks) values</v>
      </c>
      <c r="G56" s="12" t="str">
        <f t="shared" si="2"/>
        <v>('27Nov240142','040000187187','1',(select max(to_number(i.premium_rcv_detail_code))+1
from ins_premium_det i),'1','1','02', '11000003','00','Request by Mr. Omair Ali 28-Nov-2024');</v>
      </c>
      <c r="H56" s="13" t="str">
        <f t="shared" si="3"/>
        <v>insert into ins_premium_det (premium_rcv_code,assorted_code, rec_amount,premium_rcv_detail_code,remaining_amt, payrec, mode_code,coinsurance_code,class_cd,it_remarks) values('27Nov240142','040000187187','1',(select max(to_number(i.premium_rcv_detail_code))+1
from ins_premium_det i),'1','1','02', '11000003','00','Request by Mr. Omair Ali 28-Nov-2024');</v>
      </c>
    </row>
    <row r="57" spans="1:8" ht="105.75" thickBot="1" x14ac:dyDescent="0.3">
      <c r="A57" s="3" t="s">
        <v>57</v>
      </c>
      <c r="B57" s="9" t="str">
        <f>VLOOKUP(A57,policy!B:C,2,0)</f>
        <v>040000185051</v>
      </c>
      <c r="C57" s="4">
        <v>1</v>
      </c>
      <c r="D57" s="10">
        <f t="shared" si="1"/>
        <v>1</v>
      </c>
      <c r="E57" s="8" t="s">
        <v>329</v>
      </c>
      <c r="F57" s="11" t="str">
        <f t="shared" si="0"/>
        <v>insert into ins_premium_det (premium_rcv_code,assorted_code, rec_amount,premium_rcv_detail_code,remaining_amt, payrec, mode_code,coinsurance_code,class_cd,it_remarks) values</v>
      </c>
      <c r="G57" s="12" t="str">
        <f t="shared" si="2"/>
        <v>('27Nov240142','040000185051','1',(select max(to_number(i.premium_rcv_detail_code))+1
from ins_premium_det i),'1','1','02', '11000003','00','Request by Mr. Omair Ali 28-Nov-2024');</v>
      </c>
      <c r="H57" s="13" t="str">
        <f t="shared" si="3"/>
        <v>insert into ins_premium_det (premium_rcv_code,assorted_code, rec_amount,premium_rcv_detail_code,remaining_amt, payrec, mode_code,coinsurance_code,class_cd,it_remarks) values('27Nov240142','040000185051','1',(select max(to_number(i.premium_rcv_detail_code))+1
from ins_premium_det i),'1','1','02', '11000003','00','Request by Mr. Omair Ali 28-Nov-2024');</v>
      </c>
    </row>
    <row r="58" spans="1:8" ht="105.75" thickBot="1" x14ac:dyDescent="0.3">
      <c r="A58" s="3" t="s">
        <v>58</v>
      </c>
      <c r="B58" s="9" t="str">
        <f>VLOOKUP(A58,policy!B:C,2,0)</f>
        <v>040000187193</v>
      </c>
      <c r="C58" s="4">
        <v>1</v>
      </c>
      <c r="D58" s="10">
        <f t="shared" si="1"/>
        <v>1</v>
      </c>
      <c r="E58" s="8" t="s">
        <v>329</v>
      </c>
      <c r="F58" s="11" t="str">
        <f t="shared" si="0"/>
        <v>insert into ins_premium_det (premium_rcv_code,assorted_code, rec_amount,premium_rcv_detail_code,remaining_amt, payrec, mode_code,coinsurance_code,class_cd,it_remarks) values</v>
      </c>
      <c r="G58" s="12" t="str">
        <f t="shared" si="2"/>
        <v>('27Nov240142','040000187193','1',(select max(to_number(i.premium_rcv_detail_code))+1
from ins_premium_det i),'1','1','02', '11000003','00','Request by Mr. Omair Ali 28-Nov-2024');</v>
      </c>
      <c r="H58" s="13" t="str">
        <f t="shared" si="3"/>
        <v>insert into ins_premium_det (premium_rcv_code,assorted_code, rec_amount,premium_rcv_detail_code,remaining_amt, payrec, mode_code,coinsurance_code,class_cd,it_remarks) values('27Nov240142','040000187193','1',(select max(to_number(i.premium_rcv_detail_code))+1
from ins_premium_det i),'1','1','02', '11000003','00','Request by Mr. Omair Ali 28-Nov-2024');</v>
      </c>
    </row>
    <row r="59" spans="1:8" ht="105.75" thickBot="1" x14ac:dyDescent="0.3">
      <c r="A59" s="3" t="s">
        <v>59</v>
      </c>
      <c r="B59" s="9" t="str">
        <f>VLOOKUP(A59,policy!B:C,2,0)</f>
        <v>040000152260</v>
      </c>
      <c r="C59" s="4">
        <v>1</v>
      </c>
      <c r="D59" s="10">
        <f t="shared" si="1"/>
        <v>1</v>
      </c>
      <c r="E59" s="8" t="s">
        <v>329</v>
      </c>
      <c r="F59" s="11" t="str">
        <f t="shared" si="0"/>
        <v>insert into ins_premium_det (premium_rcv_code,assorted_code, rec_amount,premium_rcv_detail_code,remaining_amt, payrec, mode_code,coinsurance_code,class_cd,it_remarks) values</v>
      </c>
      <c r="G59" s="12" t="str">
        <f t="shared" si="2"/>
        <v>('27Nov240142','040000152260','1',(select max(to_number(i.premium_rcv_detail_code))+1
from ins_premium_det i),'1','1','02', '11000003','00','Request by Mr. Omair Ali 28-Nov-2024');</v>
      </c>
      <c r="H59" s="13" t="str">
        <f t="shared" si="3"/>
        <v>insert into ins_premium_det (premium_rcv_code,assorted_code, rec_amount,premium_rcv_detail_code,remaining_amt, payrec, mode_code,coinsurance_code,class_cd,it_remarks) values('27Nov240142','040000152260','1',(select max(to_number(i.premium_rcv_detail_code))+1
from ins_premium_det i),'1','1','02', '11000003','00','Request by Mr. Omair Ali 28-Nov-2024');</v>
      </c>
    </row>
    <row r="60" spans="1:8" ht="105.75" thickBot="1" x14ac:dyDescent="0.3">
      <c r="A60" s="3" t="s">
        <v>60</v>
      </c>
      <c r="B60" s="9" t="str">
        <f>VLOOKUP(A60,policy!B:C,2,0)</f>
        <v>040000147076</v>
      </c>
      <c r="C60" s="4">
        <v>1</v>
      </c>
      <c r="D60" s="10">
        <f t="shared" si="1"/>
        <v>1</v>
      </c>
      <c r="E60" s="8" t="s">
        <v>329</v>
      </c>
      <c r="F60" s="11" t="str">
        <f t="shared" si="0"/>
        <v>insert into ins_premium_det (premium_rcv_code,assorted_code, rec_amount,premium_rcv_detail_code,remaining_amt, payrec, mode_code,coinsurance_code,class_cd,it_remarks) values</v>
      </c>
      <c r="G60" s="12" t="str">
        <f t="shared" si="2"/>
        <v>('27Nov240142','040000147076','1',(select max(to_number(i.premium_rcv_detail_code))+1
from ins_premium_det i),'1','1','02', '11000003','00','Request by Mr. Omair Ali 28-Nov-2024');</v>
      </c>
      <c r="H60" s="13" t="str">
        <f t="shared" si="3"/>
        <v>insert into ins_premium_det (premium_rcv_code,assorted_code, rec_amount,premium_rcv_detail_code,remaining_amt, payrec, mode_code,coinsurance_code,class_cd,it_remarks) values('27Nov240142','040000147076','1',(select max(to_number(i.premium_rcv_detail_code))+1
from ins_premium_det i),'1','1','02', '11000003','00','Request by Mr. Omair Ali 28-Nov-2024');</v>
      </c>
    </row>
    <row r="61" spans="1:8" ht="105.75" thickBot="1" x14ac:dyDescent="0.3">
      <c r="A61" s="3" t="s">
        <v>61</v>
      </c>
      <c r="B61" s="9" t="str">
        <f>VLOOKUP(A61,policy!B:C,2,0)</f>
        <v>040000164510</v>
      </c>
      <c r="C61" s="4">
        <v>1</v>
      </c>
      <c r="D61" s="10">
        <f t="shared" si="1"/>
        <v>1</v>
      </c>
      <c r="E61" s="8" t="s">
        <v>329</v>
      </c>
      <c r="F61" s="11" t="str">
        <f t="shared" si="0"/>
        <v>insert into ins_premium_det (premium_rcv_code,assorted_code, rec_amount,premium_rcv_detail_code,remaining_amt, payrec, mode_code,coinsurance_code,class_cd,it_remarks) values</v>
      </c>
      <c r="G61" s="12" t="str">
        <f t="shared" si="2"/>
        <v>('27Nov240142','040000164510','1',(select max(to_number(i.premium_rcv_detail_code))+1
from ins_premium_det i),'1','1','02', '11000003','00','Request by Mr. Omair Ali 28-Nov-2024');</v>
      </c>
      <c r="H61" s="13" t="str">
        <f t="shared" si="3"/>
        <v>insert into ins_premium_det (premium_rcv_code,assorted_code, rec_amount,premium_rcv_detail_code,remaining_amt, payrec, mode_code,coinsurance_code,class_cd,it_remarks) values('27Nov240142','040000164510','1',(select max(to_number(i.premium_rcv_detail_code))+1
from ins_premium_det i),'1','1','02', '11000003','00','Request by Mr. Omair Ali 28-Nov-2024');</v>
      </c>
    </row>
    <row r="62" spans="1:8" ht="105.75" thickBot="1" x14ac:dyDescent="0.3">
      <c r="A62" s="3" t="s">
        <v>62</v>
      </c>
      <c r="B62" s="9" t="str">
        <f>VLOOKUP(A62,policy!B:C,2,0)</f>
        <v>040000189201</v>
      </c>
      <c r="C62" s="4">
        <v>1</v>
      </c>
      <c r="D62" s="10">
        <f t="shared" si="1"/>
        <v>1</v>
      </c>
      <c r="E62" s="8" t="s">
        <v>329</v>
      </c>
      <c r="F62" s="11" t="str">
        <f t="shared" si="0"/>
        <v>insert into ins_premium_det (premium_rcv_code,assorted_code, rec_amount,premium_rcv_detail_code,remaining_amt, payrec, mode_code,coinsurance_code,class_cd,it_remarks) values</v>
      </c>
      <c r="G62" s="12" t="str">
        <f t="shared" si="2"/>
        <v>('27Nov240142','040000189201','1',(select max(to_number(i.premium_rcv_detail_code))+1
from ins_premium_det i),'1','1','02', '11000003','00','Request by Mr. Omair Ali 28-Nov-2024');</v>
      </c>
      <c r="H62" s="13" t="str">
        <f t="shared" si="3"/>
        <v>insert into ins_premium_det (premium_rcv_code,assorted_code, rec_amount,premium_rcv_detail_code,remaining_amt, payrec, mode_code,coinsurance_code,class_cd,it_remarks) values('27Nov240142','040000189201','1',(select max(to_number(i.premium_rcv_detail_code))+1
from ins_premium_det i),'1','1','02', '11000003','00','Request by Mr. Omair Ali 28-Nov-2024');</v>
      </c>
    </row>
    <row r="63" spans="1:8" ht="105.75" thickBot="1" x14ac:dyDescent="0.3">
      <c r="A63" s="3" t="s">
        <v>63</v>
      </c>
      <c r="B63" s="9" t="str">
        <f>VLOOKUP(A63,policy!B:C,2,0)</f>
        <v>040000186171</v>
      </c>
      <c r="C63" s="4">
        <v>1</v>
      </c>
      <c r="D63" s="10">
        <f t="shared" si="1"/>
        <v>1</v>
      </c>
      <c r="E63" s="8" t="s">
        <v>329</v>
      </c>
      <c r="F63" s="11" t="str">
        <f t="shared" si="0"/>
        <v>insert into ins_premium_det (premium_rcv_code,assorted_code, rec_amount,premium_rcv_detail_code,remaining_amt, payrec, mode_code,coinsurance_code,class_cd,it_remarks) values</v>
      </c>
      <c r="G63" s="12" t="str">
        <f t="shared" si="2"/>
        <v>('27Nov240142','040000186171','1',(select max(to_number(i.premium_rcv_detail_code))+1
from ins_premium_det i),'1','1','02', '11000003','00','Request by Mr. Omair Ali 28-Nov-2024');</v>
      </c>
      <c r="H63" s="13" t="str">
        <f t="shared" si="3"/>
        <v>insert into ins_premium_det (premium_rcv_code,assorted_code, rec_amount,premium_rcv_detail_code,remaining_amt, payrec, mode_code,coinsurance_code,class_cd,it_remarks) values('27Nov240142','040000186171','1',(select max(to_number(i.premium_rcv_detail_code))+1
from ins_premium_det i),'1','1','02', '11000003','00','Request by Mr. Omair Ali 28-Nov-2024');</v>
      </c>
    </row>
    <row r="64" spans="1:8" ht="105.75" thickBot="1" x14ac:dyDescent="0.3">
      <c r="A64" s="3" t="s">
        <v>64</v>
      </c>
      <c r="B64" s="9" t="str">
        <f>VLOOKUP(A64,policy!B:C,2,0)</f>
        <v>040000162308</v>
      </c>
      <c r="C64" s="4">
        <v>1</v>
      </c>
      <c r="D64" s="10">
        <f t="shared" si="1"/>
        <v>1</v>
      </c>
      <c r="E64" s="8" t="s">
        <v>329</v>
      </c>
      <c r="F64" s="11" t="str">
        <f t="shared" si="0"/>
        <v>insert into ins_premium_det (premium_rcv_code,assorted_code, rec_amount,premium_rcv_detail_code,remaining_amt, payrec, mode_code,coinsurance_code,class_cd,it_remarks) values</v>
      </c>
      <c r="G64" s="12" t="str">
        <f t="shared" si="2"/>
        <v>('27Nov240142','040000162308','1',(select max(to_number(i.premium_rcv_detail_code))+1
from ins_premium_det i),'1','1','02', '11000003','00','Request by Mr. Omair Ali 28-Nov-2024');</v>
      </c>
      <c r="H64" s="13" t="str">
        <f t="shared" si="3"/>
        <v>insert into ins_premium_det (premium_rcv_code,assorted_code, rec_amount,premium_rcv_detail_code,remaining_amt, payrec, mode_code,coinsurance_code,class_cd,it_remarks) values('27Nov240142','040000162308','1',(select max(to_number(i.premium_rcv_detail_code))+1
from ins_premium_det i),'1','1','02', '11000003','00','Request by Mr. Omair Ali 28-Nov-2024');</v>
      </c>
    </row>
    <row r="65" spans="1:8" ht="105.75" thickBot="1" x14ac:dyDescent="0.3">
      <c r="A65" s="3" t="s">
        <v>65</v>
      </c>
      <c r="B65" s="9" t="str">
        <f>VLOOKUP(A65,policy!B:C,2,0)</f>
        <v>040000186621</v>
      </c>
      <c r="C65" s="4">
        <v>1</v>
      </c>
      <c r="D65" s="10">
        <f t="shared" si="1"/>
        <v>1</v>
      </c>
      <c r="E65" s="8" t="s">
        <v>329</v>
      </c>
      <c r="F65" s="11" t="str">
        <f t="shared" si="0"/>
        <v>insert into ins_premium_det (premium_rcv_code,assorted_code, rec_amount,premium_rcv_detail_code,remaining_amt, payrec, mode_code,coinsurance_code,class_cd,it_remarks) values</v>
      </c>
      <c r="G65" s="12" t="str">
        <f t="shared" si="2"/>
        <v>('27Nov240142','040000186621','1',(select max(to_number(i.premium_rcv_detail_code))+1
from ins_premium_det i),'1','1','02', '11000003','00','Request by Mr. Omair Ali 28-Nov-2024');</v>
      </c>
      <c r="H65" s="13" t="str">
        <f t="shared" si="3"/>
        <v>insert into ins_premium_det (premium_rcv_code,assorted_code, rec_amount,premium_rcv_detail_code,remaining_amt, payrec, mode_code,coinsurance_code,class_cd,it_remarks) values('27Nov240142','040000186621','1',(select max(to_number(i.premium_rcv_detail_code))+1
from ins_premium_det i),'1','1','02', '11000003','00','Request by Mr. Omair Ali 28-Nov-2024');</v>
      </c>
    </row>
    <row r="66" spans="1:8" ht="105.75" thickBot="1" x14ac:dyDescent="0.3">
      <c r="A66" s="3" t="s">
        <v>66</v>
      </c>
      <c r="B66" s="9" t="str">
        <f>VLOOKUP(A66,policy!B:C,2,0)</f>
        <v>040000187730</v>
      </c>
      <c r="C66" s="4">
        <v>1</v>
      </c>
      <c r="D66" s="10">
        <f t="shared" si="1"/>
        <v>1</v>
      </c>
      <c r="E66" s="8" t="s">
        <v>329</v>
      </c>
      <c r="F66" s="11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2" t="str">
        <f t="shared" si="2"/>
        <v>('27Nov240142','040000187730','1',(select max(to_number(i.premium_rcv_detail_code))+1
from ins_premium_det i),'1','1','02', '11000003','00','Request by Mr. Omair Ali 28-Nov-2024');</v>
      </c>
      <c r="H66" s="13" t="str">
        <f t="shared" si="3"/>
        <v>insert into ins_premium_det (premium_rcv_code,assorted_code, rec_amount,premium_rcv_detail_code,remaining_amt, payrec, mode_code,coinsurance_code,class_cd,it_remarks) values('27Nov240142','040000187730','1',(select max(to_number(i.premium_rcv_detail_code))+1
from ins_premium_det i),'1','1','02', '11000003','00','Request by Mr. Omair Ali 28-Nov-2024');</v>
      </c>
    </row>
    <row r="67" spans="1:8" ht="105.75" thickBot="1" x14ac:dyDescent="0.3">
      <c r="A67" s="3" t="s">
        <v>67</v>
      </c>
      <c r="B67" s="9" t="str">
        <f>VLOOKUP(A67,policy!B:C,2,0)</f>
        <v>040000167830</v>
      </c>
      <c r="C67" s="4">
        <v>1</v>
      </c>
      <c r="D67" s="10">
        <f t="shared" ref="D67:D130" si="5">ROUND(C67,0)</f>
        <v>1</v>
      </c>
      <c r="E67" s="8" t="s">
        <v>329</v>
      </c>
      <c r="F67" s="11" t="str">
        <f t="shared" si="4"/>
        <v>insert into ins_premium_det (premium_rcv_code,assorted_code, rec_amount,premium_rcv_detail_code,remaining_amt, payrec, mode_code,coinsurance_code,class_cd,it_remarks) values</v>
      </c>
      <c r="G67" s="12" t="str">
        <f t="shared" ref="G67:G130" si="6">"('"&amp;E67&amp;"','"&amp;B67&amp;"','"&amp;D67&amp;"',(select max(to_number(i.premium_rcv_detail_code))+1
from ins_premium_det i),'"&amp;D67&amp;"','"&amp;D67&amp;"','02', '11000003','00','Request by Mr. Omair Ali 28-Nov-2024');"</f>
        <v>('27Nov240142','040000167830','1',(select max(to_number(i.premium_rcv_detail_code))+1
from ins_premium_det i),'1','1','02', '11000003','00','Request by Mr. Omair Ali 28-Nov-2024');</v>
      </c>
      <c r="H67" s="13" t="str">
        <f t="shared" ref="H67:H130" si="7">F67&amp;G67</f>
        <v>insert into ins_premium_det (premium_rcv_code,assorted_code, rec_amount,premium_rcv_detail_code,remaining_amt, payrec, mode_code,coinsurance_code,class_cd,it_remarks) values('27Nov240142','040000167830','1',(select max(to_number(i.premium_rcv_detail_code))+1
from ins_premium_det i),'1','1','02', '11000003','00','Request by Mr. Omair Ali 28-Nov-2024');</v>
      </c>
    </row>
    <row r="68" spans="1:8" ht="105.75" thickBot="1" x14ac:dyDescent="0.3">
      <c r="A68" s="3" t="s">
        <v>68</v>
      </c>
      <c r="B68" s="9" t="str">
        <f>VLOOKUP(A68,policy!B:C,2,0)</f>
        <v>040000183364</v>
      </c>
      <c r="C68" s="4">
        <v>1</v>
      </c>
      <c r="D68" s="10">
        <f t="shared" si="5"/>
        <v>1</v>
      </c>
      <c r="E68" s="8" t="s">
        <v>329</v>
      </c>
      <c r="F68" s="11" t="str">
        <f t="shared" si="4"/>
        <v>insert into ins_premium_det (premium_rcv_code,assorted_code, rec_amount,premium_rcv_detail_code,remaining_amt, payrec, mode_code,coinsurance_code,class_cd,it_remarks) values</v>
      </c>
      <c r="G68" s="12" t="str">
        <f t="shared" si="6"/>
        <v>('27Nov240142','040000183364','1',(select max(to_number(i.premium_rcv_detail_code))+1
from ins_premium_det i),'1','1','02', '11000003','00','Request by Mr. Omair Ali 28-Nov-2024');</v>
      </c>
      <c r="H68" s="13" t="str">
        <f t="shared" si="7"/>
        <v>insert into ins_premium_det (premium_rcv_code,assorted_code, rec_amount,premium_rcv_detail_code,remaining_amt, payrec, mode_code,coinsurance_code,class_cd,it_remarks) values('27Nov240142','040000183364','1',(select max(to_number(i.premium_rcv_detail_code))+1
from ins_premium_det i),'1','1','02', '11000003','00','Request by Mr. Omair Ali 28-Nov-2024');</v>
      </c>
    </row>
    <row r="69" spans="1:8" ht="105.75" thickBot="1" x14ac:dyDescent="0.3">
      <c r="A69" s="3" t="s">
        <v>69</v>
      </c>
      <c r="B69" s="9" t="str">
        <f>VLOOKUP(A69,policy!B:C,2,0)</f>
        <v>040000171585</v>
      </c>
      <c r="C69" s="4">
        <v>1</v>
      </c>
      <c r="D69" s="10">
        <f t="shared" si="5"/>
        <v>1</v>
      </c>
      <c r="E69" s="8" t="s">
        <v>329</v>
      </c>
      <c r="F69" s="11" t="str">
        <f t="shared" si="4"/>
        <v>insert into ins_premium_det (premium_rcv_code,assorted_code, rec_amount,premium_rcv_detail_code,remaining_amt, payrec, mode_code,coinsurance_code,class_cd,it_remarks) values</v>
      </c>
      <c r="G69" s="12" t="str">
        <f t="shared" si="6"/>
        <v>('27Nov240142','040000171585','1',(select max(to_number(i.premium_rcv_detail_code))+1
from ins_premium_det i),'1','1','02', '11000003','00','Request by Mr. Omair Ali 28-Nov-2024');</v>
      </c>
      <c r="H69" s="13" t="str">
        <f t="shared" si="7"/>
        <v>insert into ins_premium_det (premium_rcv_code,assorted_code, rec_amount,premium_rcv_detail_code,remaining_amt, payrec, mode_code,coinsurance_code,class_cd,it_remarks) values('27Nov240142','040000171585','1',(select max(to_number(i.premium_rcv_detail_code))+1
from ins_premium_det i),'1','1','02', '11000003','00','Request by Mr. Omair Ali 28-Nov-2024');</v>
      </c>
    </row>
    <row r="70" spans="1:8" ht="105.75" thickBot="1" x14ac:dyDescent="0.3">
      <c r="A70" s="3" t="s">
        <v>70</v>
      </c>
      <c r="B70" s="9" t="str">
        <f>VLOOKUP(A70,policy!B:C,2,0)</f>
        <v>040000168615</v>
      </c>
      <c r="C70" s="4">
        <v>1</v>
      </c>
      <c r="D70" s="10">
        <f t="shared" si="5"/>
        <v>1</v>
      </c>
      <c r="E70" s="8" t="s">
        <v>329</v>
      </c>
      <c r="F70" s="11" t="str">
        <f t="shared" si="4"/>
        <v>insert into ins_premium_det (premium_rcv_code,assorted_code, rec_amount,premium_rcv_detail_code,remaining_amt, payrec, mode_code,coinsurance_code,class_cd,it_remarks) values</v>
      </c>
      <c r="G70" s="12" t="str">
        <f t="shared" si="6"/>
        <v>('27Nov240142','040000168615','1',(select max(to_number(i.premium_rcv_detail_code))+1
from ins_premium_det i),'1','1','02', '11000003','00','Request by Mr. Omair Ali 28-Nov-2024');</v>
      </c>
      <c r="H70" s="13" t="str">
        <f t="shared" si="7"/>
        <v>insert into ins_premium_det (premium_rcv_code,assorted_code, rec_amount,premium_rcv_detail_code,remaining_amt, payrec, mode_code,coinsurance_code,class_cd,it_remarks) values('27Nov240142','040000168615','1',(select max(to_number(i.premium_rcv_detail_code))+1
from ins_premium_det i),'1','1','02', '11000003','00','Request by Mr. Omair Ali 28-Nov-2024');</v>
      </c>
    </row>
    <row r="71" spans="1:8" ht="105.75" thickBot="1" x14ac:dyDescent="0.3">
      <c r="A71" s="3" t="s">
        <v>71</v>
      </c>
      <c r="B71" s="9" t="str">
        <f>VLOOKUP(A71,policy!B:C,2,0)</f>
        <v>040000158738</v>
      </c>
      <c r="C71" s="4">
        <v>1</v>
      </c>
      <c r="D71" s="10">
        <f t="shared" si="5"/>
        <v>1</v>
      </c>
      <c r="E71" s="8" t="s">
        <v>329</v>
      </c>
      <c r="F71" s="11" t="str">
        <f t="shared" si="4"/>
        <v>insert into ins_premium_det (premium_rcv_code,assorted_code, rec_amount,premium_rcv_detail_code,remaining_amt, payrec, mode_code,coinsurance_code,class_cd,it_remarks) values</v>
      </c>
      <c r="G71" s="12" t="str">
        <f t="shared" si="6"/>
        <v>('27Nov240142','040000158738','1',(select max(to_number(i.premium_rcv_detail_code))+1
from ins_premium_det i),'1','1','02', '11000003','00','Request by Mr. Omair Ali 28-Nov-2024');</v>
      </c>
      <c r="H71" s="13" t="str">
        <f t="shared" si="7"/>
        <v>insert into ins_premium_det (premium_rcv_code,assorted_code, rec_amount,premium_rcv_detail_code,remaining_amt, payrec, mode_code,coinsurance_code,class_cd,it_remarks) values('27Nov240142','040000158738','1',(select max(to_number(i.premium_rcv_detail_code))+1
from ins_premium_det i),'1','1','02', '11000003','00','Request by Mr. Omair Ali 28-Nov-2024');</v>
      </c>
    </row>
    <row r="72" spans="1:8" ht="105.75" thickBot="1" x14ac:dyDescent="0.3">
      <c r="A72" s="3" t="s">
        <v>72</v>
      </c>
      <c r="B72" s="9" t="str">
        <f>VLOOKUP(A72,policy!B:C,2,0)</f>
        <v>040000167744</v>
      </c>
      <c r="C72" s="4">
        <v>1</v>
      </c>
      <c r="D72" s="10">
        <f t="shared" si="5"/>
        <v>1</v>
      </c>
      <c r="E72" s="8" t="s">
        <v>329</v>
      </c>
      <c r="F72" s="11" t="str">
        <f t="shared" si="4"/>
        <v>insert into ins_premium_det (premium_rcv_code,assorted_code, rec_amount,premium_rcv_detail_code,remaining_amt, payrec, mode_code,coinsurance_code,class_cd,it_remarks) values</v>
      </c>
      <c r="G72" s="12" t="str">
        <f t="shared" si="6"/>
        <v>('27Nov240142','040000167744','1',(select max(to_number(i.premium_rcv_detail_code))+1
from ins_premium_det i),'1','1','02', '11000003','00','Request by Mr. Omair Ali 28-Nov-2024');</v>
      </c>
      <c r="H72" s="13" t="str">
        <f t="shared" si="7"/>
        <v>insert into ins_premium_det (premium_rcv_code,assorted_code, rec_amount,premium_rcv_detail_code,remaining_amt, payrec, mode_code,coinsurance_code,class_cd,it_remarks) values('27Nov240142','040000167744','1',(select max(to_number(i.premium_rcv_detail_code))+1
from ins_premium_det i),'1','1','02', '11000003','00','Request by Mr. Omair Ali 28-Nov-2024');</v>
      </c>
    </row>
    <row r="73" spans="1:8" ht="105.75" thickBot="1" x14ac:dyDescent="0.3">
      <c r="A73" s="3" t="s">
        <v>73</v>
      </c>
      <c r="B73" s="9" t="str">
        <f>VLOOKUP(A73,policy!B:C,2,0)</f>
        <v>040000172373</v>
      </c>
      <c r="C73" s="4">
        <v>1</v>
      </c>
      <c r="D73" s="10">
        <f t="shared" si="5"/>
        <v>1</v>
      </c>
      <c r="E73" s="8" t="s">
        <v>329</v>
      </c>
      <c r="F73" s="11" t="str">
        <f t="shared" si="4"/>
        <v>insert into ins_premium_det (premium_rcv_code,assorted_code, rec_amount,premium_rcv_detail_code,remaining_amt, payrec, mode_code,coinsurance_code,class_cd,it_remarks) values</v>
      </c>
      <c r="G73" s="12" t="str">
        <f t="shared" si="6"/>
        <v>('27Nov240142','040000172373','1',(select max(to_number(i.premium_rcv_detail_code))+1
from ins_premium_det i),'1','1','02', '11000003','00','Request by Mr. Omair Ali 28-Nov-2024');</v>
      </c>
      <c r="H73" s="13" t="str">
        <f t="shared" si="7"/>
        <v>insert into ins_premium_det (premium_rcv_code,assorted_code, rec_amount,premium_rcv_detail_code,remaining_amt, payrec, mode_code,coinsurance_code,class_cd,it_remarks) values('27Nov240142','040000172373','1',(select max(to_number(i.premium_rcv_detail_code))+1
from ins_premium_det i),'1','1','02', '11000003','00','Request by Mr. Omair Ali 28-Nov-2024');</v>
      </c>
    </row>
    <row r="74" spans="1:8" ht="105.75" thickBot="1" x14ac:dyDescent="0.3">
      <c r="A74" s="3" t="s">
        <v>74</v>
      </c>
      <c r="B74" s="9" t="str">
        <f>VLOOKUP(A74,policy!B:C,2,0)</f>
        <v>040000168767</v>
      </c>
      <c r="C74" s="4">
        <v>1</v>
      </c>
      <c r="D74" s="10">
        <f t="shared" si="5"/>
        <v>1</v>
      </c>
      <c r="E74" s="8" t="s">
        <v>329</v>
      </c>
      <c r="F74" s="11" t="str">
        <f t="shared" si="4"/>
        <v>insert into ins_premium_det (premium_rcv_code,assorted_code, rec_amount,premium_rcv_detail_code,remaining_amt, payrec, mode_code,coinsurance_code,class_cd,it_remarks) values</v>
      </c>
      <c r="G74" s="12" t="str">
        <f t="shared" si="6"/>
        <v>('27Nov240142','040000168767','1',(select max(to_number(i.premium_rcv_detail_code))+1
from ins_premium_det i),'1','1','02', '11000003','00','Request by Mr. Omair Ali 28-Nov-2024');</v>
      </c>
      <c r="H74" s="13" t="str">
        <f t="shared" si="7"/>
        <v>insert into ins_premium_det (premium_rcv_code,assorted_code, rec_amount,premium_rcv_detail_code,remaining_amt, payrec, mode_code,coinsurance_code,class_cd,it_remarks) values('27Nov240142','040000168767','1',(select max(to_number(i.premium_rcv_detail_code))+1
from ins_premium_det i),'1','1','02', '11000003','00','Request by Mr. Omair Ali 28-Nov-2024');</v>
      </c>
    </row>
    <row r="75" spans="1:8" ht="105.75" thickBot="1" x14ac:dyDescent="0.3">
      <c r="A75" s="3" t="s">
        <v>75</v>
      </c>
      <c r="B75" s="9" t="str">
        <f>VLOOKUP(A75,policy!B:C,2,0)</f>
        <v>040000168642</v>
      </c>
      <c r="C75" s="4">
        <v>1</v>
      </c>
      <c r="D75" s="10">
        <f t="shared" si="5"/>
        <v>1</v>
      </c>
      <c r="E75" s="8" t="s">
        <v>329</v>
      </c>
      <c r="F75" s="11" t="str">
        <f t="shared" si="4"/>
        <v>insert into ins_premium_det (premium_rcv_code,assorted_code, rec_amount,premium_rcv_detail_code,remaining_amt, payrec, mode_code,coinsurance_code,class_cd,it_remarks) values</v>
      </c>
      <c r="G75" s="12" t="str">
        <f t="shared" si="6"/>
        <v>('27Nov240142','040000168642','1',(select max(to_number(i.premium_rcv_detail_code))+1
from ins_premium_det i),'1','1','02', '11000003','00','Request by Mr. Omair Ali 28-Nov-2024');</v>
      </c>
      <c r="H75" s="13" t="str">
        <f t="shared" si="7"/>
        <v>insert into ins_premium_det (premium_rcv_code,assorted_code, rec_amount,premium_rcv_detail_code,remaining_amt, payrec, mode_code,coinsurance_code,class_cd,it_remarks) values('27Nov240142','040000168642','1',(select max(to_number(i.premium_rcv_detail_code))+1
from ins_premium_det i),'1','1','02', '11000003','00','Request by Mr. Omair Ali 28-Nov-2024');</v>
      </c>
    </row>
    <row r="76" spans="1:8" ht="105.75" thickBot="1" x14ac:dyDescent="0.3">
      <c r="A76" s="3" t="s">
        <v>76</v>
      </c>
      <c r="B76" s="9" t="str">
        <f>VLOOKUP(A76,policy!B:C,2,0)</f>
        <v>040000175719</v>
      </c>
      <c r="C76" s="4">
        <v>1</v>
      </c>
      <c r="D76" s="10">
        <f t="shared" si="5"/>
        <v>1</v>
      </c>
      <c r="E76" s="8" t="s">
        <v>329</v>
      </c>
      <c r="F76" s="11" t="str">
        <f t="shared" si="4"/>
        <v>insert into ins_premium_det (premium_rcv_code,assorted_code, rec_amount,premium_rcv_detail_code,remaining_amt, payrec, mode_code,coinsurance_code,class_cd,it_remarks) values</v>
      </c>
      <c r="G76" s="12" t="str">
        <f t="shared" si="6"/>
        <v>('27Nov240142','040000175719','1',(select max(to_number(i.premium_rcv_detail_code))+1
from ins_premium_det i),'1','1','02', '11000003','00','Request by Mr. Omair Ali 28-Nov-2024');</v>
      </c>
      <c r="H76" s="13" t="str">
        <f t="shared" si="7"/>
        <v>insert into ins_premium_det (premium_rcv_code,assorted_code, rec_amount,premium_rcv_detail_code,remaining_amt, payrec, mode_code,coinsurance_code,class_cd,it_remarks) values('27Nov240142','040000175719','1',(select max(to_number(i.premium_rcv_detail_code))+1
from ins_premium_det i),'1','1','02', '11000003','00','Request by Mr. Omair Ali 28-Nov-2024');</v>
      </c>
    </row>
    <row r="77" spans="1:8" ht="105.75" thickBot="1" x14ac:dyDescent="0.3">
      <c r="A77" s="3" t="s">
        <v>77</v>
      </c>
      <c r="B77" s="9" t="str">
        <f>VLOOKUP(A77,policy!B:C,2,0)</f>
        <v>040000169603</v>
      </c>
      <c r="C77" s="4">
        <v>1</v>
      </c>
      <c r="D77" s="10">
        <f t="shared" si="5"/>
        <v>1</v>
      </c>
      <c r="E77" s="8" t="s">
        <v>329</v>
      </c>
      <c r="F77" s="11" t="str">
        <f t="shared" si="4"/>
        <v>insert into ins_premium_det (premium_rcv_code,assorted_code, rec_amount,premium_rcv_detail_code,remaining_amt, payrec, mode_code,coinsurance_code,class_cd,it_remarks) values</v>
      </c>
      <c r="G77" s="12" t="str">
        <f t="shared" si="6"/>
        <v>('27Nov240142','040000169603','1',(select max(to_number(i.premium_rcv_detail_code))+1
from ins_premium_det i),'1','1','02', '11000003','00','Request by Mr. Omair Ali 28-Nov-2024');</v>
      </c>
      <c r="H77" s="13" t="str">
        <f t="shared" si="7"/>
        <v>insert into ins_premium_det (premium_rcv_code,assorted_code, rec_amount,premium_rcv_detail_code,remaining_amt, payrec, mode_code,coinsurance_code,class_cd,it_remarks) values('27Nov240142','040000169603','1',(select max(to_number(i.premium_rcv_detail_code))+1
from ins_premium_det i),'1','1','02', '11000003','00','Request by Mr. Omair Ali 28-Nov-2024');</v>
      </c>
    </row>
    <row r="78" spans="1:8" ht="105.75" thickBot="1" x14ac:dyDescent="0.3">
      <c r="A78" s="3" t="s">
        <v>78</v>
      </c>
      <c r="B78" s="9" t="str">
        <f>VLOOKUP(A78,policy!B:C,2,0)</f>
        <v>040000188372</v>
      </c>
      <c r="C78" s="4">
        <v>1</v>
      </c>
      <c r="D78" s="10">
        <f t="shared" si="5"/>
        <v>1</v>
      </c>
      <c r="E78" s="8" t="s">
        <v>329</v>
      </c>
      <c r="F78" s="11" t="str">
        <f t="shared" si="4"/>
        <v>insert into ins_premium_det (premium_rcv_code,assorted_code, rec_amount,premium_rcv_detail_code,remaining_amt, payrec, mode_code,coinsurance_code,class_cd,it_remarks) values</v>
      </c>
      <c r="G78" s="12" t="str">
        <f t="shared" si="6"/>
        <v>('27Nov240142','040000188372','1',(select max(to_number(i.premium_rcv_detail_code))+1
from ins_premium_det i),'1','1','02', '11000003','00','Request by Mr. Omair Ali 28-Nov-2024');</v>
      </c>
      <c r="H78" s="13" t="str">
        <f t="shared" si="7"/>
        <v>insert into ins_premium_det (premium_rcv_code,assorted_code, rec_amount,premium_rcv_detail_code,remaining_amt, payrec, mode_code,coinsurance_code,class_cd,it_remarks) values('27Nov240142','040000188372','1',(select max(to_number(i.premium_rcv_detail_code))+1
from ins_premium_det i),'1','1','02', '11000003','00','Request by Mr. Omair Ali 28-Nov-2024');</v>
      </c>
    </row>
    <row r="79" spans="1:8" ht="105.75" thickBot="1" x14ac:dyDescent="0.3">
      <c r="A79" s="3" t="s">
        <v>79</v>
      </c>
      <c r="B79" s="9" t="str">
        <f>VLOOKUP(A79,policy!B:C,2,0)</f>
        <v>040000187927</v>
      </c>
      <c r="C79" s="4">
        <v>1</v>
      </c>
      <c r="D79" s="10">
        <f t="shared" si="5"/>
        <v>1</v>
      </c>
      <c r="E79" s="8" t="s">
        <v>329</v>
      </c>
      <c r="F79" s="11" t="str">
        <f t="shared" si="4"/>
        <v>insert into ins_premium_det (premium_rcv_code,assorted_code, rec_amount,premium_rcv_detail_code,remaining_amt, payrec, mode_code,coinsurance_code,class_cd,it_remarks) values</v>
      </c>
      <c r="G79" s="12" t="str">
        <f t="shared" si="6"/>
        <v>('27Nov240142','040000187927','1',(select max(to_number(i.premium_rcv_detail_code))+1
from ins_premium_det i),'1','1','02', '11000003','00','Request by Mr. Omair Ali 28-Nov-2024');</v>
      </c>
      <c r="H79" s="13" t="str">
        <f t="shared" si="7"/>
        <v>insert into ins_premium_det (premium_rcv_code,assorted_code, rec_amount,premium_rcv_detail_code,remaining_amt, payrec, mode_code,coinsurance_code,class_cd,it_remarks) values('27Nov240142','040000187927','1',(select max(to_number(i.premium_rcv_detail_code))+1
from ins_premium_det i),'1','1','02', '11000003','00','Request by Mr. Omair Ali 28-Nov-2024');</v>
      </c>
    </row>
    <row r="80" spans="1:8" ht="105.75" thickBot="1" x14ac:dyDescent="0.3">
      <c r="A80" s="3" t="s">
        <v>80</v>
      </c>
      <c r="B80" s="9" t="str">
        <f>VLOOKUP(A80,policy!B:C,2,0)</f>
        <v>040000151883</v>
      </c>
      <c r="C80" s="4">
        <v>1</v>
      </c>
      <c r="D80" s="10">
        <f t="shared" si="5"/>
        <v>1</v>
      </c>
      <c r="E80" s="8" t="s">
        <v>329</v>
      </c>
      <c r="F80" s="11" t="str">
        <f t="shared" si="4"/>
        <v>insert into ins_premium_det (premium_rcv_code,assorted_code, rec_amount,premium_rcv_detail_code,remaining_amt, payrec, mode_code,coinsurance_code,class_cd,it_remarks) values</v>
      </c>
      <c r="G80" s="12" t="str">
        <f t="shared" si="6"/>
        <v>('27Nov240142','040000151883','1',(select max(to_number(i.premium_rcv_detail_code))+1
from ins_premium_det i),'1','1','02', '11000003','00','Request by Mr. Omair Ali 28-Nov-2024');</v>
      </c>
      <c r="H80" s="13" t="str">
        <f t="shared" si="7"/>
        <v>insert into ins_premium_det (premium_rcv_code,assorted_code, rec_amount,premium_rcv_detail_code,remaining_amt, payrec, mode_code,coinsurance_code,class_cd,it_remarks) values('27Nov240142','040000151883','1',(select max(to_number(i.premium_rcv_detail_code))+1
from ins_premium_det i),'1','1','02', '11000003','00','Request by Mr. Omair Ali 28-Nov-2024');</v>
      </c>
    </row>
    <row r="81" spans="1:8" ht="105.75" thickBot="1" x14ac:dyDescent="0.3">
      <c r="A81" s="3" t="s">
        <v>81</v>
      </c>
      <c r="B81" s="9" t="str">
        <f>VLOOKUP(A81,policy!B:C,2,0)</f>
        <v>040000179561</v>
      </c>
      <c r="C81" s="4">
        <v>1</v>
      </c>
      <c r="D81" s="10">
        <f t="shared" si="5"/>
        <v>1</v>
      </c>
      <c r="E81" s="8" t="s">
        <v>329</v>
      </c>
      <c r="F81" s="11" t="str">
        <f t="shared" si="4"/>
        <v>insert into ins_premium_det (premium_rcv_code,assorted_code, rec_amount,premium_rcv_detail_code,remaining_amt, payrec, mode_code,coinsurance_code,class_cd,it_remarks) values</v>
      </c>
      <c r="G81" s="12" t="str">
        <f t="shared" si="6"/>
        <v>('27Nov240142','040000179561','1',(select max(to_number(i.premium_rcv_detail_code))+1
from ins_premium_det i),'1','1','02', '11000003','00','Request by Mr. Omair Ali 28-Nov-2024');</v>
      </c>
      <c r="H81" s="13" t="str">
        <f t="shared" si="7"/>
        <v>insert into ins_premium_det (premium_rcv_code,assorted_code, rec_amount,premium_rcv_detail_code,remaining_amt, payrec, mode_code,coinsurance_code,class_cd,it_remarks) values('27Nov240142','040000179561','1',(select max(to_number(i.premium_rcv_detail_code))+1
from ins_premium_det i),'1','1','02', '11000003','00','Request by Mr. Omair Ali 28-Nov-2024');</v>
      </c>
    </row>
    <row r="82" spans="1:8" ht="105.75" thickBot="1" x14ac:dyDescent="0.3">
      <c r="A82" s="3" t="s">
        <v>82</v>
      </c>
      <c r="B82" s="9" t="str">
        <f>VLOOKUP(A82,policy!B:C,2,0)</f>
        <v>040000174128</v>
      </c>
      <c r="C82" s="4">
        <v>1</v>
      </c>
      <c r="D82" s="10">
        <f t="shared" si="5"/>
        <v>1</v>
      </c>
      <c r="E82" s="8" t="s">
        <v>329</v>
      </c>
      <c r="F82" s="11" t="str">
        <f t="shared" si="4"/>
        <v>insert into ins_premium_det (premium_rcv_code,assorted_code, rec_amount,premium_rcv_detail_code,remaining_amt, payrec, mode_code,coinsurance_code,class_cd,it_remarks) values</v>
      </c>
      <c r="G82" s="12" t="str">
        <f t="shared" si="6"/>
        <v>('27Nov240142','040000174128','1',(select max(to_number(i.premium_rcv_detail_code))+1
from ins_premium_det i),'1','1','02', '11000003','00','Request by Mr. Omair Ali 28-Nov-2024');</v>
      </c>
      <c r="H82" s="13" t="str">
        <f t="shared" si="7"/>
        <v>insert into ins_premium_det (premium_rcv_code,assorted_code, rec_amount,premium_rcv_detail_code,remaining_amt, payrec, mode_code,coinsurance_code,class_cd,it_remarks) values('27Nov240142','040000174128','1',(select max(to_number(i.premium_rcv_detail_code))+1
from ins_premium_det i),'1','1','02', '11000003','00','Request by Mr. Omair Ali 28-Nov-2024');</v>
      </c>
    </row>
    <row r="83" spans="1:8" ht="105.75" thickBot="1" x14ac:dyDescent="0.3">
      <c r="A83" s="3" t="s">
        <v>83</v>
      </c>
      <c r="B83" s="9" t="str">
        <f>VLOOKUP(A83,policy!B:C,2,0)</f>
        <v>040000155111</v>
      </c>
      <c r="C83" s="4">
        <v>2</v>
      </c>
      <c r="D83" s="10">
        <f t="shared" si="5"/>
        <v>2</v>
      </c>
      <c r="E83" s="8" t="s">
        <v>329</v>
      </c>
      <c r="F83" s="11" t="str">
        <f t="shared" si="4"/>
        <v>insert into ins_premium_det (premium_rcv_code,assorted_code, rec_amount,premium_rcv_detail_code,remaining_amt, payrec, mode_code,coinsurance_code,class_cd,it_remarks) values</v>
      </c>
      <c r="G83" s="12" t="str">
        <f t="shared" si="6"/>
        <v>('27Nov240142','040000155111','2',(select max(to_number(i.premium_rcv_detail_code))+1
from ins_premium_det i),'2','2','02', '11000003','00','Request by Mr. Omair Ali 28-Nov-2024');</v>
      </c>
      <c r="H83" s="13" t="str">
        <f t="shared" si="7"/>
        <v>insert into ins_premium_det (premium_rcv_code,assorted_code, rec_amount,premium_rcv_detail_code,remaining_amt, payrec, mode_code,coinsurance_code,class_cd,it_remarks) values('27Nov240142','040000155111','2',(select max(to_number(i.premium_rcv_detail_code))+1
from ins_premium_det i),'2','2','02', '11000003','00','Request by Mr. Omair Ali 28-Nov-2024');</v>
      </c>
    </row>
    <row r="84" spans="1:8" ht="105.75" thickBot="1" x14ac:dyDescent="0.3">
      <c r="A84" s="3" t="s">
        <v>84</v>
      </c>
      <c r="B84" s="9" t="str">
        <f>VLOOKUP(A84,policy!B:C,2,0)</f>
        <v>040000152908</v>
      </c>
      <c r="C84" s="4">
        <v>2</v>
      </c>
      <c r="D84" s="10">
        <f t="shared" si="5"/>
        <v>2</v>
      </c>
      <c r="E84" s="8" t="s">
        <v>329</v>
      </c>
      <c r="F84" s="11" t="str">
        <f t="shared" si="4"/>
        <v>insert into ins_premium_det (premium_rcv_code,assorted_code, rec_amount,premium_rcv_detail_code,remaining_amt, payrec, mode_code,coinsurance_code,class_cd,it_remarks) values</v>
      </c>
      <c r="G84" s="12" t="str">
        <f t="shared" si="6"/>
        <v>('27Nov240142','040000152908','2',(select max(to_number(i.premium_rcv_detail_code))+1
from ins_premium_det i),'2','2','02', '11000003','00','Request by Mr. Omair Ali 28-Nov-2024');</v>
      </c>
      <c r="H84" s="13" t="str">
        <f t="shared" si="7"/>
        <v>insert into ins_premium_det (premium_rcv_code,assorted_code, rec_amount,premium_rcv_detail_code,remaining_amt, payrec, mode_code,coinsurance_code,class_cd,it_remarks) values('27Nov240142','040000152908','2',(select max(to_number(i.premium_rcv_detail_code))+1
from ins_premium_det i),'2','2','02', '11000003','00','Request by Mr. Omair Ali 28-Nov-2024');</v>
      </c>
    </row>
    <row r="85" spans="1:8" ht="105.75" thickBot="1" x14ac:dyDescent="0.3">
      <c r="A85" s="3" t="s">
        <v>85</v>
      </c>
      <c r="B85" s="9" t="str">
        <f>VLOOKUP(A85,policy!B:C,2,0)</f>
        <v>040000144134</v>
      </c>
      <c r="C85" s="4">
        <v>2</v>
      </c>
      <c r="D85" s="10">
        <f t="shared" si="5"/>
        <v>2</v>
      </c>
      <c r="E85" s="8" t="s">
        <v>329</v>
      </c>
      <c r="F85" s="11" t="str">
        <f t="shared" si="4"/>
        <v>insert into ins_premium_det (premium_rcv_code,assorted_code, rec_amount,premium_rcv_detail_code,remaining_amt, payrec, mode_code,coinsurance_code,class_cd,it_remarks) values</v>
      </c>
      <c r="G85" s="12" t="str">
        <f t="shared" si="6"/>
        <v>('27Nov240142','040000144134','2',(select max(to_number(i.premium_rcv_detail_code))+1
from ins_premium_det i),'2','2','02', '11000003','00','Request by Mr. Omair Ali 28-Nov-2024');</v>
      </c>
      <c r="H85" s="13" t="str">
        <f t="shared" si="7"/>
        <v>insert into ins_premium_det (premium_rcv_code,assorted_code, rec_amount,premium_rcv_detail_code,remaining_amt, payrec, mode_code,coinsurance_code,class_cd,it_remarks) values('27Nov240142','040000144134','2',(select max(to_number(i.premium_rcv_detail_code))+1
from ins_premium_det i),'2','2','02', '11000003','00','Request by Mr. Omair Ali 28-Nov-2024');</v>
      </c>
    </row>
    <row r="86" spans="1:8" ht="105.75" thickBot="1" x14ac:dyDescent="0.3">
      <c r="A86" s="3" t="s">
        <v>86</v>
      </c>
      <c r="B86" s="9" t="str">
        <f>VLOOKUP(A86,policy!B:C,2,0)</f>
        <v>040000150429</v>
      </c>
      <c r="C86" s="4">
        <v>2</v>
      </c>
      <c r="D86" s="10">
        <f t="shared" si="5"/>
        <v>2</v>
      </c>
      <c r="E86" s="8" t="s">
        <v>329</v>
      </c>
      <c r="F86" s="11" t="str">
        <f t="shared" si="4"/>
        <v>insert into ins_premium_det (premium_rcv_code,assorted_code, rec_amount,premium_rcv_detail_code,remaining_amt, payrec, mode_code,coinsurance_code,class_cd,it_remarks) values</v>
      </c>
      <c r="G86" s="12" t="str">
        <f t="shared" si="6"/>
        <v>('27Nov240142','040000150429','2',(select max(to_number(i.premium_rcv_detail_code))+1
from ins_premium_det i),'2','2','02', '11000003','00','Request by Mr. Omair Ali 28-Nov-2024');</v>
      </c>
      <c r="H86" s="13" t="str">
        <f t="shared" si="7"/>
        <v>insert into ins_premium_det (premium_rcv_code,assorted_code, rec_amount,premium_rcv_detail_code,remaining_amt, payrec, mode_code,coinsurance_code,class_cd,it_remarks) values('27Nov240142','040000150429','2',(select max(to_number(i.premium_rcv_detail_code))+1
from ins_premium_det i),'2','2','02', '11000003','00','Request by Mr. Omair Ali 28-Nov-2024');</v>
      </c>
    </row>
    <row r="87" spans="1:8" ht="105.75" thickBot="1" x14ac:dyDescent="0.3">
      <c r="A87" s="3" t="s">
        <v>87</v>
      </c>
      <c r="B87" s="9" t="str">
        <f>VLOOKUP(A87,policy!B:C,2,0)</f>
        <v>040000162736</v>
      </c>
      <c r="C87" s="4">
        <v>2</v>
      </c>
      <c r="D87" s="10">
        <f t="shared" si="5"/>
        <v>2</v>
      </c>
      <c r="E87" s="8" t="s">
        <v>329</v>
      </c>
      <c r="F87" s="11" t="str">
        <f t="shared" si="4"/>
        <v>insert into ins_premium_det (premium_rcv_code,assorted_code, rec_amount,premium_rcv_detail_code,remaining_amt, payrec, mode_code,coinsurance_code,class_cd,it_remarks) values</v>
      </c>
      <c r="G87" s="12" t="str">
        <f t="shared" si="6"/>
        <v>('27Nov240142','040000162736','2',(select max(to_number(i.premium_rcv_detail_code))+1
from ins_premium_det i),'2','2','02', '11000003','00','Request by Mr. Omair Ali 28-Nov-2024');</v>
      </c>
      <c r="H87" s="13" t="str">
        <f t="shared" si="7"/>
        <v>insert into ins_premium_det (premium_rcv_code,assorted_code, rec_amount,premium_rcv_detail_code,remaining_amt, payrec, mode_code,coinsurance_code,class_cd,it_remarks) values('27Nov240142','040000162736','2',(select max(to_number(i.premium_rcv_detail_code))+1
from ins_premium_det i),'2','2','02', '11000003','00','Request by Mr. Omair Ali 28-Nov-2024');</v>
      </c>
    </row>
    <row r="88" spans="1:8" ht="105.75" thickBot="1" x14ac:dyDescent="0.3">
      <c r="A88" s="3" t="s">
        <v>88</v>
      </c>
      <c r="B88" s="9" t="str">
        <f>VLOOKUP(A88,policy!B:C,2,0)</f>
        <v>040000174323</v>
      </c>
      <c r="C88" s="4">
        <v>3</v>
      </c>
      <c r="D88" s="10">
        <f t="shared" si="5"/>
        <v>3</v>
      </c>
      <c r="E88" s="8" t="s">
        <v>329</v>
      </c>
      <c r="F88" s="11" t="str">
        <f t="shared" si="4"/>
        <v>insert into ins_premium_det (premium_rcv_code,assorted_code, rec_amount,premium_rcv_detail_code,remaining_amt, payrec, mode_code,coinsurance_code,class_cd,it_remarks) values</v>
      </c>
      <c r="G88" s="12" t="str">
        <f t="shared" si="6"/>
        <v>('27Nov240142','040000174323','3',(select max(to_number(i.premium_rcv_detail_code))+1
from ins_premium_det i),'3','3','02', '11000003','00','Request by Mr. Omair Ali 28-Nov-2024');</v>
      </c>
      <c r="H88" s="13" t="str">
        <f t="shared" si="7"/>
        <v>insert into ins_premium_det (premium_rcv_code,assorted_code, rec_amount,premium_rcv_detail_code,remaining_amt, payrec, mode_code,coinsurance_code,class_cd,it_remarks) values('27Nov240142','040000174323','3',(select max(to_number(i.premium_rcv_detail_code))+1
from ins_premium_det i),'3','3','02', '11000003','00','Request by Mr. Omair Ali 28-Nov-2024');</v>
      </c>
    </row>
    <row r="89" spans="1:8" ht="105.75" thickBot="1" x14ac:dyDescent="0.3">
      <c r="A89" s="3" t="s">
        <v>89</v>
      </c>
      <c r="B89" s="9" t="str">
        <f>VLOOKUP(A89,policy!B:C,2,0)</f>
        <v>040000152930</v>
      </c>
      <c r="C89" s="4">
        <v>3</v>
      </c>
      <c r="D89" s="10">
        <f t="shared" si="5"/>
        <v>3</v>
      </c>
      <c r="E89" s="8" t="s">
        <v>329</v>
      </c>
      <c r="F89" s="11" t="str">
        <f t="shared" si="4"/>
        <v>insert into ins_premium_det (premium_rcv_code,assorted_code, rec_amount,premium_rcv_detail_code,remaining_amt, payrec, mode_code,coinsurance_code,class_cd,it_remarks) values</v>
      </c>
      <c r="G89" s="12" t="str">
        <f t="shared" si="6"/>
        <v>('27Nov240142','040000152930','3',(select max(to_number(i.premium_rcv_detail_code))+1
from ins_premium_det i),'3','3','02', '11000003','00','Request by Mr. Omair Ali 28-Nov-2024');</v>
      </c>
      <c r="H89" s="13" t="str">
        <f t="shared" si="7"/>
        <v>insert into ins_premium_det (premium_rcv_code,assorted_code, rec_amount,premium_rcv_detail_code,remaining_amt, payrec, mode_code,coinsurance_code,class_cd,it_remarks) values('27Nov240142','040000152930','3',(select max(to_number(i.premium_rcv_detail_code))+1
from ins_premium_det i),'3','3','02', '11000003','00','Request by Mr. Omair Ali 28-Nov-2024');</v>
      </c>
    </row>
    <row r="90" spans="1:8" ht="105.75" thickBot="1" x14ac:dyDescent="0.3">
      <c r="A90" s="3" t="s">
        <v>90</v>
      </c>
      <c r="B90" s="9" t="str">
        <f>VLOOKUP(A90,policy!B:C,2,0)</f>
        <v>040000174835</v>
      </c>
      <c r="C90" s="4">
        <v>3</v>
      </c>
      <c r="D90" s="10">
        <f t="shared" si="5"/>
        <v>3</v>
      </c>
      <c r="E90" s="8" t="s">
        <v>329</v>
      </c>
      <c r="F90" s="11" t="str">
        <f t="shared" si="4"/>
        <v>insert into ins_premium_det (premium_rcv_code,assorted_code, rec_amount,premium_rcv_detail_code,remaining_amt, payrec, mode_code,coinsurance_code,class_cd,it_remarks) values</v>
      </c>
      <c r="G90" s="12" t="str">
        <f t="shared" si="6"/>
        <v>('27Nov240142','040000174835','3',(select max(to_number(i.premium_rcv_detail_code))+1
from ins_premium_det i),'3','3','02', '11000003','00','Request by Mr. Omair Ali 28-Nov-2024');</v>
      </c>
      <c r="H90" s="13" t="str">
        <f t="shared" si="7"/>
        <v>insert into ins_premium_det (premium_rcv_code,assorted_code, rec_amount,premium_rcv_detail_code,remaining_amt, payrec, mode_code,coinsurance_code,class_cd,it_remarks) values('27Nov240142','040000174835','3',(select max(to_number(i.premium_rcv_detail_code))+1
from ins_premium_det i),'3','3','02', '11000003','00','Request by Mr. Omair Ali 28-Nov-2024');</v>
      </c>
    </row>
    <row r="91" spans="1:8" ht="105.75" thickBot="1" x14ac:dyDescent="0.3">
      <c r="A91" s="3" t="s">
        <v>91</v>
      </c>
      <c r="B91" s="9" t="str">
        <f>VLOOKUP(A91,policy!B:C,2,0)</f>
        <v>040000189853</v>
      </c>
      <c r="C91" s="4">
        <v>3</v>
      </c>
      <c r="D91" s="10">
        <f t="shared" si="5"/>
        <v>3</v>
      </c>
      <c r="E91" s="8" t="s">
        <v>329</v>
      </c>
      <c r="F91" s="11" t="str">
        <f t="shared" si="4"/>
        <v>insert into ins_premium_det (premium_rcv_code,assorted_code, rec_amount,premium_rcv_detail_code,remaining_amt, payrec, mode_code,coinsurance_code,class_cd,it_remarks) values</v>
      </c>
      <c r="G91" s="12" t="str">
        <f t="shared" si="6"/>
        <v>('27Nov240142','040000189853','3',(select max(to_number(i.premium_rcv_detail_code))+1
from ins_premium_det i),'3','3','02', '11000003','00','Request by Mr. Omair Ali 28-Nov-2024');</v>
      </c>
      <c r="H91" s="13" t="str">
        <f t="shared" si="7"/>
        <v>insert into ins_premium_det (premium_rcv_code,assorted_code, rec_amount,premium_rcv_detail_code,remaining_amt, payrec, mode_code,coinsurance_code,class_cd,it_remarks) values('27Nov240142','040000189853','3',(select max(to_number(i.premium_rcv_detail_code))+1
from ins_premium_det i),'3','3','02', '11000003','00','Request by Mr. Omair Ali 28-Nov-2024');</v>
      </c>
    </row>
    <row r="92" spans="1:8" ht="105.75" thickBot="1" x14ac:dyDescent="0.3">
      <c r="A92" s="3" t="s">
        <v>92</v>
      </c>
      <c r="B92" s="9" t="str">
        <f>VLOOKUP(A92,policy!B:C,2,0)</f>
        <v>040000159348</v>
      </c>
      <c r="C92" s="4">
        <v>4</v>
      </c>
      <c r="D92" s="10">
        <f t="shared" si="5"/>
        <v>4</v>
      </c>
      <c r="E92" s="8" t="s">
        <v>329</v>
      </c>
      <c r="F92" s="11" t="str">
        <f t="shared" si="4"/>
        <v>insert into ins_premium_det (premium_rcv_code,assorted_code, rec_amount,premium_rcv_detail_code,remaining_amt, payrec, mode_code,coinsurance_code,class_cd,it_remarks) values</v>
      </c>
      <c r="G92" s="12" t="str">
        <f t="shared" si="6"/>
        <v>('27Nov240142','040000159348','4',(select max(to_number(i.premium_rcv_detail_code))+1
from ins_premium_det i),'4','4','02', '11000003','00','Request by Mr. Omair Ali 28-Nov-2024');</v>
      </c>
      <c r="H92" s="13" t="str">
        <f t="shared" si="7"/>
        <v>insert into ins_premium_det (premium_rcv_code,assorted_code, rec_amount,premium_rcv_detail_code,remaining_amt, payrec, mode_code,coinsurance_code,class_cd,it_remarks) values('27Nov240142','040000159348','4',(select max(to_number(i.premium_rcv_detail_code))+1
from ins_premium_det i),'4','4','02', '11000003','00','Request by Mr. Omair Ali 28-Nov-2024');</v>
      </c>
    </row>
    <row r="93" spans="1:8" ht="105.75" thickBot="1" x14ac:dyDescent="0.3">
      <c r="A93" s="3" t="s">
        <v>93</v>
      </c>
      <c r="B93" s="9" t="str">
        <f>VLOOKUP(A93,policy!B:C,2,0)</f>
        <v>040000172524</v>
      </c>
      <c r="C93" s="4">
        <v>4</v>
      </c>
      <c r="D93" s="10">
        <f t="shared" si="5"/>
        <v>4</v>
      </c>
      <c r="E93" s="8" t="s">
        <v>329</v>
      </c>
      <c r="F93" s="11" t="str">
        <f t="shared" si="4"/>
        <v>insert into ins_premium_det (premium_rcv_code,assorted_code, rec_amount,premium_rcv_detail_code,remaining_amt, payrec, mode_code,coinsurance_code,class_cd,it_remarks) values</v>
      </c>
      <c r="G93" s="12" t="str">
        <f t="shared" si="6"/>
        <v>('27Nov240142','040000172524','4',(select max(to_number(i.premium_rcv_detail_code))+1
from ins_premium_det i),'4','4','02', '11000003','00','Request by Mr. Omair Ali 28-Nov-2024');</v>
      </c>
      <c r="H93" s="13" t="str">
        <f t="shared" si="7"/>
        <v>insert into ins_premium_det (premium_rcv_code,assorted_code, rec_amount,premium_rcv_detail_code,remaining_amt, payrec, mode_code,coinsurance_code,class_cd,it_remarks) values('27Nov240142','040000172524','4',(select max(to_number(i.premium_rcv_detail_code))+1
from ins_premium_det i),'4','4','02', '11000003','00','Request by Mr. Omair Ali 28-Nov-2024');</v>
      </c>
    </row>
    <row r="94" spans="1:8" ht="105.75" thickBot="1" x14ac:dyDescent="0.3">
      <c r="A94" s="3" t="s">
        <v>94</v>
      </c>
      <c r="B94" s="9" t="str">
        <f>VLOOKUP(A94,policy!B:C,2,0)</f>
        <v>040000164224</v>
      </c>
      <c r="C94" s="4">
        <v>4</v>
      </c>
      <c r="D94" s="10">
        <f t="shared" si="5"/>
        <v>4</v>
      </c>
      <c r="E94" s="8" t="s">
        <v>329</v>
      </c>
      <c r="F94" s="11" t="str">
        <f t="shared" si="4"/>
        <v>insert into ins_premium_det (premium_rcv_code,assorted_code, rec_amount,premium_rcv_detail_code,remaining_amt, payrec, mode_code,coinsurance_code,class_cd,it_remarks) values</v>
      </c>
      <c r="G94" s="12" t="str">
        <f t="shared" si="6"/>
        <v>('27Nov240142','040000164224','4',(select max(to_number(i.premium_rcv_detail_code))+1
from ins_premium_det i),'4','4','02', '11000003','00','Request by Mr. Omair Ali 28-Nov-2024');</v>
      </c>
      <c r="H94" s="13" t="str">
        <f t="shared" si="7"/>
        <v>insert into ins_premium_det (premium_rcv_code,assorted_code, rec_amount,premium_rcv_detail_code,remaining_amt, payrec, mode_code,coinsurance_code,class_cd,it_remarks) values('27Nov240142','040000164224','4',(select max(to_number(i.premium_rcv_detail_code))+1
from ins_premium_det i),'4','4','02', '11000003','00','Request by Mr. Omair Ali 28-Nov-2024');</v>
      </c>
    </row>
    <row r="95" spans="1:8" ht="105.75" thickBot="1" x14ac:dyDescent="0.3">
      <c r="A95" s="3" t="s">
        <v>95</v>
      </c>
      <c r="B95" s="9" t="str">
        <f>VLOOKUP(A95,policy!B:C,2,0)</f>
        <v>040000173252</v>
      </c>
      <c r="C95" s="4">
        <v>4</v>
      </c>
      <c r="D95" s="10">
        <f t="shared" si="5"/>
        <v>4</v>
      </c>
      <c r="E95" s="8" t="s">
        <v>329</v>
      </c>
      <c r="F95" s="11" t="str">
        <f t="shared" si="4"/>
        <v>insert into ins_premium_det (premium_rcv_code,assorted_code, rec_amount,premium_rcv_detail_code,remaining_amt, payrec, mode_code,coinsurance_code,class_cd,it_remarks) values</v>
      </c>
      <c r="G95" s="12" t="str">
        <f t="shared" si="6"/>
        <v>('27Nov240142','040000173252','4',(select max(to_number(i.premium_rcv_detail_code))+1
from ins_premium_det i),'4','4','02', '11000003','00','Request by Mr. Omair Ali 28-Nov-2024');</v>
      </c>
      <c r="H95" s="13" t="str">
        <f t="shared" si="7"/>
        <v>insert into ins_premium_det (premium_rcv_code,assorted_code, rec_amount,premium_rcv_detail_code,remaining_amt, payrec, mode_code,coinsurance_code,class_cd,it_remarks) values('27Nov240142','040000173252','4',(select max(to_number(i.premium_rcv_detail_code))+1
from ins_premium_det i),'4','4','02', '11000003','00','Request by Mr. Omair Ali 28-Nov-2024');</v>
      </c>
    </row>
    <row r="96" spans="1:8" ht="105.75" thickBot="1" x14ac:dyDescent="0.3">
      <c r="A96" s="3" t="s">
        <v>96</v>
      </c>
      <c r="B96" s="9" t="str">
        <f>VLOOKUP(A96,policy!B:C,2,0)</f>
        <v>040000179008</v>
      </c>
      <c r="C96" s="4">
        <v>4</v>
      </c>
      <c r="D96" s="10">
        <f t="shared" si="5"/>
        <v>4</v>
      </c>
      <c r="E96" s="8" t="s">
        <v>329</v>
      </c>
      <c r="F96" s="11" t="str">
        <f t="shared" si="4"/>
        <v>insert into ins_premium_det (premium_rcv_code,assorted_code, rec_amount,premium_rcv_detail_code,remaining_amt, payrec, mode_code,coinsurance_code,class_cd,it_remarks) values</v>
      </c>
      <c r="G96" s="12" t="str">
        <f t="shared" si="6"/>
        <v>('27Nov240142','040000179008','4',(select max(to_number(i.premium_rcv_detail_code))+1
from ins_premium_det i),'4','4','02', '11000003','00','Request by Mr. Omair Ali 28-Nov-2024');</v>
      </c>
      <c r="H96" s="13" t="str">
        <f t="shared" si="7"/>
        <v>insert into ins_premium_det (premium_rcv_code,assorted_code, rec_amount,premium_rcv_detail_code,remaining_amt, payrec, mode_code,coinsurance_code,class_cd,it_remarks) values('27Nov240142','040000179008','4',(select max(to_number(i.premium_rcv_detail_code))+1
from ins_premium_det i),'4','4','02', '11000003','00','Request by Mr. Omair Ali 28-Nov-2024');</v>
      </c>
    </row>
    <row r="97" spans="1:8" ht="105.75" thickBot="1" x14ac:dyDescent="0.3">
      <c r="A97" s="3" t="s">
        <v>97</v>
      </c>
      <c r="B97" s="9" t="str">
        <f>VLOOKUP(A97,policy!B:C,2,0)</f>
        <v>040000186727</v>
      </c>
      <c r="C97" s="4">
        <v>4</v>
      </c>
      <c r="D97" s="10">
        <f t="shared" si="5"/>
        <v>4</v>
      </c>
      <c r="E97" s="8" t="s">
        <v>329</v>
      </c>
      <c r="F97" s="11" t="str">
        <f t="shared" si="4"/>
        <v>insert into ins_premium_det (premium_rcv_code,assorted_code, rec_amount,premium_rcv_detail_code,remaining_amt, payrec, mode_code,coinsurance_code,class_cd,it_remarks) values</v>
      </c>
      <c r="G97" s="12" t="str">
        <f t="shared" si="6"/>
        <v>('27Nov240142','040000186727','4',(select max(to_number(i.premium_rcv_detail_code))+1
from ins_premium_det i),'4','4','02', '11000003','00','Request by Mr. Omair Ali 28-Nov-2024');</v>
      </c>
      <c r="H97" s="13" t="str">
        <f t="shared" si="7"/>
        <v>insert into ins_premium_det (premium_rcv_code,assorted_code, rec_amount,premium_rcv_detail_code,remaining_amt, payrec, mode_code,coinsurance_code,class_cd,it_remarks) values('27Nov240142','040000186727','4',(select max(to_number(i.premium_rcv_detail_code))+1
from ins_premium_det i),'4','4','02', '11000003','00','Request by Mr. Omair Ali 28-Nov-2024');</v>
      </c>
    </row>
    <row r="98" spans="1:8" ht="105.75" thickBot="1" x14ac:dyDescent="0.3">
      <c r="A98" s="3" t="s">
        <v>98</v>
      </c>
      <c r="B98" s="9" t="str">
        <f>VLOOKUP(A98,policy!B:C,2,0)</f>
        <v>040000186161</v>
      </c>
      <c r="C98" s="4">
        <v>4</v>
      </c>
      <c r="D98" s="10">
        <f t="shared" si="5"/>
        <v>4</v>
      </c>
      <c r="E98" s="8" t="s">
        <v>329</v>
      </c>
      <c r="F98" s="11" t="str">
        <f t="shared" si="4"/>
        <v>insert into ins_premium_det (premium_rcv_code,assorted_code, rec_amount,premium_rcv_detail_code,remaining_amt, payrec, mode_code,coinsurance_code,class_cd,it_remarks) values</v>
      </c>
      <c r="G98" s="12" t="str">
        <f t="shared" si="6"/>
        <v>('27Nov240142','040000186161','4',(select max(to_number(i.premium_rcv_detail_code))+1
from ins_premium_det i),'4','4','02', '11000003','00','Request by Mr. Omair Ali 28-Nov-2024');</v>
      </c>
      <c r="H98" s="13" t="str">
        <f t="shared" si="7"/>
        <v>insert into ins_premium_det (premium_rcv_code,assorted_code, rec_amount,premium_rcv_detail_code,remaining_amt, payrec, mode_code,coinsurance_code,class_cd,it_remarks) values('27Nov240142','040000186161','4',(select max(to_number(i.premium_rcv_detail_code))+1
from ins_premium_det i),'4','4','02', '11000003','00','Request by Mr. Omair Ali 28-Nov-2024');</v>
      </c>
    </row>
    <row r="99" spans="1:8" ht="105.75" thickBot="1" x14ac:dyDescent="0.3">
      <c r="A99" s="3" t="s">
        <v>99</v>
      </c>
      <c r="B99" s="9" t="str">
        <f>VLOOKUP(A99,policy!B:C,2,0)</f>
        <v>040000189431</v>
      </c>
      <c r="C99" s="4">
        <v>4</v>
      </c>
      <c r="D99" s="10">
        <f t="shared" si="5"/>
        <v>4</v>
      </c>
      <c r="E99" s="8" t="s">
        <v>329</v>
      </c>
      <c r="F99" s="11" t="str">
        <f t="shared" si="4"/>
        <v>insert into ins_premium_det (premium_rcv_code,assorted_code, rec_amount,premium_rcv_detail_code,remaining_amt, payrec, mode_code,coinsurance_code,class_cd,it_remarks) values</v>
      </c>
      <c r="G99" s="12" t="str">
        <f t="shared" si="6"/>
        <v>('27Nov240142','040000189431','4',(select max(to_number(i.premium_rcv_detail_code))+1
from ins_premium_det i),'4','4','02', '11000003','00','Request by Mr. Omair Ali 28-Nov-2024');</v>
      </c>
      <c r="H99" s="13" t="str">
        <f t="shared" si="7"/>
        <v>insert into ins_premium_det (premium_rcv_code,assorted_code, rec_amount,premium_rcv_detail_code,remaining_amt, payrec, mode_code,coinsurance_code,class_cd,it_remarks) values('27Nov240142','040000189431','4',(select max(to_number(i.premium_rcv_detail_code))+1
from ins_premium_det i),'4','4','02', '11000003','00','Request by Mr. Omair Ali 28-Nov-2024');</v>
      </c>
    </row>
    <row r="100" spans="1:8" ht="105.75" thickBot="1" x14ac:dyDescent="0.3">
      <c r="A100" s="3" t="s">
        <v>100</v>
      </c>
      <c r="B100" s="9" t="str">
        <f>VLOOKUP(A100,policy!B:C,2,0)</f>
        <v>040000158730</v>
      </c>
      <c r="C100" s="4">
        <v>6</v>
      </c>
      <c r="D100" s="10">
        <f t="shared" si="5"/>
        <v>6</v>
      </c>
      <c r="E100" s="8" t="s">
        <v>329</v>
      </c>
      <c r="F100" s="11" t="str">
        <f t="shared" si="4"/>
        <v>insert into ins_premium_det (premium_rcv_code,assorted_code, rec_amount,premium_rcv_detail_code,remaining_amt, payrec, mode_code,coinsurance_code,class_cd,it_remarks) values</v>
      </c>
      <c r="G100" s="12" t="str">
        <f t="shared" si="6"/>
        <v>('27Nov240142','040000158730','6',(select max(to_number(i.premium_rcv_detail_code))+1
from ins_premium_det i),'6','6','02', '11000003','00','Request by Mr. Omair Ali 28-Nov-2024');</v>
      </c>
      <c r="H100" s="13" t="str">
        <f t="shared" si="7"/>
        <v>insert into ins_premium_det (premium_rcv_code,assorted_code, rec_amount,premium_rcv_detail_code,remaining_amt, payrec, mode_code,coinsurance_code,class_cd,it_remarks) values('27Nov240142','040000158730','6',(select max(to_number(i.premium_rcv_detail_code))+1
from ins_premium_det i),'6','6','02', '11000003','00','Request by Mr. Omair Ali 28-Nov-2024');</v>
      </c>
    </row>
    <row r="101" spans="1:8" ht="105.75" thickBot="1" x14ac:dyDescent="0.3">
      <c r="A101" s="3" t="s">
        <v>101</v>
      </c>
      <c r="B101" s="9" t="str">
        <f>VLOOKUP(A101,policy!B:C,2,0)</f>
        <v>040000153815</v>
      </c>
      <c r="C101" s="4">
        <v>7</v>
      </c>
      <c r="D101" s="10">
        <f t="shared" si="5"/>
        <v>7</v>
      </c>
      <c r="E101" s="8" t="s">
        <v>329</v>
      </c>
      <c r="F101" s="11" t="str">
        <f t="shared" si="4"/>
        <v>insert into ins_premium_det (premium_rcv_code,assorted_code, rec_amount,premium_rcv_detail_code,remaining_amt, payrec, mode_code,coinsurance_code,class_cd,it_remarks) values</v>
      </c>
      <c r="G101" s="12" t="str">
        <f t="shared" si="6"/>
        <v>('27Nov240142','040000153815','7',(select max(to_number(i.premium_rcv_detail_code))+1
from ins_premium_det i),'7','7','02', '11000003','00','Request by Mr. Omair Ali 28-Nov-2024');</v>
      </c>
      <c r="H101" s="13" t="str">
        <f t="shared" si="7"/>
        <v>insert into ins_premium_det (premium_rcv_code,assorted_code, rec_amount,premium_rcv_detail_code,remaining_amt, payrec, mode_code,coinsurance_code,class_cd,it_remarks) values('27Nov240142','040000153815','7',(select max(to_number(i.premium_rcv_detail_code))+1
from ins_premium_det i),'7','7','02', '11000003','00','Request by Mr. Omair Ali 28-Nov-2024');</v>
      </c>
    </row>
    <row r="102" spans="1:8" ht="105.75" thickBot="1" x14ac:dyDescent="0.3">
      <c r="A102" s="3" t="s">
        <v>102</v>
      </c>
      <c r="B102" s="9" t="str">
        <f>VLOOKUP(A102,policy!B:C,2,0)</f>
        <v>040000168054</v>
      </c>
      <c r="C102" s="4">
        <v>8</v>
      </c>
      <c r="D102" s="10">
        <f t="shared" si="5"/>
        <v>8</v>
      </c>
      <c r="E102" s="8" t="s">
        <v>329</v>
      </c>
      <c r="F102" s="11" t="str">
        <f t="shared" si="4"/>
        <v>insert into ins_premium_det (premium_rcv_code,assorted_code, rec_amount,premium_rcv_detail_code,remaining_amt, payrec, mode_code,coinsurance_code,class_cd,it_remarks) values</v>
      </c>
      <c r="G102" s="12" t="str">
        <f t="shared" si="6"/>
        <v>('27Nov240142','040000168054','8',(select max(to_number(i.premium_rcv_detail_code))+1
from ins_premium_det i),'8','8','02', '11000003','00','Request by Mr. Omair Ali 28-Nov-2024');</v>
      </c>
      <c r="H102" s="13" t="str">
        <f t="shared" si="7"/>
        <v>insert into ins_premium_det (premium_rcv_code,assorted_code, rec_amount,premium_rcv_detail_code,remaining_amt, payrec, mode_code,coinsurance_code,class_cd,it_remarks) values('27Nov240142','040000168054','8',(select max(to_number(i.premium_rcv_detail_code))+1
from ins_premium_det i),'8','8','02', '11000003','00','Request by Mr. Omair Ali 28-Nov-2024');</v>
      </c>
    </row>
    <row r="103" spans="1:8" ht="105.75" thickBot="1" x14ac:dyDescent="0.3">
      <c r="A103" s="3" t="s">
        <v>103</v>
      </c>
      <c r="B103" s="9" t="str">
        <f>VLOOKUP(A103,policy!B:C,2,0)</f>
        <v>040000151942</v>
      </c>
      <c r="C103" s="4">
        <v>8</v>
      </c>
      <c r="D103" s="10">
        <f t="shared" si="5"/>
        <v>8</v>
      </c>
      <c r="E103" s="8" t="s">
        <v>329</v>
      </c>
      <c r="F103" s="11" t="str">
        <f t="shared" si="4"/>
        <v>insert into ins_premium_det (premium_rcv_code,assorted_code, rec_amount,premium_rcv_detail_code,remaining_amt, payrec, mode_code,coinsurance_code,class_cd,it_remarks) values</v>
      </c>
      <c r="G103" s="12" t="str">
        <f t="shared" si="6"/>
        <v>('27Nov240142','040000151942','8',(select max(to_number(i.premium_rcv_detail_code))+1
from ins_premium_det i),'8','8','02', '11000003','00','Request by Mr. Omair Ali 28-Nov-2024');</v>
      </c>
      <c r="H103" s="13" t="str">
        <f t="shared" si="7"/>
        <v>insert into ins_premium_det (premium_rcv_code,assorted_code, rec_amount,premium_rcv_detail_code,remaining_amt, payrec, mode_code,coinsurance_code,class_cd,it_remarks) values('27Nov240142','040000151942','8',(select max(to_number(i.premium_rcv_detail_code))+1
from ins_premium_det i),'8','8','02', '11000003','00','Request by Mr. Omair Ali 28-Nov-2024');</v>
      </c>
    </row>
    <row r="104" spans="1:8" ht="105.75" thickBot="1" x14ac:dyDescent="0.3">
      <c r="A104" s="3" t="s">
        <v>104</v>
      </c>
      <c r="B104" s="9" t="str">
        <f>VLOOKUP(A104,policy!B:C,2,0)</f>
        <v>040000151744</v>
      </c>
      <c r="C104" s="4">
        <v>8</v>
      </c>
      <c r="D104" s="10">
        <f t="shared" si="5"/>
        <v>8</v>
      </c>
      <c r="E104" s="8" t="s">
        <v>329</v>
      </c>
      <c r="F104" s="11" t="str">
        <f t="shared" si="4"/>
        <v>insert into ins_premium_det (premium_rcv_code,assorted_code, rec_amount,premium_rcv_detail_code,remaining_amt, payrec, mode_code,coinsurance_code,class_cd,it_remarks) values</v>
      </c>
      <c r="G104" s="12" t="str">
        <f t="shared" si="6"/>
        <v>('27Nov240142','040000151744','8',(select max(to_number(i.premium_rcv_detail_code))+1
from ins_premium_det i),'8','8','02', '11000003','00','Request by Mr. Omair Ali 28-Nov-2024');</v>
      </c>
      <c r="H104" s="13" t="str">
        <f t="shared" si="7"/>
        <v>insert into ins_premium_det (premium_rcv_code,assorted_code, rec_amount,premium_rcv_detail_code,remaining_amt, payrec, mode_code,coinsurance_code,class_cd,it_remarks) values('27Nov240142','040000151744','8',(select max(to_number(i.premium_rcv_detail_code))+1
from ins_premium_det i),'8','8','02', '11000003','00','Request by Mr. Omair Ali 28-Nov-2024');</v>
      </c>
    </row>
    <row r="105" spans="1:8" ht="105.75" thickBot="1" x14ac:dyDescent="0.3">
      <c r="A105" s="3" t="s">
        <v>105</v>
      </c>
      <c r="B105" s="9" t="str">
        <f>VLOOKUP(A105,policy!B:C,2,0)</f>
        <v>040000181040</v>
      </c>
      <c r="C105" s="4">
        <v>9</v>
      </c>
      <c r="D105" s="10">
        <f t="shared" si="5"/>
        <v>9</v>
      </c>
      <c r="E105" s="8" t="s">
        <v>329</v>
      </c>
      <c r="F105" s="11" t="str">
        <f t="shared" si="4"/>
        <v>insert into ins_premium_det (premium_rcv_code,assorted_code, rec_amount,premium_rcv_detail_code,remaining_amt, payrec, mode_code,coinsurance_code,class_cd,it_remarks) values</v>
      </c>
      <c r="G105" s="12" t="str">
        <f t="shared" si="6"/>
        <v>('27Nov240142','040000181040','9',(select max(to_number(i.premium_rcv_detail_code))+1
from ins_premium_det i),'9','9','02', '11000003','00','Request by Mr. Omair Ali 28-Nov-2024');</v>
      </c>
      <c r="H105" s="13" t="str">
        <f t="shared" si="7"/>
        <v>insert into ins_premium_det (premium_rcv_code,assorted_code, rec_amount,premium_rcv_detail_code,remaining_amt, payrec, mode_code,coinsurance_code,class_cd,it_remarks) values('27Nov240142','040000181040','9',(select max(to_number(i.premium_rcv_detail_code))+1
from ins_premium_det i),'9','9','02', '11000003','00','Request by Mr. Omair Ali 28-Nov-2024');</v>
      </c>
    </row>
    <row r="106" spans="1:8" ht="105.75" thickBot="1" x14ac:dyDescent="0.3">
      <c r="A106" s="3" t="s">
        <v>106</v>
      </c>
      <c r="B106" s="9" t="str">
        <f>VLOOKUP(A106,policy!B:C,2,0)</f>
        <v>040000187734</v>
      </c>
      <c r="C106" s="4">
        <v>9</v>
      </c>
      <c r="D106" s="10">
        <f t="shared" si="5"/>
        <v>9</v>
      </c>
      <c r="E106" s="8" t="s">
        <v>329</v>
      </c>
      <c r="F106" s="11" t="str">
        <f t="shared" si="4"/>
        <v>insert into ins_premium_det (premium_rcv_code,assorted_code, rec_amount,premium_rcv_detail_code,remaining_amt, payrec, mode_code,coinsurance_code,class_cd,it_remarks) values</v>
      </c>
      <c r="G106" s="12" t="str">
        <f t="shared" si="6"/>
        <v>('27Nov240142','040000187734','9',(select max(to_number(i.premium_rcv_detail_code))+1
from ins_premium_det i),'9','9','02', '11000003','00','Request by Mr. Omair Ali 28-Nov-2024');</v>
      </c>
      <c r="H106" s="13" t="str">
        <f t="shared" si="7"/>
        <v>insert into ins_premium_det (premium_rcv_code,assorted_code, rec_amount,premium_rcv_detail_code,remaining_amt, payrec, mode_code,coinsurance_code,class_cd,it_remarks) values('27Nov240142','040000187734','9',(select max(to_number(i.premium_rcv_detail_code))+1
from ins_premium_det i),'9','9','02', '11000003','00','Request by Mr. Omair Ali 28-Nov-2024');</v>
      </c>
    </row>
    <row r="107" spans="1:8" ht="105.75" thickBot="1" x14ac:dyDescent="0.3">
      <c r="A107" s="3" t="s">
        <v>107</v>
      </c>
      <c r="B107" s="9" t="str">
        <f>VLOOKUP(A107,policy!B:C,2,0)</f>
        <v>040000173141</v>
      </c>
      <c r="C107" s="4">
        <v>9</v>
      </c>
      <c r="D107" s="10">
        <f t="shared" si="5"/>
        <v>9</v>
      </c>
      <c r="E107" s="8" t="s">
        <v>329</v>
      </c>
      <c r="F107" s="11" t="str">
        <f t="shared" si="4"/>
        <v>insert into ins_premium_det (premium_rcv_code,assorted_code, rec_amount,premium_rcv_detail_code,remaining_amt, payrec, mode_code,coinsurance_code,class_cd,it_remarks) values</v>
      </c>
      <c r="G107" s="12" t="str">
        <f t="shared" si="6"/>
        <v>('27Nov240142','040000173141','9',(select max(to_number(i.premium_rcv_detail_code))+1
from ins_premium_det i),'9','9','02', '11000003','00','Request by Mr. Omair Ali 28-Nov-2024');</v>
      </c>
      <c r="H107" s="13" t="str">
        <f t="shared" si="7"/>
        <v>insert into ins_premium_det (premium_rcv_code,assorted_code, rec_amount,premium_rcv_detail_code,remaining_amt, payrec, mode_code,coinsurance_code,class_cd,it_remarks) values('27Nov240142','040000173141','9',(select max(to_number(i.premium_rcv_detail_code))+1
from ins_premium_det i),'9','9','02', '11000003','00','Request by Mr. Omair Ali 28-Nov-2024');</v>
      </c>
    </row>
    <row r="108" spans="1:8" ht="105.75" thickBot="1" x14ac:dyDescent="0.3">
      <c r="A108" s="3" t="s">
        <v>108</v>
      </c>
      <c r="B108" s="9" t="str">
        <f>VLOOKUP(A108,policy!B:C,2,0)</f>
        <v>040000154350</v>
      </c>
      <c r="C108" s="4">
        <v>10</v>
      </c>
      <c r="D108" s="10">
        <f t="shared" si="5"/>
        <v>10</v>
      </c>
      <c r="E108" s="8" t="s">
        <v>329</v>
      </c>
      <c r="F108" s="11" t="str">
        <f t="shared" si="4"/>
        <v>insert into ins_premium_det (premium_rcv_code,assorted_code, rec_amount,premium_rcv_detail_code,remaining_amt, payrec, mode_code,coinsurance_code,class_cd,it_remarks) values</v>
      </c>
      <c r="G108" s="12" t="str">
        <f t="shared" si="6"/>
        <v>('27Nov240142','040000154350','10',(select max(to_number(i.premium_rcv_detail_code))+1
from ins_premium_det i),'10','10','02', '11000003','00','Request by Mr. Omair Ali 28-Nov-2024');</v>
      </c>
      <c r="H108" s="13" t="str">
        <f t="shared" si="7"/>
        <v>insert into ins_premium_det (premium_rcv_code,assorted_code, rec_amount,premium_rcv_detail_code,remaining_amt, payrec, mode_code,coinsurance_code,class_cd,it_remarks) values('27Nov240142','040000154350','10',(select max(to_number(i.premium_rcv_detail_code))+1
from ins_premium_det i),'10','10','02', '11000003','00','Request by Mr. Omair Ali 28-Nov-2024');</v>
      </c>
    </row>
    <row r="109" spans="1:8" ht="105.75" thickBot="1" x14ac:dyDescent="0.3">
      <c r="A109" s="3" t="s">
        <v>109</v>
      </c>
      <c r="B109" s="9" t="str">
        <f>VLOOKUP(A109,policy!B:C,2,0)</f>
        <v>040000154104</v>
      </c>
      <c r="C109" s="4">
        <v>10</v>
      </c>
      <c r="D109" s="10">
        <f t="shared" si="5"/>
        <v>10</v>
      </c>
      <c r="E109" s="8" t="s">
        <v>329</v>
      </c>
      <c r="F109" s="11" t="str">
        <f t="shared" si="4"/>
        <v>insert into ins_premium_det (premium_rcv_code,assorted_code, rec_amount,premium_rcv_detail_code,remaining_amt, payrec, mode_code,coinsurance_code,class_cd,it_remarks) values</v>
      </c>
      <c r="G109" s="12" t="str">
        <f t="shared" si="6"/>
        <v>('27Nov240142','040000154104','10',(select max(to_number(i.premium_rcv_detail_code))+1
from ins_premium_det i),'10','10','02', '11000003','00','Request by Mr. Omair Ali 28-Nov-2024');</v>
      </c>
      <c r="H109" s="13" t="str">
        <f t="shared" si="7"/>
        <v>insert into ins_premium_det (premium_rcv_code,assorted_code, rec_amount,premium_rcv_detail_code,remaining_amt, payrec, mode_code,coinsurance_code,class_cd,it_remarks) values('27Nov240142','040000154104','10',(select max(to_number(i.premium_rcv_detail_code))+1
from ins_premium_det i),'10','10','02', '11000003','00','Request by Mr. Omair Ali 28-Nov-2024');</v>
      </c>
    </row>
    <row r="110" spans="1:8" ht="105.75" thickBot="1" x14ac:dyDescent="0.3">
      <c r="A110" s="3" t="s">
        <v>110</v>
      </c>
      <c r="B110" s="9" t="str">
        <f>VLOOKUP(A110,policy!B:C,2,0)</f>
        <v>040000170930</v>
      </c>
      <c r="C110" s="4">
        <v>10</v>
      </c>
      <c r="D110" s="10">
        <f t="shared" si="5"/>
        <v>10</v>
      </c>
      <c r="E110" s="8" t="s">
        <v>329</v>
      </c>
      <c r="F110" s="11" t="str">
        <f t="shared" si="4"/>
        <v>insert into ins_premium_det (premium_rcv_code,assorted_code, rec_amount,premium_rcv_detail_code,remaining_amt, payrec, mode_code,coinsurance_code,class_cd,it_remarks) values</v>
      </c>
      <c r="G110" s="12" t="str">
        <f t="shared" si="6"/>
        <v>('27Nov240142','040000170930','10',(select max(to_number(i.premium_rcv_detail_code))+1
from ins_premium_det i),'10','10','02', '11000003','00','Request by Mr. Omair Ali 28-Nov-2024');</v>
      </c>
      <c r="H110" s="13" t="str">
        <f t="shared" si="7"/>
        <v>insert into ins_premium_det (premium_rcv_code,assorted_code, rec_amount,premium_rcv_detail_code,remaining_amt, payrec, mode_code,coinsurance_code,class_cd,it_remarks) values('27Nov240142','040000170930','10',(select max(to_number(i.premium_rcv_detail_code))+1
from ins_premium_det i),'10','10','02', '11000003','00','Request by Mr. Omair Ali 28-Nov-2024');</v>
      </c>
    </row>
    <row r="111" spans="1:8" ht="105.75" thickBot="1" x14ac:dyDescent="0.3">
      <c r="A111" s="3" t="s">
        <v>111</v>
      </c>
      <c r="B111" s="9" t="str">
        <f>VLOOKUP(A111,policy!B:C,2,0)</f>
        <v>040000167833</v>
      </c>
      <c r="C111" s="4">
        <v>10</v>
      </c>
      <c r="D111" s="10">
        <f t="shared" si="5"/>
        <v>10</v>
      </c>
      <c r="E111" s="8" t="s">
        <v>329</v>
      </c>
      <c r="F111" s="11" t="str">
        <f t="shared" si="4"/>
        <v>insert into ins_premium_det (premium_rcv_code,assorted_code, rec_amount,premium_rcv_detail_code,remaining_amt, payrec, mode_code,coinsurance_code,class_cd,it_remarks) values</v>
      </c>
      <c r="G111" s="12" t="str">
        <f t="shared" si="6"/>
        <v>('27Nov240142','040000167833','10',(select max(to_number(i.premium_rcv_detail_code))+1
from ins_premium_det i),'10','10','02', '11000003','00','Request by Mr. Omair Ali 28-Nov-2024');</v>
      </c>
      <c r="H111" s="13" t="str">
        <f t="shared" si="7"/>
        <v>insert into ins_premium_det (premium_rcv_code,assorted_code, rec_amount,premium_rcv_detail_code,remaining_amt, payrec, mode_code,coinsurance_code,class_cd,it_remarks) values('27Nov240142','040000167833','10',(select max(to_number(i.premium_rcv_detail_code))+1
from ins_premium_det i),'10','10','02', '11000003','00','Request by Mr. Omair Ali 28-Nov-2024');</v>
      </c>
    </row>
    <row r="112" spans="1:8" ht="105.75" thickBot="1" x14ac:dyDescent="0.3">
      <c r="A112" s="3" t="s">
        <v>112</v>
      </c>
      <c r="B112" s="9" t="str">
        <f>VLOOKUP(A112,policy!B:C,2,0)</f>
        <v>040000154858</v>
      </c>
      <c r="C112" s="4">
        <v>10</v>
      </c>
      <c r="D112" s="10">
        <f t="shared" si="5"/>
        <v>10</v>
      </c>
      <c r="E112" s="8" t="s">
        <v>329</v>
      </c>
      <c r="F112" s="11" t="str">
        <f t="shared" si="4"/>
        <v>insert into ins_premium_det (premium_rcv_code,assorted_code, rec_amount,premium_rcv_detail_code,remaining_amt, payrec, mode_code,coinsurance_code,class_cd,it_remarks) values</v>
      </c>
      <c r="G112" s="12" t="str">
        <f t="shared" si="6"/>
        <v>('27Nov240142','040000154858','10',(select max(to_number(i.premium_rcv_detail_code))+1
from ins_premium_det i),'10','10','02', '11000003','00','Request by Mr. Omair Ali 28-Nov-2024');</v>
      </c>
      <c r="H112" s="13" t="str">
        <f t="shared" si="7"/>
        <v>insert into ins_premium_det (premium_rcv_code,assorted_code, rec_amount,premium_rcv_detail_code,remaining_amt, payrec, mode_code,coinsurance_code,class_cd,it_remarks) values('27Nov240142','040000154858','10',(select max(to_number(i.premium_rcv_detail_code))+1
from ins_premium_det i),'10','10','02', '11000003','00','Request by Mr. Omair Ali 28-Nov-2024');</v>
      </c>
    </row>
    <row r="113" spans="1:8" ht="105.75" thickBot="1" x14ac:dyDescent="0.3">
      <c r="A113" s="3" t="s">
        <v>113</v>
      </c>
      <c r="B113" s="9" t="str">
        <f>VLOOKUP(A113,policy!B:C,2,0)</f>
        <v>040000152339</v>
      </c>
      <c r="C113" s="4">
        <v>10</v>
      </c>
      <c r="D113" s="10">
        <f t="shared" si="5"/>
        <v>10</v>
      </c>
      <c r="E113" s="8" t="s">
        <v>329</v>
      </c>
      <c r="F113" s="11" t="str">
        <f t="shared" si="4"/>
        <v>insert into ins_premium_det (premium_rcv_code,assorted_code, rec_amount,premium_rcv_detail_code,remaining_amt, payrec, mode_code,coinsurance_code,class_cd,it_remarks) values</v>
      </c>
      <c r="G113" s="12" t="str">
        <f t="shared" si="6"/>
        <v>('27Nov240142','040000152339','10',(select max(to_number(i.premium_rcv_detail_code))+1
from ins_premium_det i),'10','10','02', '11000003','00','Request by Mr. Omair Ali 28-Nov-2024');</v>
      </c>
      <c r="H113" s="13" t="str">
        <f t="shared" si="7"/>
        <v>insert into ins_premium_det (premium_rcv_code,assorted_code, rec_amount,premium_rcv_detail_code,remaining_amt, payrec, mode_code,coinsurance_code,class_cd,it_remarks) values('27Nov240142','040000152339','10',(select max(to_number(i.premium_rcv_detail_code))+1
from ins_premium_det i),'10','10','02', '11000003','00','Request by Mr. Omair Ali 28-Nov-2024');</v>
      </c>
    </row>
    <row r="114" spans="1:8" ht="105.75" thickBot="1" x14ac:dyDescent="0.3">
      <c r="A114" s="3" t="s">
        <v>114</v>
      </c>
      <c r="B114" s="9" t="str">
        <f>VLOOKUP(A114,policy!B:C,2,0)</f>
        <v>040000174366</v>
      </c>
      <c r="C114" s="4">
        <v>13</v>
      </c>
      <c r="D114" s="10">
        <f t="shared" si="5"/>
        <v>13</v>
      </c>
      <c r="E114" s="8" t="s">
        <v>329</v>
      </c>
      <c r="F114" s="11" t="str">
        <f t="shared" si="4"/>
        <v>insert into ins_premium_det (premium_rcv_code,assorted_code, rec_amount,premium_rcv_detail_code,remaining_amt, payrec, mode_code,coinsurance_code,class_cd,it_remarks) values</v>
      </c>
      <c r="G114" s="12" t="str">
        <f t="shared" si="6"/>
        <v>('27Nov240142','040000174366','13',(select max(to_number(i.premium_rcv_detail_code))+1
from ins_premium_det i),'13','13','02', '11000003','00','Request by Mr. Omair Ali 28-Nov-2024');</v>
      </c>
      <c r="H114" s="13" t="str">
        <f t="shared" si="7"/>
        <v>insert into ins_premium_det (premium_rcv_code,assorted_code, rec_amount,premium_rcv_detail_code,remaining_amt, payrec, mode_code,coinsurance_code,class_cd,it_remarks) values('27Nov240142','040000174366','13',(select max(to_number(i.premium_rcv_detail_code))+1
from ins_premium_det i),'13','13','02', '11000003','00','Request by Mr. Omair Ali 28-Nov-2024');</v>
      </c>
    </row>
    <row r="115" spans="1:8" ht="105.75" thickBot="1" x14ac:dyDescent="0.3">
      <c r="A115" s="3" t="s">
        <v>115</v>
      </c>
      <c r="B115" s="9" t="str">
        <f>VLOOKUP(A115,policy!B:C,2,0)</f>
        <v>040000156248</v>
      </c>
      <c r="C115" s="4">
        <v>14</v>
      </c>
      <c r="D115" s="10">
        <f t="shared" si="5"/>
        <v>14</v>
      </c>
      <c r="E115" s="8" t="s">
        <v>329</v>
      </c>
      <c r="F115" s="11" t="str">
        <f t="shared" si="4"/>
        <v>insert into ins_premium_det (premium_rcv_code,assorted_code, rec_amount,premium_rcv_detail_code,remaining_amt, payrec, mode_code,coinsurance_code,class_cd,it_remarks) values</v>
      </c>
      <c r="G115" s="12" t="str">
        <f t="shared" si="6"/>
        <v>('27Nov240142','040000156248','14',(select max(to_number(i.premium_rcv_detail_code))+1
from ins_premium_det i),'14','14','02', '11000003','00','Request by Mr. Omair Ali 28-Nov-2024');</v>
      </c>
      <c r="H115" s="13" t="str">
        <f t="shared" si="7"/>
        <v>insert into ins_premium_det (premium_rcv_code,assorted_code, rec_amount,premium_rcv_detail_code,remaining_amt, payrec, mode_code,coinsurance_code,class_cd,it_remarks) values('27Nov240142','040000156248','14',(select max(to_number(i.premium_rcv_detail_code))+1
from ins_premium_det i),'14','14','02', '11000003','00','Request by Mr. Omair Ali 28-Nov-2024');</v>
      </c>
    </row>
    <row r="116" spans="1:8" ht="105.75" thickBot="1" x14ac:dyDescent="0.3">
      <c r="A116" s="3" t="s">
        <v>116</v>
      </c>
      <c r="B116" s="9" t="str">
        <f>VLOOKUP(A116,policy!B:C,2,0)</f>
        <v>040000169496</v>
      </c>
      <c r="C116" s="4">
        <v>15</v>
      </c>
      <c r="D116" s="10">
        <f t="shared" si="5"/>
        <v>15</v>
      </c>
      <c r="E116" s="8" t="s">
        <v>329</v>
      </c>
      <c r="F116" s="11" t="str">
        <f t="shared" si="4"/>
        <v>insert into ins_premium_det (premium_rcv_code,assorted_code, rec_amount,premium_rcv_detail_code,remaining_amt, payrec, mode_code,coinsurance_code,class_cd,it_remarks) values</v>
      </c>
      <c r="G116" s="12" t="str">
        <f t="shared" si="6"/>
        <v>('27Nov240142','040000169496','15',(select max(to_number(i.premium_rcv_detail_code))+1
from ins_premium_det i),'15','15','02', '11000003','00','Request by Mr. Omair Ali 28-Nov-2024');</v>
      </c>
      <c r="H116" s="13" t="str">
        <f t="shared" si="7"/>
        <v>insert into ins_premium_det (premium_rcv_code,assorted_code, rec_amount,premium_rcv_detail_code,remaining_amt, payrec, mode_code,coinsurance_code,class_cd,it_remarks) values('27Nov240142','040000169496','15',(select max(to_number(i.premium_rcv_detail_code))+1
from ins_premium_det i),'15','15','02', '11000003','00','Request by Mr. Omair Ali 28-Nov-2024');</v>
      </c>
    </row>
    <row r="117" spans="1:8" ht="105.75" thickBot="1" x14ac:dyDescent="0.3">
      <c r="A117" s="3" t="s">
        <v>117</v>
      </c>
      <c r="B117" s="9" t="str">
        <f>VLOOKUP(A117,policy!B:C,2,0)</f>
        <v>040000165687</v>
      </c>
      <c r="C117" s="4">
        <v>15</v>
      </c>
      <c r="D117" s="10">
        <f t="shared" si="5"/>
        <v>15</v>
      </c>
      <c r="E117" s="8" t="s">
        <v>329</v>
      </c>
      <c r="F117" s="11" t="str">
        <f t="shared" si="4"/>
        <v>insert into ins_premium_det (premium_rcv_code,assorted_code, rec_amount,premium_rcv_detail_code,remaining_amt, payrec, mode_code,coinsurance_code,class_cd,it_remarks) values</v>
      </c>
      <c r="G117" s="12" t="str">
        <f t="shared" si="6"/>
        <v>('27Nov240142','040000165687','15',(select max(to_number(i.premium_rcv_detail_code))+1
from ins_premium_det i),'15','15','02', '11000003','00','Request by Mr. Omair Ali 28-Nov-2024');</v>
      </c>
      <c r="H117" s="13" t="str">
        <f t="shared" si="7"/>
        <v>insert into ins_premium_det (premium_rcv_code,assorted_code, rec_amount,premium_rcv_detail_code,remaining_amt, payrec, mode_code,coinsurance_code,class_cd,it_remarks) values('27Nov240142','040000165687','15',(select max(to_number(i.premium_rcv_detail_code))+1
from ins_premium_det i),'15','15','02', '11000003','00','Request by Mr. Omair Ali 28-Nov-2024');</v>
      </c>
    </row>
    <row r="118" spans="1:8" ht="105.75" thickBot="1" x14ac:dyDescent="0.3">
      <c r="A118" s="3" t="s">
        <v>118</v>
      </c>
      <c r="B118" s="9" t="str">
        <f>VLOOKUP(A118,policy!B:C,2,0)</f>
        <v>040000185921</v>
      </c>
      <c r="C118" s="4">
        <v>16</v>
      </c>
      <c r="D118" s="10">
        <f t="shared" si="5"/>
        <v>16</v>
      </c>
      <c r="E118" s="8" t="s">
        <v>329</v>
      </c>
      <c r="F118" s="11" t="str">
        <f t="shared" si="4"/>
        <v>insert into ins_premium_det (premium_rcv_code,assorted_code, rec_amount,premium_rcv_detail_code,remaining_amt, payrec, mode_code,coinsurance_code,class_cd,it_remarks) values</v>
      </c>
      <c r="G118" s="12" t="str">
        <f t="shared" si="6"/>
        <v>('27Nov240142','040000185921','16',(select max(to_number(i.premium_rcv_detail_code))+1
from ins_premium_det i),'16','16','02', '11000003','00','Request by Mr. Omair Ali 28-Nov-2024');</v>
      </c>
      <c r="H118" s="13" t="str">
        <f t="shared" si="7"/>
        <v>insert into ins_premium_det (premium_rcv_code,assorted_code, rec_amount,premium_rcv_detail_code,remaining_amt, payrec, mode_code,coinsurance_code,class_cd,it_remarks) values('27Nov240142','040000185921','16',(select max(to_number(i.premium_rcv_detail_code))+1
from ins_premium_det i),'16','16','02', '11000003','00','Request by Mr. Omair Ali 28-Nov-2024');</v>
      </c>
    </row>
    <row r="119" spans="1:8" ht="105.75" thickBot="1" x14ac:dyDescent="0.3">
      <c r="A119" s="3" t="s">
        <v>119</v>
      </c>
      <c r="B119" s="9" t="str">
        <f>VLOOKUP(A119,policy!B:C,2,0)</f>
        <v>040000131881</v>
      </c>
      <c r="C119" s="4">
        <v>18</v>
      </c>
      <c r="D119" s="10">
        <f t="shared" si="5"/>
        <v>18</v>
      </c>
      <c r="E119" s="8" t="s">
        <v>329</v>
      </c>
      <c r="F119" s="11" t="str">
        <f t="shared" si="4"/>
        <v>insert into ins_premium_det (premium_rcv_code,assorted_code, rec_amount,premium_rcv_detail_code,remaining_amt, payrec, mode_code,coinsurance_code,class_cd,it_remarks) values</v>
      </c>
      <c r="G119" s="12" t="str">
        <f t="shared" si="6"/>
        <v>('27Nov240142','040000131881','18',(select max(to_number(i.premium_rcv_detail_code))+1
from ins_premium_det i),'18','18','02', '11000003','00','Request by Mr. Omair Ali 28-Nov-2024');</v>
      </c>
      <c r="H119" s="13" t="str">
        <f t="shared" si="7"/>
        <v>insert into ins_premium_det (premium_rcv_code,assorted_code, rec_amount,premium_rcv_detail_code,remaining_amt, payrec, mode_code,coinsurance_code,class_cd,it_remarks) values('27Nov240142','040000131881','18',(select max(to_number(i.premium_rcv_detail_code))+1
from ins_premium_det i),'18','18','02', '11000003','00','Request by Mr. Omair Ali 28-Nov-2024');</v>
      </c>
    </row>
    <row r="120" spans="1:8" ht="105.75" thickBot="1" x14ac:dyDescent="0.3">
      <c r="A120" s="3" t="s">
        <v>120</v>
      </c>
      <c r="B120" s="9" t="str">
        <f>VLOOKUP(A120,policy!B:C,2,0)</f>
        <v>040000168267</v>
      </c>
      <c r="C120" s="4">
        <v>19</v>
      </c>
      <c r="D120" s="10">
        <f t="shared" si="5"/>
        <v>19</v>
      </c>
      <c r="E120" s="8" t="s">
        <v>329</v>
      </c>
      <c r="F120" s="11" t="str">
        <f t="shared" si="4"/>
        <v>insert into ins_premium_det (premium_rcv_code,assorted_code, rec_amount,premium_rcv_detail_code,remaining_amt, payrec, mode_code,coinsurance_code,class_cd,it_remarks) values</v>
      </c>
      <c r="G120" s="12" t="str">
        <f t="shared" si="6"/>
        <v>('27Nov240142','040000168267','19',(select max(to_number(i.premium_rcv_detail_code))+1
from ins_premium_det i),'19','19','02', '11000003','00','Request by Mr. Omair Ali 28-Nov-2024');</v>
      </c>
      <c r="H120" s="13" t="str">
        <f t="shared" si="7"/>
        <v>insert into ins_premium_det (premium_rcv_code,assorted_code, rec_amount,premium_rcv_detail_code,remaining_amt, payrec, mode_code,coinsurance_code,class_cd,it_remarks) values('27Nov240142','040000168267','19',(select max(to_number(i.premium_rcv_detail_code))+1
from ins_premium_det i),'19','19','02', '11000003','00','Request by Mr. Omair Ali 28-Nov-2024');</v>
      </c>
    </row>
    <row r="121" spans="1:8" ht="105.75" thickBot="1" x14ac:dyDescent="0.3">
      <c r="A121" s="3" t="s">
        <v>121</v>
      </c>
      <c r="B121" s="9" t="str">
        <f>VLOOKUP(A121,policy!B:C,2,0)</f>
        <v>040000187416</v>
      </c>
      <c r="C121" s="4">
        <v>24</v>
      </c>
      <c r="D121" s="10">
        <f t="shared" si="5"/>
        <v>24</v>
      </c>
      <c r="E121" s="8" t="s">
        <v>329</v>
      </c>
      <c r="F121" s="11" t="str">
        <f t="shared" si="4"/>
        <v>insert into ins_premium_det (premium_rcv_code,assorted_code, rec_amount,premium_rcv_detail_code,remaining_amt, payrec, mode_code,coinsurance_code,class_cd,it_remarks) values</v>
      </c>
      <c r="G121" s="12" t="str">
        <f t="shared" si="6"/>
        <v>('27Nov240142','040000187416','24',(select max(to_number(i.premium_rcv_detail_code))+1
from ins_premium_det i),'24','24','02', '11000003','00','Request by Mr. Omair Ali 28-Nov-2024');</v>
      </c>
      <c r="H121" s="13" t="str">
        <f t="shared" si="7"/>
        <v>insert into ins_premium_det (premium_rcv_code,assorted_code, rec_amount,premium_rcv_detail_code,remaining_amt, payrec, mode_code,coinsurance_code,class_cd,it_remarks) values('27Nov240142','040000187416','24',(select max(to_number(i.premium_rcv_detail_code))+1
from ins_premium_det i),'24','24','02', '11000003','00','Request by Mr. Omair Ali 28-Nov-2024');</v>
      </c>
    </row>
    <row r="122" spans="1:8" ht="105.75" thickBot="1" x14ac:dyDescent="0.3">
      <c r="A122" s="3" t="s">
        <v>122</v>
      </c>
      <c r="B122" s="9" t="str">
        <f>VLOOKUP(A122,policy!B:C,2,0)</f>
        <v>040000151802</v>
      </c>
      <c r="C122" s="4">
        <v>25</v>
      </c>
      <c r="D122" s="10">
        <f t="shared" si="5"/>
        <v>25</v>
      </c>
      <c r="E122" s="8" t="s">
        <v>329</v>
      </c>
      <c r="F122" s="11" t="str">
        <f t="shared" si="4"/>
        <v>insert into ins_premium_det (premium_rcv_code,assorted_code, rec_amount,premium_rcv_detail_code,remaining_amt, payrec, mode_code,coinsurance_code,class_cd,it_remarks) values</v>
      </c>
      <c r="G122" s="12" t="str">
        <f t="shared" si="6"/>
        <v>('27Nov240142','040000151802','25',(select max(to_number(i.premium_rcv_detail_code))+1
from ins_premium_det i),'25','25','02', '11000003','00','Request by Mr. Omair Ali 28-Nov-2024');</v>
      </c>
      <c r="H122" s="13" t="str">
        <f t="shared" si="7"/>
        <v>insert into ins_premium_det (premium_rcv_code,assorted_code, rec_amount,premium_rcv_detail_code,remaining_amt, payrec, mode_code,coinsurance_code,class_cd,it_remarks) values('27Nov240142','040000151802','25',(select max(to_number(i.premium_rcv_detail_code))+1
from ins_premium_det i),'25','25','02', '11000003','00','Request by Mr. Omair Ali 28-Nov-2024');</v>
      </c>
    </row>
    <row r="123" spans="1:8" ht="105.75" thickBot="1" x14ac:dyDescent="0.3">
      <c r="A123" s="3" t="s">
        <v>123</v>
      </c>
      <c r="B123" s="9" t="str">
        <f>VLOOKUP(A123,policy!B:C,2,0)</f>
        <v>040000162619</v>
      </c>
      <c r="C123" s="4">
        <v>28</v>
      </c>
      <c r="D123" s="10">
        <f t="shared" si="5"/>
        <v>28</v>
      </c>
      <c r="E123" s="8" t="s">
        <v>329</v>
      </c>
      <c r="F123" s="11" t="str">
        <f t="shared" si="4"/>
        <v>insert into ins_premium_det (premium_rcv_code,assorted_code, rec_amount,premium_rcv_detail_code,remaining_amt, payrec, mode_code,coinsurance_code,class_cd,it_remarks) values</v>
      </c>
      <c r="G123" s="12" t="str">
        <f t="shared" si="6"/>
        <v>('27Nov240142','040000162619','28',(select max(to_number(i.premium_rcv_detail_code))+1
from ins_premium_det i),'28','28','02', '11000003','00','Request by Mr. Omair Ali 28-Nov-2024');</v>
      </c>
      <c r="H123" s="13" t="str">
        <f t="shared" si="7"/>
        <v>insert into ins_premium_det (premium_rcv_code,assorted_code, rec_amount,premium_rcv_detail_code,remaining_amt, payrec, mode_code,coinsurance_code,class_cd,it_remarks) values('27Nov240142','040000162619','28',(select max(to_number(i.premium_rcv_detail_code))+1
from ins_premium_det i),'28','28','02', '11000003','00','Request by Mr. Omair Ali 28-Nov-2024');</v>
      </c>
    </row>
    <row r="124" spans="1:8" ht="105.75" thickBot="1" x14ac:dyDescent="0.3">
      <c r="A124" s="3" t="s">
        <v>124</v>
      </c>
      <c r="B124" s="9" t="str">
        <f>VLOOKUP(A124,policy!B:C,2,0)</f>
        <v>040000151981</v>
      </c>
      <c r="C124" s="4">
        <v>38</v>
      </c>
      <c r="D124" s="10">
        <f t="shared" si="5"/>
        <v>38</v>
      </c>
      <c r="E124" s="8" t="s">
        <v>329</v>
      </c>
      <c r="F124" s="11" t="str">
        <f t="shared" si="4"/>
        <v>insert into ins_premium_det (premium_rcv_code,assorted_code, rec_amount,premium_rcv_detail_code,remaining_amt, payrec, mode_code,coinsurance_code,class_cd,it_remarks) values</v>
      </c>
      <c r="G124" s="12" t="str">
        <f t="shared" si="6"/>
        <v>('27Nov240142','040000151981','38',(select max(to_number(i.premium_rcv_detail_code))+1
from ins_premium_det i),'38','38','02', '11000003','00','Request by Mr. Omair Ali 28-Nov-2024');</v>
      </c>
      <c r="H124" s="13" t="str">
        <f t="shared" si="7"/>
        <v>insert into ins_premium_det (premium_rcv_code,assorted_code, rec_amount,premium_rcv_detail_code,remaining_amt, payrec, mode_code,coinsurance_code,class_cd,it_remarks) values('27Nov240142','040000151981','38',(select max(to_number(i.premium_rcv_detail_code))+1
from ins_premium_det i),'38','38','02', '11000003','00','Request by Mr. Omair Ali 28-Nov-2024');</v>
      </c>
    </row>
    <row r="125" spans="1:8" ht="105.75" thickBot="1" x14ac:dyDescent="0.3">
      <c r="A125" s="3" t="s">
        <v>125</v>
      </c>
      <c r="B125" s="9" t="str">
        <f>VLOOKUP(A125,policy!B:C,2,0)</f>
        <v>040000158827</v>
      </c>
      <c r="C125" s="4">
        <v>38</v>
      </c>
      <c r="D125" s="10">
        <f t="shared" si="5"/>
        <v>38</v>
      </c>
      <c r="E125" s="8" t="s">
        <v>329</v>
      </c>
      <c r="F125" s="11" t="str">
        <f t="shared" si="4"/>
        <v>insert into ins_premium_det (premium_rcv_code,assorted_code, rec_amount,premium_rcv_detail_code,remaining_amt, payrec, mode_code,coinsurance_code,class_cd,it_remarks) values</v>
      </c>
      <c r="G125" s="12" t="str">
        <f t="shared" si="6"/>
        <v>('27Nov240142','040000158827','38',(select max(to_number(i.premium_rcv_detail_code))+1
from ins_premium_det i),'38','38','02', '11000003','00','Request by Mr. Omair Ali 28-Nov-2024');</v>
      </c>
      <c r="H125" s="13" t="str">
        <f t="shared" si="7"/>
        <v>insert into ins_premium_det (premium_rcv_code,assorted_code, rec_amount,premium_rcv_detail_code,remaining_amt, payrec, mode_code,coinsurance_code,class_cd,it_remarks) values('27Nov240142','040000158827','38',(select max(to_number(i.premium_rcv_detail_code))+1
from ins_premium_det i),'38','38','02', '11000003','00','Request by Mr. Omair Ali 28-Nov-2024');</v>
      </c>
    </row>
    <row r="126" spans="1:8" ht="105.75" thickBot="1" x14ac:dyDescent="0.3">
      <c r="A126" s="3" t="s">
        <v>126</v>
      </c>
      <c r="B126" s="9" t="str">
        <f>VLOOKUP(A126,policy!B:C,2,0)</f>
        <v>040000189901</v>
      </c>
      <c r="C126" s="4">
        <v>40</v>
      </c>
      <c r="D126" s="10">
        <f t="shared" si="5"/>
        <v>40</v>
      </c>
      <c r="E126" s="8" t="s">
        <v>329</v>
      </c>
      <c r="F126" s="11" t="str">
        <f t="shared" si="4"/>
        <v>insert into ins_premium_det (premium_rcv_code,assorted_code, rec_amount,premium_rcv_detail_code,remaining_amt, payrec, mode_code,coinsurance_code,class_cd,it_remarks) values</v>
      </c>
      <c r="G126" s="12" t="str">
        <f t="shared" si="6"/>
        <v>('27Nov240142','040000189901','40',(select max(to_number(i.premium_rcv_detail_code))+1
from ins_premium_det i),'40','40','02', '11000003','00','Request by Mr. Omair Ali 28-Nov-2024');</v>
      </c>
      <c r="H126" s="13" t="str">
        <f t="shared" si="7"/>
        <v>insert into ins_premium_det (premium_rcv_code,assorted_code, rec_amount,premium_rcv_detail_code,remaining_amt, payrec, mode_code,coinsurance_code,class_cd,it_remarks) values('27Nov240142','040000189901','40',(select max(to_number(i.premium_rcv_detail_code))+1
from ins_premium_det i),'40','40','02', '11000003','00','Request by Mr. Omair Ali 28-Nov-2024');</v>
      </c>
    </row>
    <row r="127" spans="1:8" ht="105.75" thickBot="1" x14ac:dyDescent="0.3">
      <c r="A127" s="3" t="s">
        <v>127</v>
      </c>
      <c r="B127" s="9" t="str">
        <f>VLOOKUP(A127,policy!B:C,2,0)</f>
        <v>040000174972</v>
      </c>
      <c r="C127" s="4">
        <v>42</v>
      </c>
      <c r="D127" s="10">
        <f t="shared" si="5"/>
        <v>42</v>
      </c>
      <c r="E127" s="8" t="s">
        <v>329</v>
      </c>
      <c r="F127" s="11" t="str">
        <f t="shared" si="4"/>
        <v>insert into ins_premium_det (premium_rcv_code,assorted_code, rec_amount,premium_rcv_detail_code,remaining_amt, payrec, mode_code,coinsurance_code,class_cd,it_remarks) values</v>
      </c>
      <c r="G127" s="12" t="str">
        <f t="shared" si="6"/>
        <v>('27Nov240142','040000174972','42',(select max(to_number(i.premium_rcv_detail_code))+1
from ins_premium_det i),'42','42','02', '11000003','00','Request by Mr. Omair Ali 28-Nov-2024');</v>
      </c>
      <c r="H127" s="13" t="str">
        <f t="shared" si="7"/>
        <v>insert into ins_premium_det (premium_rcv_code,assorted_code, rec_amount,premium_rcv_detail_code,remaining_amt, payrec, mode_code,coinsurance_code,class_cd,it_remarks) values('27Nov240142','040000174972','42',(select max(to_number(i.premium_rcv_detail_code))+1
from ins_premium_det i),'42','42','02', '11000003','00','Request by Mr. Omair Ali 28-Nov-2024');</v>
      </c>
    </row>
    <row r="128" spans="1:8" ht="105.75" thickBot="1" x14ac:dyDescent="0.3">
      <c r="A128" s="3" t="s">
        <v>128</v>
      </c>
      <c r="B128" s="9" t="str">
        <f>VLOOKUP(A128,policy!B:C,2,0)</f>
        <v>040000171422</v>
      </c>
      <c r="C128" s="4">
        <v>42</v>
      </c>
      <c r="D128" s="10">
        <f t="shared" si="5"/>
        <v>42</v>
      </c>
      <c r="E128" s="8" t="s">
        <v>329</v>
      </c>
      <c r="F128" s="11" t="str">
        <f t="shared" si="4"/>
        <v>insert into ins_premium_det (premium_rcv_code,assorted_code, rec_amount,premium_rcv_detail_code,remaining_amt, payrec, mode_code,coinsurance_code,class_cd,it_remarks) values</v>
      </c>
      <c r="G128" s="12" t="str">
        <f t="shared" si="6"/>
        <v>('27Nov240142','040000171422','42',(select max(to_number(i.premium_rcv_detail_code))+1
from ins_premium_det i),'42','42','02', '11000003','00','Request by Mr. Omair Ali 28-Nov-2024');</v>
      </c>
      <c r="H128" s="13" t="str">
        <f t="shared" si="7"/>
        <v>insert into ins_premium_det (premium_rcv_code,assorted_code, rec_amount,premium_rcv_detail_code,remaining_amt, payrec, mode_code,coinsurance_code,class_cd,it_remarks) values('27Nov240142','040000171422','42',(select max(to_number(i.premium_rcv_detail_code))+1
from ins_premium_det i),'42','42','02', '11000003','00','Request by Mr. Omair Ali 28-Nov-2024');</v>
      </c>
    </row>
    <row r="129" spans="1:8" ht="105.75" thickBot="1" x14ac:dyDescent="0.3">
      <c r="A129" s="3" t="s">
        <v>129</v>
      </c>
      <c r="B129" s="9" t="str">
        <f>VLOOKUP(A129,policy!B:C,2,0)</f>
        <v>040000164527</v>
      </c>
      <c r="C129" s="4">
        <v>43</v>
      </c>
      <c r="D129" s="10">
        <f t="shared" si="5"/>
        <v>43</v>
      </c>
      <c r="E129" s="8" t="s">
        <v>329</v>
      </c>
      <c r="F129" s="11" t="str">
        <f t="shared" si="4"/>
        <v>insert into ins_premium_det (premium_rcv_code,assorted_code, rec_amount,premium_rcv_detail_code,remaining_amt, payrec, mode_code,coinsurance_code,class_cd,it_remarks) values</v>
      </c>
      <c r="G129" s="12" t="str">
        <f t="shared" si="6"/>
        <v>('27Nov240142','040000164527','43',(select max(to_number(i.premium_rcv_detail_code))+1
from ins_premium_det i),'43','43','02', '11000003','00','Request by Mr. Omair Ali 28-Nov-2024');</v>
      </c>
      <c r="H129" s="13" t="str">
        <f t="shared" si="7"/>
        <v>insert into ins_premium_det (premium_rcv_code,assorted_code, rec_amount,premium_rcv_detail_code,remaining_amt, payrec, mode_code,coinsurance_code,class_cd,it_remarks) values('27Nov240142','040000164527','43',(select max(to_number(i.premium_rcv_detail_code))+1
from ins_premium_det i),'43','43','02', '11000003','00','Request by Mr. Omair Ali 28-Nov-2024');</v>
      </c>
    </row>
    <row r="130" spans="1:8" ht="105.75" thickBot="1" x14ac:dyDescent="0.3">
      <c r="A130" s="3" t="s">
        <v>130</v>
      </c>
      <c r="B130" s="9" t="str">
        <f>VLOOKUP(A130,policy!B:C,2,0)</f>
        <v>040000163365</v>
      </c>
      <c r="C130" s="4">
        <v>50</v>
      </c>
      <c r="D130" s="10">
        <f t="shared" si="5"/>
        <v>50</v>
      </c>
      <c r="E130" s="8" t="s">
        <v>329</v>
      </c>
      <c r="F130" s="11" t="str">
        <f t="shared" ref="F130:F149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12" t="str">
        <f t="shared" si="6"/>
        <v>('27Nov240142','040000163365','50',(select max(to_number(i.premium_rcv_detail_code))+1
from ins_premium_det i),'50','50','02', '11000003','00','Request by Mr. Omair Ali 28-Nov-2024');</v>
      </c>
      <c r="H130" s="13" t="str">
        <f t="shared" si="7"/>
        <v>insert into ins_premium_det (premium_rcv_code,assorted_code, rec_amount,premium_rcv_detail_code,remaining_amt, payrec, mode_code,coinsurance_code,class_cd,it_remarks) values('27Nov240142','040000163365','50',(select max(to_number(i.premium_rcv_detail_code))+1
from ins_premium_det i),'50','50','02', '11000003','00','Request by Mr. Omair Ali 28-Nov-2024');</v>
      </c>
    </row>
    <row r="131" spans="1:8" ht="105.75" thickBot="1" x14ac:dyDescent="0.3">
      <c r="A131" s="3" t="s">
        <v>131</v>
      </c>
      <c r="B131" s="9" t="str">
        <f>VLOOKUP(A131,policy!B:C,2,0)</f>
        <v>040000173493</v>
      </c>
      <c r="C131" s="4">
        <v>50</v>
      </c>
      <c r="D131" s="10">
        <f t="shared" ref="D131:D149" si="9">ROUND(C131,0)</f>
        <v>50</v>
      </c>
      <c r="E131" s="8" t="s">
        <v>329</v>
      </c>
      <c r="F131" s="11" t="str">
        <f t="shared" si="8"/>
        <v>insert into ins_premium_det (premium_rcv_code,assorted_code, rec_amount,premium_rcv_detail_code,remaining_amt, payrec, mode_code,coinsurance_code,class_cd,it_remarks) values</v>
      </c>
      <c r="G131" s="12" t="str">
        <f t="shared" ref="G131:G149" si="10">"('"&amp;E131&amp;"','"&amp;B131&amp;"','"&amp;D131&amp;"',(select max(to_number(i.premium_rcv_detail_code))+1
from ins_premium_det i),'"&amp;D131&amp;"','"&amp;D131&amp;"','02', '11000003','00','Request by Mr. Omair Ali 28-Nov-2024');"</f>
        <v>('27Nov240142','040000173493','50',(select max(to_number(i.premium_rcv_detail_code))+1
from ins_premium_det i),'50','50','02', '11000003','00','Request by Mr. Omair Ali 28-Nov-2024');</v>
      </c>
      <c r="H131" s="13" t="str">
        <f t="shared" ref="H131:H149" si="11">F131&amp;G131</f>
        <v>insert into ins_premium_det (premium_rcv_code,assorted_code, rec_amount,premium_rcv_detail_code,remaining_amt, payrec, mode_code,coinsurance_code,class_cd,it_remarks) values('27Nov240142','040000173493','50',(select max(to_number(i.premium_rcv_detail_code))+1
from ins_premium_det i),'50','50','02', '11000003','00','Request by Mr. Omair Ali 28-Nov-2024');</v>
      </c>
    </row>
    <row r="132" spans="1:8" ht="105.75" thickBot="1" x14ac:dyDescent="0.3">
      <c r="A132" s="3" t="s">
        <v>132</v>
      </c>
      <c r="B132" s="9" t="str">
        <f>VLOOKUP(A132,policy!B:C,2,0)</f>
        <v>040000165124</v>
      </c>
      <c r="C132" s="4">
        <v>50</v>
      </c>
      <c r="D132" s="10">
        <f t="shared" si="9"/>
        <v>50</v>
      </c>
      <c r="E132" s="8" t="s">
        <v>329</v>
      </c>
      <c r="F132" s="11" t="str">
        <f t="shared" si="8"/>
        <v>insert into ins_premium_det (premium_rcv_code,assorted_code, rec_amount,premium_rcv_detail_code,remaining_amt, payrec, mode_code,coinsurance_code,class_cd,it_remarks) values</v>
      </c>
      <c r="G132" s="12" t="str">
        <f t="shared" si="10"/>
        <v>('27Nov240142','040000165124','50',(select max(to_number(i.premium_rcv_detail_code))+1
from ins_premium_det i),'50','50','02', '11000003','00','Request by Mr. Omair Ali 28-Nov-2024');</v>
      </c>
      <c r="H132" s="13" t="str">
        <f t="shared" si="11"/>
        <v>insert into ins_premium_det (premium_rcv_code,assorted_code, rec_amount,premium_rcv_detail_code,remaining_amt, payrec, mode_code,coinsurance_code,class_cd,it_remarks) values('27Nov240142','040000165124','50',(select max(to_number(i.premium_rcv_detail_code))+1
from ins_premium_det i),'50','50','02', '11000003','00','Request by Mr. Omair Ali 28-Nov-2024');</v>
      </c>
    </row>
    <row r="133" spans="1:8" ht="105.75" thickBot="1" x14ac:dyDescent="0.3">
      <c r="A133" s="3" t="s">
        <v>133</v>
      </c>
      <c r="B133" s="9" t="str">
        <f>VLOOKUP(A133,policy!B:C,2,0)</f>
        <v>040000175192</v>
      </c>
      <c r="C133" s="4">
        <v>50</v>
      </c>
      <c r="D133" s="10">
        <f t="shared" si="9"/>
        <v>50</v>
      </c>
      <c r="E133" s="8" t="s">
        <v>329</v>
      </c>
      <c r="F133" s="11" t="str">
        <f t="shared" si="8"/>
        <v>insert into ins_premium_det (premium_rcv_code,assorted_code, rec_amount,premium_rcv_detail_code,remaining_amt, payrec, mode_code,coinsurance_code,class_cd,it_remarks) values</v>
      </c>
      <c r="G133" s="12" t="str">
        <f t="shared" si="10"/>
        <v>('27Nov240142','040000175192','50',(select max(to_number(i.premium_rcv_detail_code))+1
from ins_premium_det i),'50','50','02', '11000003','00','Request by Mr. Omair Ali 28-Nov-2024');</v>
      </c>
      <c r="H133" s="13" t="str">
        <f t="shared" si="11"/>
        <v>insert into ins_premium_det (premium_rcv_code,assorted_code, rec_amount,premium_rcv_detail_code,remaining_amt, payrec, mode_code,coinsurance_code,class_cd,it_remarks) values('27Nov240142','040000175192','50',(select max(to_number(i.premium_rcv_detail_code))+1
from ins_premium_det i),'50','50','02', '11000003','00','Request by Mr. Omair Ali 28-Nov-2024');</v>
      </c>
    </row>
    <row r="134" spans="1:8" ht="105.75" thickBot="1" x14ac:dyDescent="0.3">
      <c r="A134" s="3" t="s">
        <v>134</v>
      </c>
      <c r="B134" s="9" t="str">
        <f>VLOOKUP(A134,policy!B:C,2,0)</f>
        <v>040000170686</v>
      </c>
      <c r="C134" s="4">
        <v>50</v>
      </c>
      <c r="D134" s="10">
        <f t="shared" si="9"/>
        <v>50</v>
      </c>
      <c r="E134" s="8" t="s">
        <v>329</v>
      </c>
      <c r="F134" s="11" t="str">
        <f t="shared" si="8"/>
        <v>insert into ins_premium_det (premium_rcv_code,assorted_code, rec_amount,premium_rcv_detail_code,remaining_amt, payrec, mode_code,coinsurance_code,class_cd,it_remarks) values</v>
      </c>
      <c r="G134" s="12" t="str">
        <f t="shared" si="10"/>
        <v>('27Nov240142','040000170686','50',(select max(to_number(i.premium_rcv_detail_code))+1
from ins_premium_det i),'50','50','02', '11000003','00','Request by Mr. Omair Ali 28-Nov-2024');</v>
      </c>
      <c r="H134" s="13" t="str">
        <f t="shared" si="11"/>
        <v>insert into ins_premium_det (premium_rcv_code,assorted_code, rec_amount,premium_rcv_detail_code,remaining_amt, payrec, mode_code,coinsurance_code,class_cd,it_remarks) values('27Nov240142','040000170686','50',(select max(to_number(i.premium_rcv_detail_code))+1
from ins_premium_det i),'50','50','02', '11000003','00','Request by Mr. Omair Ali 28-Nov-2024');</v>
      </c>
    </row>
    <row r="135" spans="1:8" ht="105.75" thickBot="1" x14ac:dyDescent="0.3">
      <c r="A135" s="3" t="s">
        <v>135</v>
      </c>
      <c r="B135" s="9" t="str">
        <f>VLOOKUP(A135,policy!B:C,2,0)</f>
        <v>040000164335</v>
      </c>
      <c r="C135" s="4">
        <v>50</v>
      </c>
      <c r="D135" s="10">
        <f t="shared" si="9"/>
        <v>50</v>
      </c>
      <c r="E135" s="8" t="s">
        <v>329</v>
      </c>
      <c r="F135" s="11" t="str">
        <f t="shared" si="8"/>
        <v>insert into ins_premium_det (premium_rcv_code,assorted_code, rec_amount,premium_rcv_detail_code,remaining_amt, payrec, mode_code,coinsurance_code,class_cd,it_remarks) values</v>
      </c>
      <c r="G135" s="12" t="str">
        <f t="shared" si="10"/>
        <v>('27Nov240142','040000164335','50',(select max(to_number(i.premium_rcv_detail_code))+1
from ins_premium_det i),'50','50','02', '11000003','00','Request by Mr. Omair Ali 28-Nov-2024');</v>
      </c>
      <c r="H135" s="13" t="str">
        <f t="shared" si="11"/>
        <v>insert into ins_premium_det (premium_rcv_code,assorted_code, rec_amount,premium_rcv_detail_code,remaining_amt, payrec, mode_code,coinsurance_code,class_cd,it_remarks) values('27Nov240142','040000164335','50',(select max(to_number(i.premium_rcv_detail_code))+1
from ins_premium_det i),'50','50','02', '11000003','00','Request by Mr. Omair Ali 28-Nov-2024');</v>
      </c>
    </row>
    <row r="136" spans="1:8" ht="105.75" thickBot="1" x14ac:dyDescent="0.3">
      <c r="A136" s="3" t="s">
        <v>136</v>
      </c>
      <c r="B136" s="9" t="str">
        <f>VLOOKUP(A136,policy!B:C,2,0)</f>
        <v>040000170684</v>
      </c>
      <c r="C136" s="4">
        <v>50</v>
      </c>
      <c r="D136" s="10">
        <f t="shared" si="9"/>
        <v>50</v>
      </c>
      <c r="E136" s="8" t="s">
        <v>329</v>
      </c>
      <c r="F136" s="11" t="str">
        <f t="shared" si="8"/>
        <v>insert into ins_premium_det (premium_rcv_code,assorted_code, rec_amount,premium_rcv_detail_code,remaining_amt, payrec, mode_code,coinsurance_code,class_cd,it_remarks) values</v>
      </c>
      <c r="G136" s="12" t="str">
        <f t="shared" si="10"/>
        <v>('27Nov240142','040000170684','50',(select max(to_number(i.premium_rcv_detail_code))+1
from ins_premium_det i),'50','50','02', '11000003','00','Request by Mr. Omair Ali 28-Nov-2024');</v>
      </c>
      <c r="H136" s="13" t="str">
        <f t="shared" si="11"/>
        <v>insert into ins_premium_det (premium_rcv_code,assorted_code, rec_amount,premium_rcv_detail_code,remaining_amt, payrec, mode_code,coinsurance_code,class_cd,it_remarks) values('27Nov240142','040000170684','50',(select max(to_number(i.premium_rcv_detail_code))+1
from ins_premium_det i),'50','50','02', '11000003','00','Request by Mr. Omair Ali 28-Nov-2024');</v>
      </c>
    </row>
    <row r="137" spans="1:8" ht="105.75" thickBot="1" x14ac:dyDescent="0.3">
      <c r="A137" s="3" t="s">
        <v>137</v>
      </c>
      <c r="B137" s="9" t="str">
        <f>VLOOKUP(A137,policy!B:C,2,0)</f>
        <v>040000171152</v>
      </c>
      <c r="C137" s="4">
        <v>50</v>
      </c>
      <c r="D137" s="10">
        <f t="shared" si="9"/>
        <v>50</v>
      </c>
      <c r="E137" s="8" t="s">
        <v>329</v>
      </c>
      <c r="F137" s="11" t="str">
        <f t="shared" si="8"/>
        <v>insert into ins_premium_det (premium_rcv_code,assorted_code, rec_amount,premium_rcv_detail_code,remaining_amt, payrec, mode_code,coinsurance_code,class_cd,it_remarks) values</v>
      </c>
      <c r="G137" s="12" t="str">
        <f t="shared" si="10"/>
        <v>('27Nov240142','040000171152','50',(select max(to_number(i.premium_rcv_detail_code))+1
from ins_premium_det i),'50','50','02', '11000003','00','Request by Mr. Omair Ali 28-Nov-2024');</v>
      </c>
      <c r="H137" s="13" t="str">
        <f t="shared" si="11"/>
        <v>insert into ins_premium_det (premium_rcv_code,assorted_code, rec_amount,premium_rcv_detail_code,remaining_amt, payrec, mode_code,coinsurance_code,class_cd,it_remarks) values('27Nov240142','040000171152','50',(select max(to_number(i.premium_rcv_detail_code))+1
from ins_premium_det i),'50','50','02', '11000003','00','Request by Mr. Omair Ali 28-Nov-2024');</v>
      </c>
    </row>
    <row r="138" spans="1:8" ht="105.75" thickBot="1" x14ac:dyDescent="0.3">
      <c r="A138" s="3" t="s">
        <v>138</v>
      </c>
      <c r="B138" s="9" t="str">
        <f>VLOOKUP(A138,policy!B:C,2,0)</f>
        <v>040000169705</v>
      </c>
      <c r="C138" s="4">
        <v>50</v>
      </c>
      <c r="D138" s="10">
        <f t="shared" si="9"/>
        <v>50</v>
      </c>
      <c r="E138" s="8" t="s">
        <v>329</v>
      </c>
      <c r="F138" s="11" t="str">
        <f t="shared" si="8"/>
        <v>insert into ins_premium_det (premium_rcv_code,assorted_code, rec_amount,premium_rcv_detail_code,remaining_amt, payrec, mode_code,coinsurance_code,class_cd,it_remarks) values</v>
      </c>
      <c r="G138" s="12" t="str">
        <f t="shared" si="10"/>
        <v>('27Nov240142','040000169705','50',(select max(to_number(i.premium_rcv_detail_code))+1
from ins_premium_det i),'50','50','02', '11000003','00','Request by Mr. Omair Ali 28-Nov-2024');</v>
      </c>
      <c r="H138" s="13" t="str">
        <f t="shared" si="11"/>
        <v>insert into ins_premium_det (premium_rcv_code,assorted_code, rec_amount,premium_rcv_detail_code,remaining_amt, payrec, mode_code,coinsurance_code,class_cd,it_remarks) values('27Nov240142','040000169705','50',(select max(to_number(i.premium_rcv_detail_code))+1
from ins_premium_det i),'50','50','02', '11000003','00','Request by Mr. Omair Ali 28-Nov-2024');</v>
      </c>
    </row>
    <row r="139" spans="1:8" ht="105.75" thickBot="1" x14ac:dyDescent="0.3">
      <c r="A139" s="3" t="s">
        <v>139</v>
      </c>
      <c r="B139" s="9" t="str">
        <f>VLOOKUP(A139,policy!B:C,2,0)</f>
        <v>040000159498</v>
      </c>
      <c r="C139" s="4">
        <v>50</v>
      </c>
      <c r="D139" s="10">
        <f t="shared" si="9"/>
        <v>50</v>
      </c>
      <c r="E139" s="8" t="s">
        <v>329</v>
      </c>
      <c r="F139" s="11" t="str">
        <f t="shared" si="8"/>
        <v>insert into ins_premium_det (premium_rcv_code,assorted_code, rec_amount,premium_rcv_detail_code,remaining_amt, payrec, mode_code,coinsurance_code,class_cd,it_remarks) values</v>
      </c>
      <c r="G139" s="12" t="str">
        <f t="shared" si="10"/>
        <v>('27Nov240142','040000159498','50',(select max(to_number(i.premium_rcv_detail_code))+1
from ins_premium_det i),'50','50','02', '11000003','00','Request by Mr. Omair Ali 28-Nov-2024');</v>
      </c>
      <c r="H139" s="13" t="str">
        <f t="shared" si="11"/>
        <v>insert into ins_premium_det (premium_rcv_code,assorted_code, rec_amount,premium_rcv_detail_code,remaining_amt, payrec, mode_code,coinsurance_code,class_cd,it_remarks) values('27Nov240142','040000159498','50',(select max(to_number(i.premium_rcv_detail_code))+1
from ins_premium_det i),'50','50','02', '11000003','00','Request by Mr. Omair Ali 28-Nov-2024');</v>
      </c>
    </row>
    <row r="140" spans="1:8" ht="105.75" thickBot="1" x14ac:dyDescent="0.3">
      <c r="A140" s="3" t="s">
        <v>140</v>
      </c>
      <c r="B140" s="9" t="str">
        <f>VLOOKUP(A140,policy!B:C,2,0)</f>
        <v>040000166984</v>
      </c>
      <c r="C140" s="4">
        <v>51</v>
      </c>
      <c r="D140" s="10">
        <f t="shared" si="9"/>
        <v>51</v>
      </c>
      <c r="E140" s="8" t="s">
        <v>329</v>
      </c>
      <c r="F140" s="11" t="str">
        <f t="shared" si="8"/>
        <v>insert into ins_premium_det (premium_rcv_code,assorted_code, rec_amount,premium_rcv_detail_code,remaining_amt, payrec, mode_code,coinsurance_code,class_cd,it_remarks) values</v>
      </c>
      <c r="G140" s="12" t="str">
        <f t="shared" si="10"/>
        <v>('27Nov240142','040000166984','51',(select max(to_number(i.premium_rcv_detail_code))+1
from ins_premium_det i),'51','51','02', '11000003','00','Request by Mr. Omair Ali 28-Nov-2024');</v>
      </c>
      <c r="H140" s="13" t="str">
        <f t="shared" si="11"/>
        <v>insert into ins_premium_det (premium_rcv_code,assorted_code, rec_amount,premium_rcv_detail_code,remaining_amt, payrec, mode_code,coinsurance_code,class_cd,it_remarks) values('27Nov240142','040000166984','51',(select max(to_number(i.premium_rcv_detail_code))+1
from ins_premium_det i),'51','51','02', '11000003','00','Request by Mr. Omair Ali 28-Nov-2024');</v>
      </c>
    </row>
    <row r="141" spans="1:8" ht="105.75" thickBot="1" x14ac:dyDescent="0.3">
      <c r="A141" s="3" t="s">
        <v>141</v>
      </c>
      <c r="B141" s="9" t="str">
        <f>VLOOKUP(A141,policy!B:C,2,0)</f>
        <v>040000162332</v>
      </c>
      <c r="C141" s="4">
        <v>55</v>
      </c>
      <c r="D141" s="10">
        <f t="shared" si="9"/>
        <v>55</v>
      </c>
      <c r="E141" s="8" t="s">
        <v>329</v>
      </c>
      <c r="F141" s="11" t="str">
        <f t="shared" si="8"/>
        <v>insert into ins_premium_det (premium_rcv_code,assorted_code, rec_amount,premium_rcv_detail_code,remaining_amt, payrec, mode_code,coinsurance_code,class_cd,it_remarks) values</v>
      </c>
      <c r="G141" s="12" t="str">
        <f t="shared" si="10"/>
        <v>('27Nov240142','040000162332','55',(select max(to_number(i.premium_rcv_detail_code))+1
from ins_premium_det i),'55','55','02', '11000003','00','Request by Mr. Omair Ali 28-Nov-2024');</v>
      </c>
      <c r="H141" s="13" t="str">
        <f t="shared" si="11"/>
        <v>insert into ins_premium_det (premium_rcv_code,assorted_code, rec_amount,premium_rcv_detail_code,remaining_amt, payrec, mode_code,coinsurance_code,class_cd,it_remarks) values('27Nov240142','040000162332','55',(select max(to_number(i.premium_rcv_detail_code))+1
from ins_premium_det i),'55','55','02', '11000003','00','Request by Mr. Omair Ali 28-Nov-2024');</v>
      </c>
    </row>
    <row r="142" spans="1:8" ht="105.75" thickBot="1" x14ac:dyDescent="0.3">
      <c r="A142" s="3" t="s">
        <v>142</v>
      </c>
      <c r="B142" s="9" t="str">
        <f>VLOOKUP(A142,policy!B:C,2,0)</f>
        <v>040000152304</v>
      </c>
      <c r="C142" s="4">
        <v>60</v>
      </c>
      <c r="D142" s="10">
        <f t="shared" si="9"/>
        <v>60</v>
      </c>
      <c r="E142" s="8" t="s">
        <v>329</v>
      </c>
      <c r="F142" s="11" t="str">
        <f t="shared" si="8"/>
        <v>insert into ins_premium_det (premium_rcv_code,assorted_code, rec_amount,premium_rcv_detail_code,remaining_amt, payrec, mode_code,coinsurance_code,class_cd,it_remarks) values</v>
      </c>
      <c r="G142" s="12" t="str">
        <f t="shared" si="10"/>
        <v>('27Nov240142','040000152304','60',(select max(to_number(i.premium_rcv_detail_code))+1
from ins_premium_det i),'60','60','02', '11000003','00','Request by Mr. Omair Ali 28-Nov-2024');</v>
      </c>
      <c r="H142" s="13" t="str">
        <f t="shared" si="11"/>
        <v>insert into ins_premium_det (premium_rcv_code,assorted_code, rec_amount,premium_rcv_detail_code,remaining_amt, payrec, mode_code,coinsurance_code,class_cd,it_remarks) values('27Nov240142','040000152304','60',(select max(to_number(i.premium_rcv_detail_code))+1
from ins_premium_det i),'60','60','02', '11000003','00','Request by Mr. Omair Ali 28-Nov-2024');</v>
      </c>
    </row>
    <row r="143" spans="1:8" ht="105.75" thickBot="1" x14ac:dyDescent="0.3">
      <c r="A143" s="3" t="s">
        <v>143</v>
      </c>
      <c r="B143" s="9" t="str">
        <f>VLOOKUP(A143,policy!B:C,2,0)</f>
        <v>040000186540</v>
      </c>
      <c r="C143" s="4">
        <v>65</v>
      </c>
      <c r="D143" s="10">
        <f t="shared" si="9"/>
        <v>65</v>
      </c>
      <c r="E143" s="8" t="s">
        <v>329</v>
      </c>
      <c r="F143" s="11" t="str">
        <f t="shared" si="8"/>
        <v>insert into ins_premium_det (premium_rcv_code,assorted_code, rec_amount,premium_rcv_detail_code,remaining_amt, payrec, mode_code,coinsurance_code,class_cd,it_remarks) values</v>
      </c>
      <c r="G143" s="12" t="str">
        <f t="shared" si="10"/>
        <v>('27Nov240142','040000186540','65',(select max(to_number(i.premium_rcv_detail_code))+1
from ins_premium_det i),'65','65','02', '11000003','00','Request by Mr. Omair Ali 28-Nov-2024');</v>
      </c>
      <c r="H143" s="13" t="str">
        <f t="shared" si="11"/>
        <v>insert into ins_premium_det (premium_rcv_code,assorted_code, rec_amount,premium_rcv_detail_code,remaining_amt, payrec, mode_code,coinsurance_code,class_cd,it_remarks) values('27Nov240142','040000186540','65',(select max(to_number(i.premium_rcv_detail_code))+1
from ins_premium_det i),'65','65','02', '11000003','00','Request by Mr. Omair Ali 28-Nov-2024');</v>
      </c>
    </row>
    <row r="144" spans="1:8" ht="105.75" thickBot="1" x14ac:dyDescent="0.3">
      <c r="A144" s="3" t="s">
        <v>144</v>
      </c>
      <c r="B144" s="9" t="str">
        <f>VLOOKUP(A144,policy!B:C,2,0)</f>
        <v>040000184438</v>
      </c>
      <c r="C144" s="4">
        <v>68</v>
      </c>
      <c r="D144" s="10">
        <f t="shared" si="9"/>
        <v>68</v>
      </c>
      <c r="E144" s="8" t="s">
        <v>329</v>
      </c>
      <c r="F144" s="11" t="str">
        <f t="shared" si="8"/>
        <v>insert into ins_premium_det (premium_rcv_code,assorted_code, rec_amount,premium_rcv_detail_code,remaining_amt, payrec, mode_code,coinsurance_code,class_cd,it_remarks) values</v>
      </c>
      <c r="G144" s="12" t="str">
        <f t="shared" si="10"/>
        <v>('27Nov240142','040000184438','68',(select max(to_number(i.premium_rcv_detail_code))+1
from ins_premium_det i),'68','68','02', '11000003','00','Request by Mr. Omair Ali 28-Nov-2024');</v>
      </c>
      <c r="H144" s="13" t="str">
        <f t="shared" si="11"/>
        <v>insert into ins_premium_det (premium_rcv_code,assorted_code, rec_amount,premium_rcv_detail_code,remaining_amt, payrec, mode_code,coinsurance_code,class_cd,it_remarks) values('27Nov240142','040000184438','68',(select max(to_number(i.premium_rcv_detail_code))+1
from ins_premium_det i),'68','68','02', '11000003','00','Request by Mr. Omair Ali 28-Nov-2024');</v>
      </c>
    </row>
    <row r="145" spans="1:8" ht="105.75" thickBot="1" x14ac:dyDescent="0.3">
      <c r="A145" s="3" t="s">
        <v>145</v>
      </c>
      <c r="B145" s="9" t="str">
        <f>VLOOKUP(A145,policy!B:C,2,0)</f>
        <v>040000157116</v>
      </c>
      <c r="C145" s="4">
        <v>72</v>
      </c>
      <c r="D145" s="10">
        <f t="shared" si="9"/>
        <v>72</v>
      </c>
      <c r="E145" s="8" t="s">
        <v>329</v>
      </c>
      <c r="F145" s="11" t="str">
        <f t="shared" si="8"/>
        <v>insert into ins_premium_det (premium_rcv_code,assorted_code, rec_amount,premium_rcv_detail_code,remaining_amt, payrec, mode_code,coinsurance_code,class_cd,it_remarks) values</v>
      </c>
      <c r="G145" s="12" t="str">
        <f t="shared" si="10"/>
        <v>('27Nov240142','040000157116','72',(select max(to_number(i.premium_rcv_detail_code))+1
from ins_premium_det i),'72','72','02', '11000003','00','Request by Mr. Omair Ali 28-Nov-2024');</v>
      </c>
      <c r="H145" s="13" t="str">
        <f t="shared" si="11"/>
        <v>insert into ins_premium_det (premium_rcv_code,assorted_code, rec_amount,premium_rcv_detail_code,remaining_amt, payrec, mode_code,coinsurance_code,class_cd,it_remarks) values('27Nov240142','040000157116','72',(select max(to_number(i.premium_rcv_detail_code))+1
from ins_premium_det i),'72','72','02', '11000003','00','Request by Mr. Omair Ali 28-Nov-2024');</v>
      </c>
    </row>
    <row r="146" spans="1:8" ht="105.75" thickBot="1" x14ac:dyDescent="0.3">
      <c r="A146" s="3" t="s">
        <v>146</v>
      </c>
      <c r="B146" s="9" t="str">
        <f>VLOOKUP(A146,policy!B:C,2,0)</f>
        <v>040000162100</v>
      </c>
      <c r="C146" s="4">
        <v>79</v>
      </c>
      <c r="D146" s="10">
        <f t="shared" si="9"/>
        <v>79</v>
      </c>
      <c r="E146" s="8" t="s">
        <v>329</v>
      </c>
      <c r="F146" s="11" t="str">
        <f t="shared" si="8"/>
        <v>insert into ins_premium_det (premium_rcv_code,assorted_code, rec_amount,premium_rcv_detail_code,remaining_amt, payrec, mode_code,coinsurance_code,class_cd,it_remarks) values</v>
      </c>
      <c r="G146" s="12" t="str">
        <f t="shared" si="10"/>
        <v>('27Nov240142','040000162100','79',(select max(to_number(i.premium_rcv_detail_code))+1
from ins_premium_det i),'79','79','02', '11000003','00','Request by Mr. Omair Ali 28-Nov-2024');</v>
      </c>
      <c r="H146" s="13" t="str">
        <f t="shared" si="11"/>
        <v>insert into ins_premium_det (premium_rcv_code,assorted_code, rec_amount,premium_rcv_detail_code,remaining_amt, payrec, mode_code,coinsurance_code,class_cd,it_remarks) values('27Nov240142','040000162100','79',(select max(to_number(i.premium_rcv_detail_code))+1
from ins_premium_det i),'79','79','02', '11000003','00','Request by Mr. Omair Ali 28-Nov-2024');</v>
      </c>
    </row>
    <row r="147" spans="1:8" ht="105.75" thickBot="1" x14ac:dyDescent="0.3">
      <c r="A147" s="3" t="s">
        <v>147</v>
      </c>
      <c r="B147" s="9" t="str">
        <f>VLOOKUP(A147,policy!B:C,2,0)</f>
        <v>040000185736</v>
      </c>
      <c r="C147" s="4">
        <v>80</v>
      </c>
      <c r="D147" s="10">
        <f t="shared" si="9"/>
        <v>80</v>
      </c>
      <c r="E147" s="8" t="s">
        <v>329</v>
      </c>
      <c r="F147" s="11" t="str">
        <f t="shared" si="8"/>
        <v>insert into ins_premium_det (premium_rcv_code,assorted_code, rec_amount,premium_rcv_detail_code,remaining_amt, payrec, mode_code,coinsurance_code,class_cd,it_remarks) values</v>
      </c>
      <c r="G147" s="12" t="str">
        <f t="shared" si="10"/>
        <v>('27Nov240142','040000185736','80',(select max(to_number(i.premium_rcv_detail_code))+1
from ins_premium_det i),'80','80','02', '11000003','00','Request by Mr. Omair Ali 28-Nov-2024');</v>
      </c>
      <c r="H147" s="13" t="str">
        <f t="shared" si="11"/>
        <v>insert into ins_premium_det (premium_rcv_code,assorted_code, rec_amount,premium_rcv_detail_code,remaining_amt, payrec, mode_code,coinsurance_code,class_cd,it_remarks) values('27Nov240142','040000185736','80',(select max(to_number(i.premium_rcv_detail_code))+1
from ins_premium_det i),'80','80','02', '11000003','00','Request by Mr. Omair Ali 28-Nov-2024');</v>
      </c>
    </row>
    <row r="148" spans="1:8" ht="105.75" thickBot="1" x14ac:dyDescent="0.3">
      <c r="A148" s="3" t="s">
        <v>148</v>
      </c>
      <c r="B148" s="9" t="str">
        <f>VLOOKUP(A148,policy!B:C,2,0)</f>
        <v>040000179972</v>
      </c>
      <c r="C148" s="4">
        <v>90</v>
      </c>
      <c r="D148" s="10">
        <f t="shared" si="9"/>
        <v>90</v>
      </c>
      <c r="E148" s="8" t="s">
        <v>329</v>
      </c>
      <c r="F148" s="11" t="str">
        <f t="shared" si="8"/>
        <v>insert into ins_premium_det (premium_rcv_code,assorted_code, rec_amount,premium_rcv_detail_code,remaining_amt, payrec, mode_code,coinsurance_code,class_cd,it_remarks) values</v>
      </c>
      <c r="G148" s="12" t="str">
        <f t="shared" si="10"/>
        <v>('27Nov240142','040000179972','90',(select max(to_number(i.premium_rcv_detail_code))+1
from ins_premium_det i),'90','90','02', '11000003','00','Request by Mr. Omair Ali 28-Nov-2024');</v>
      </c>
      <c r="H148" s="13" t="str">
        <f t="shared" si="11"/>
        <v>insert into ins_premium_det (premium_rcv_code,assorted_code, rec_amount,premium_rcv_detail_code,remaining_amt, payrec, mode_code,coinsurance_code,class_cd,it_remarks) values('27Nov240142','040000179972','90',(select max(to_number(i.premium_rcv_detail_code))+1
from ins_premium_det i),'90','90','02', '11000003','00','Request by Mr. Omair Ali 28-Nov-2024');</v>
      </c>
    </row>
    <row r="149" spans="1:8" ht="105.75" thickBot="1" x14ac:dyDescent="0.3">
      <c r="A149" s="3" t="s">
        <v>149</v>
      </c>
      <c r="B149" s="9" t="str">
        <f>VLOOKUP(A149,policy!B:C,2,0)</f>
        <v>040000165702</v>
      </c>
      <c r="C149" s="4">
        <v>96</v>
      </c>
      <c r="D149" s="10">
        <f t="shared" si="9"/>
        <v>96</v>
      </c>
      <c r="E149" s="8" t="s">
        <v>329</v>
      </c>
      <c r="F149" s="11" t="str">
        <f t="shared" si="8"/>
        <v>insert into ins_premium_det (premium_rcv_code,assorted_code, rec_amount,premium_rcv_detail_code,remaining_amt, payrec, mode_code,coinsurance_code,class_cd,it_remarks) values</v>
      </c>
      <c r="G149" s="12" t="str">
        <f t="shared" si="10"/>
        <v>('27Nov240142','040000165702','96',(select max(to_number(i.premium_rcv_detail_code))+1
from ins_premium_det i),'96','96','02', '11000003','00','Request by Mr. Omair Ali 28-Nov-2024');</v>
      </c>
      <c r="H149" s="13" t="str">
        <f t="shared" si="11"/>
        <v>insert into ins_premium_det (premium_rcv_code,assorted_code, rec_amount,premium_rcv_detail_code,remaining_amt, payrec, mode_code,coinsurance_code,class_cd,it_remarks) values('27Nov240142','040000165702','96',(select max(to_number(i.premium_rcv_detail_code))+1
from ins_premium_det i),'96','96','02', '11000003','00','Request by Mr. Omair Ali 28-Nov-2024');</v>
      </c>
    </row>
    <row r="150" spans="1:8" x14ac:dyDescent="0.25">
      <c r="D150" s="15">
        <f>SUM(D2:D149)</f>
        <v>1598</v>
      </c>
    </row>
  </sheetData>
  <conditionalFormatting sqref="A1">
    <cfRule type="duplicateValues" dxfId="3" priority="1"/>
  </conditionalFormatting>
  <conditionalFormatting sqref="A2:B2 B3:B149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971F-DE0F-419D-B9B0-D589E6789DE9}">
  <dimension ref="A1:E148"/>
  <sheetViews>
    <sheetView workbookViewId="0">
      <selection activeCell="K12" sqref="K12"/>
    </sheetView>
  </sheetViews>
  <sheetFormatPr defaultRowHeight="15" x14ac:dyDescent="0.25"/>
  <cols>
    <col min="1" max="1" width="48.28515625" customWidth="1"/>
  </cols>
  <sheetData>
    <row r="1" spans="1:5" ht="15.75" thickBot="1" x14ac:dyDescent="0.3">
      <c r="A1" s="3" t="s">
        <v>2</v>
      </c>
      <c r="B1" t="s">
        <v>150</v>
      </c>
      <c r="D1">
        <v>72779</v>
      </c>
      <c r="E1" t="str">
        <f>"ia.assorted_string like '%"&amp;D1&amp;B1&amp;"%' or"</f>
        <v>ia.assorted_string like '%72779-07-2023%' or</v>
      </c>
    </row>
    <row r="2" spans="1:5" ht="15.75" thickBot="1" x14ac:dyDescent="0.3">
      <c r="A2" s="3" t="s">
        <v>3</v>
      </c>
      <c r="B2" t="s">
        <v>151</v>
      </c>
      <c r="D2">
        <v>89038</v>
      </c>
      <c r="E2" t="str">
        <f t="shared" ref="E2:E65" si="0">"ia.assorted_string like '%"&amp;D2&amp;B2&amp;"%' or"</f>
        <v>ia.assorted_string like '%89038-05-2024%' or</v>
      </c>
    </row>
    <row r="3" spans="1:5" ht="15.75" thickBot="1" x14ac:dyDescent="0.3">
      <c r="A3" s="3" t="s">
        <v>4</v>
      </c>
      <c r="B3" t="s">
        <v>152</v>
      </c>
      <c r="D3">
        <v>60462</v>
      </c>
      <c r="E3" t="str">
        <f t="shared" si="0"/>
        <v>ia.assorted_string like '%60462-04-2022%' or</v>
      </c>
    </row>
    <row r="4" spans="1:5" ht="15.75" thickBot="1" x14ac:dyDescent="0.3">
      <c r="A4" s="3" t="s">
        <v>5</v>
      </c>
      <c r="B4" t="s">
        <v>153</v>
      </c>
      <c r="D4">
        <v>67169</v>
      </c>
      <c r="E4" t="str">
        <f t="shared" si="0"/>
        <v>ia.assorted_string like '%67169-01-2023%' or</v>
      </c>
    </row>
    <row r="5" spans="1:5" ht="15.75" thickBot="1" x14ac:dyDescent="0.3">
      <c r="A5" s="3" t="s">
        <v>6</v>
      </c>
      <c r="B5" t="s">
        <v>154</v>
      </c>
      <c r="D5">
        <v>65381</v>
      </c>
      <c r="E5" t="str">
        <f t="shared" si="0"/>
        <v>ia.assorted_string like '%65381-11-2022%' or</v>
      </c>
    </row>
    <row r="6" spans="1:5" ht="15.75" thickBot="1" x14ac:dyDescent="0.3">
      <c r="A6" s="3" t="s">
        <v>7</v>
      </c>
      <c r="B6" t="s">
        <v>155</v>
      </c>
      <c r="D6">
        <v>61096</v>
      </c>
      <c r="E6" t="str">
        <f t="shared" si="0"/>
        <v>ia.assorted_string like '%61096-05-2022%' or</v>
      </c>
    </row>
    <row r="7" spans="1:5" ht="15.75" thickBot="1" x14ac:dyDescent="0.3">
      <c r="A7" s="3" t="s">
        <v>8</v>
      </c>
      <c r="B7" t="s">
        <v>153</v>
      </c>
      <c r="D7">
        <v>67091</v>
      </c>
      <c r="E7" t="str">
        <f t="shared" si="0"/>
        <v>ia.assorted_string like '%67091-01-2023%' or</v>
      </c>
    </row>
    <row r="8" spans="1:5" ht="15.75" thickBot="1" x14ac:dyDescent="0.3">
      <c r="A8" s="3" t="s">
        <v>9</v>
      </c>
      <c r="B8" t="s">
        <v>153</v>
      </c>
      <c r="D8">
        <v>67090</v>
      </c>
      <c r="E8" t="str">
        <f t="shared" si="0"/>
        <v>ia.assorted_string like '%67090-01-2023%' or</v>
      </c>
    </row>
    <row r="9" spans="1:5" ht="15.75" thickBot="1" x14ac:dyDescent="0.3">
      <c r="A9" s="3" t="s">
        <v>10</v>
      </c>
      <c r="B9" t="s">
        <v>156</v>
      </c>
      <c r="D9">
        <v>94510</v>
      </c>
      <c r="E9" t="str">
        <f t="shared" si="0"/>
        <v>ia.assorted_string like '%94510-08-2024%' or</v>
      </c>
    </row>
    <row r="10" spans="1:5" ht="15.75" thickBot="1" x14ac:dyDescent="0.3">
      <c r="A10" s="3" t="s">
        <v>11</v>
      </c>
      <c r="B10" t="s">
        <v>156</v>
      </c>
      <c r="D10">
        <v>94374</v>
      </c>
      <c r="E10" t="str">
        <f t="shared" si="0"/>
        <v>ia.assorted_string like '%94374-08-2024%' or</v>
      </c>
    </row>
    <row r="11" spans="1:5" ht="15.75" thickBot="1" x14ac:dyDescent="0.3">
      <c r="A11" s="3" t="s">
        <v>12</v>
      </c>
      <c r="B11" t="s">
        <v>156</v>
      </c>
      <c r="D11">
        <v>94518</v>
      </c>
      <c r="E11" t="str">
        <f t="shared" si="0"/>
        <v>ia.assorted_string like '%94518-08-2024%' or</v>
      </c>
    </row>
    <row r="12" spans="1:5" ht="15.75" thickBot="1" x14ac:dyDescent="0.3">
      <c r="A12" s="3" t="s">
        <v>13</v>
      </c>
      <c r="B12" t="s">
        <v>156</v>
      </c>
      <c r="D12">
        <v>94544</v>
      </c>
      <c r="E12" t="str">
        <f t="shared" si="0"/>
        <v>ia.assorted_string like '%94544-08-2024%' or</v>
      </c>
    </row>
    <row r="13" spans="1:5" ht="15.75" thickBot="1" x14ac:dyDescent="0.3">
      <c r="A13" s="3" t="s">
        <v>14</v>
      </c>
      <c r="B13" t="s">
        <v>156</v>
      </c>
      <c r="D13">
        <v>94475</v>
      </c>
      <c r="E13" t="str">
        <f t="shared" si="0"/>
        <v>ia.assorted_string like '%94475-08-2024%' or</v>
      </c>
    </row>
    <row r="14" spans="1:5" ht="15.75" thickBot="1" x14ac:dyDescent="0.3">
      <c r="A14" s="3" t="s">
        <v>15</v>
      </c>
      <c r="B14" t="s">
        <v>156</v>
      </c>
      <c r="D14">
        <v>94668</v>
      </c>
      <c r="E14" t="str">
        <f t="shared" si="0"/>
        <v>ia.assorted_string like '%94668-08-2024%' or</v>
      </c>
    </row>
    <row r="15" spans="1:5" ht="15.75" thickBot="1" x14ac:dyDescent="0.3">
      <c r="A15" s="3" t="s">
        <v>16</v>
      </c>
      <c r="B15" t="s">
        <v>156</v>
      </c>
      <c r="D15">
        <v>94516</v>
      </c>
      <c r="E15" t="str">
        <f t="shared" si="0"/>
        <v>ia.assorted_string like '%94516-08-2024%' or</v>
      </c>
    </row>
    <row r="16" spans="1:5" ht="15.75" thickBot="1" x14ac:dyDescent="0.3">
      <c r="A16" s="3" t="s">
        <v>17</v>
      </c>
      <c r="B16" t="s">
        <v>156</v>
      </c>
      <c r="D16">
        <v>94671</v>
      </c>
      <c r="E16" t="str">
        <f t="shared" si="0"/>
        <v>ia.assorted_string like '%94671-08-2024%' or</v>
      </c>
    </row>
    <row r="17" spans="1:5" ht="15.75" thickBot="1" x14ac:dyDescent="0.3">
      <c r="A17" s="3" t="s">
        <v>18</v>
      </c>
      <c r="B17" t="s">
        <v>156</v>
      </c>
      <c r="D17">
        <v>94539</v>
      </c>
      <c r="E17" t="str">
        <f t="shared" si="0"/>
        <v>ia.assorted_string like '%94539-08-2024%' or</v>
      </c>
    </row>
    <row r="18" spans="1:5" ht="15.75" thickBot="1" x14ac:dyDescent="0.3">
      <c r="A18" s="3" t="s">
        <v>19</v>
      </c>
      <c r="B18" t="s">
        <v>156</v>
      </c>
      <c r="D18">
        <v>94530</v>
      </c>
      <c r="E18" t="str">
        <f t="shared" si="0"/>
        <v>ia.assorted_string like '%94530-08-2024%' or</v>
      </c>
    </row>
    <row r="19" spans="1:5" ht="15.75" thickBot="1" x14ac:dyDescent="0.3">
      <c r="A19" s="3" t="s">
        <v>20</v>
      </c>
      <c r="B19" t="s">
        <v>156</v>
      </c>
      <c r="D19">
        <v>94375</v>
      </c>
      <c r="E19" t="str">
        <f t="shared" si="0"/>
        <v>ia.assorted_string like '%94375-08-2024%' or</v>
      </c>
    </row>
    <row r="20" spans="1:5" ht="15.75" thickBot="1" x14ac:dyDescent="0.3">
      <c r="A20" s="3" t="s">
        <v>21</v>
      </c>
      <c r="B20" t="s">
        <v>156</v>
      </c>
      <c r="D20">
        <v>94411</v>
      </c>
      <c r="E20" t="str">
        <f t="shared" si="0"/>
        <v>ia.assorted_string like '%94411-08-2024%' or</v>
      </c>
    </row>
    <row r="21" spans="1:5" ht="15.75" thickBot="1" x14ac:dyDescent="0.3">
      <c r="A21" s="3" t="s">
        <v>22</v>
      </c>
      <c r="B21" t="s">
        <v>156</v>
      </c>
      <c r="D21">
        <v>94476</v>
      </c>
      <c r="E21" t="str">
        <f t="shared" si="0"/>
        <v>ia.assorted_string like '%94476-08-2024%' or</v>
      </c>
    </row>
    <row r="22" spans="1:5" ht="15.75" thickBot="1" x14ac:dyDescent="0.3">
      <c r="A22" s="3" t="s">
        <v>23</v>
      </c>
      <c r="B22" t="s">
        <v>156</v>
      </c>
      <c r="D22">
        <v>94412</v>
      </c>
      <c r="E22" t="str">
        <f t="shared" si="0"/>
        <v>ia.assorted_string like '%94412-08-2024%' or</v>
      </c>
    </row>
    <row r="23" spans="1:5" ht="15.75" thickBot="1" x14ac:dyDescent="0.3">
      <c r="A23" s="3" t="s">
        <v>24</v>
      </c>
      <c r="B23" t="s">
        <v>156</v>
      </c>
      <c r="D23">
        <v>94511</v>
      </c>
      <c r="E23" t="str">
        <f t="shared" si="0"/>
        <v>ia.assorted_string like '%94511-08-2024%' or</v>
      </c>
    </row>
    <row r="24" spans="1:5" ht="15.75" thickBot="1" x14ac:dyDescent="0.3">
      <c r="A24" s="3" t="s">
        <v>25</v>
      </c>
      <c r="B24" t="s">
        <v>156</v>
      </c>
      <c r="D24">
        <v>94538</v>
      </c>
      <c r="E24" t="str">
        <f t="shared" si="0"/>
        <v>ia.assorted_string like '%94538-08-2024%' or</v>
      </c>
    </row>
    <row r="25" spans="1:5" ht="15.75" thickBot="1" x14ac:dyDescent="0.3">
      <c r="A25" s="3" t="s">
        <v>26</v>
      </c>
      <c r="B25" t="s">
        <v>156</v>
      </c>
      <c r="D25">
        <v>94517</v>
      </c>
      <c r="E25" t="str">
        <f t="shared" si="0"/>
        <v>ia.assorted_string like '%94517-08-2024%' or</v>
      </c>
    </row>
    <row r="26" spans="1:5" ht="15.75" thickBot="1" x14ac:dyDescent="0.3">
      <c r="A26" s="3" t="s">
        <v>27</v>
      </c>
      <c r="B26" t="s">
        <v>156</v>
      </c>
      <c r="D26">
        <v>94527</v>
      </c>
      <c r="E26" t="str">
        <f t="shared" si="0"/>
        <v>ia.assorted_string like '%94527-08-2024%' or</v>
      </c>
    </row>
    <row r="27" spans="1:5" ht="15.75" thickBot="1" x14ac:dyDescent="0.3">
      <c r="A27" s="3" t="s">
        <v>28</v>
      </c>
      <c r="B27" t="s">
        <v>156</v>
      </c>
      <c r="D27">
        <v>94543</v>
      </c>
      <c r="E27" t="str">
        <f t="shared" si="0"/>
        <v>ia.assorted_string like '%94543-08-2024%' or</v>
      </c>
    </row>
    <row r="28" spans="1:5" ht="15.75" thickBot="1" x14ac:dyDescent="0.3">
      <c r="A28" s="3" t="s">
        <v>29</v>
      </c>
      <c r="B28" t="s">
        <v>156</v>
      </c>
      <c r="D28">
        <v>94373</v>
      </c>
      <c r="E28" t="str">
        <f t="shared" si="0"/>
        <v>ia.assorted_string like '%94373-08-2024%' or</v>
      </c>
    </row>
    <row r="29" spans="1:5" ht="15.75" thickBot="1" x14ac:dyDescent="0.3">
      <c r="A29" s="3" t="s">
        <v>30</v>
      </c>
      <c r="B29" t="s">
        <v>156</v>
      </c>
      <c r="D29">
        <v>94526</v>
      </c>
      <c r="E29" t="str">
        <f t="shared" si="0"/>
        <v>ia.assorted_string like '%94526-08-2024%' or</v>
      </c>
    </row>
    <row r="30" spans="1:5" ht="15.75" thickBot="1" x14ac:dyDescent="0.3">
      <c r="A30" s="3" t="s">
        <v>31</v>
      </c>
      <c r="B30" t="s">
        <v>156</v>
      </c>
      <c r="D30">
        <v>94364</v>
      </c>
      <c r="E30" t="str">
        <f t="shared" si="0"/>
        <v>ia.assorted_string like '%94364-08-2024%' or</v>
      </c>
    </row>
    <row r="31" spans="1:5" ht="15.75" thickBot="1" x14ac:dyDescent="0.3">
      <c r="A31" s="3" t="s">
        <v>32</v>
      </c>
      <c r="B31" t="s">
        <v>156</v>
      </c>
      <c r="D31">
        <v>94363</v>
      </c>
      <c r="E31" t="str">
        <f t="shared" si="0"/>
        <v>ia.assorted_string like '%94363-08-2024%' or</v>
      </c>
    </row>
    <row r="32" spans="1:5" ht="15.75" thickBot="1" x14ac:dyDescent="0.3">
      <c r="A32" s="3" t="s">
        <v>33</v>
      </c>
      <c r="B32" t="s">
        <v>156</v>
      </c>
      <c r="D32">
        <v>94519</v>
      </c>
      <c r="E32" t="str">
        <f t="shared" si="0"/>
        <v>ia.assorted_string like '%94519-08-2024%' or</v>
      </c>
    </row>
    <row r="33" spans="1:5" ht="15.75" thickBot="1" x14ac:dyDescent="0.3">
      <c r="A33" s="3" t="s">
        <v>34</v>
      </c>
      <c r="B33" t="s">
        <v>157</v>
      </c>
      <c r="D33">
        <v>98931</v>
      </c>
      <c r="E33" t="str">
        <f t="shared" si="0"/>
        <v>ia.assorted_string like '%98931-10-2024%' or</v>
      </c>
    </row>
    <row r="34" spans="1:5" ht="15.75" thickBot="1" x14ac:dyDescent="0.3">
      <c r="A34" s="3" t="s">
        <v>35</v>
      </c>
      <c r="B34" t="s">
        <v>157</v>
      </c>
      <c r="D34">
        <v>100788</v>
      </c>
      <c r="E34" t="str">
        <f t="shared" si="0"/>
        <v>ia.assorted_string like '%100788-10-2024%' or</v>
      </c>
    </row>
    <row r="35" spans="1:5" ht="15.75" thickBot="1" x14ac:dyDescent="0.3">
      <c r="A35" s="3" t="s">
        <v>36</v>
      </c>
      <c r="B35" t="s">
        <v>158</v>
      </c>
      <c r="D35">
        <v>85426</v>
      </c>
      <c r="E35" t="str">
        <f t="shared" si="0"/>
        <v>ia.assorted_string like '%85426-03-2024%' or</v>
      </c>
    </row>
    <row r="36" spans="1:5" ht="15.75" thickBot="1" x14ac:dyDescent="0.3">
      <c r="A36" s="3" t="s">
        <v>37</v>
      </c>
      <c r="B36" t="s">
        <v>159</v>
      </c>
      <c r="D36">
        <v>81037</v>
      </c>
      <c r="E36" t="str">
        <f t="shared" si="0"/>
        <v>ia.assorted_string like '%81037-01-2024%' or</v>
      </c>
    </row>
    <row r="37" spans="1:5" ht="15.75" thickBot="1" x14ac:dyDescent="0.3">
      <c r="A37" s="3" t="s">
        <v>38</v>
      </c>
      <c r="B37" t="s">
        <v>157</v>
      </c>
      <c r="D37">
        <v>100822</v>
      </c>
      <c r="E37" t="str">
        <f t="shared" si="0"/>
        <v>ia.assorted_string like '%100822-10-2024%' or</v>
      </c>
    </row>
    <row r="38" spans="1:5" ht="15.75" thickBot="1" x14ac:dyDescent="0.3">
      <c r="A38" s="3" t="s">
        <v>39</v>
      </c>
      <c r="B38" t="s">
        <v>160</v>
      </c>
      <c r="D38">
        <v>75192</v>
      </c>
      <c r="E38" t="str">
        <f t="shared" si="0"/>
        <v>ia.assorted_string like '%75192-09-2023%' or</v>
      </c>
    </row>
    <row r="39" spans="1:5" ht="15.75" thickBot="1" x14ac:dyDescent="0.3">
      <c r="A39" s="3" t="s">
        <v>40</v>
      </c>
      <c r="B39" t="s">
        <v>157</v>
      </c>
      <c r="D39">
        <v>98942</v>
      </c>
      <c r="E39" t="str">
        <f t="shared" si="0"/>
        <v>ia.assorted_string like '%98942-10-2024%' or</v>
      </c>
    </row>
    <row r="40" spans="1:5" ht="15.75" thickBot="1" x14ac:dyDescent="0.3">
      <c r="A40" s="3" t="s">
        <v>41</v>
      </c>
      <c r="B40" t="s">
        <v>154</v>
      </c>
      <c r="D40">
        <v>64888</v>
      </c>
      <c r="E40" t="str">
        <f t="shared" si="0"/>
        <v>ia.assorted_string like '%64888-11-2022%' or</v>
      </c>
    </row>
    <row r="41" spans="1:5" ht="15.75" thickBot="1" x14ac:dyDescent="0.3">
      <c r="A41" s="3" t="s">
        <v>42</v>
      </c>
      <c r="B41" t="s">
        <v>151</v>
      </c>
      <c r="D41">
        <v>88365</v>
      </c>
      <c r="E41" t="str">
        <f t="shared" si="0"/>
        <v>ia.assorted_string like '%88365-05-2024%' or</v>
      </c>
    </row>
    <row r="42" spans="1:5" ht="15.75" thickBot="1" x14ac:dyDescent="0.3">
      <c r="A42" s="3" t="s">
        <v>43</v>
      </c>
      <c r="B42" t="s">
        <v>157</v>
      </c>
      <c r="D42">
        <v>99260</v>
      </c>
      <c r="E42" t="str">
        <f t="shared" si="0"/>
        <v>ia.assorted_string like '%99260-10-2024%' or</v>
      </c>
    </row>
    <row r="43" spans="1:5" ht="15.75" thickBot="1" x14ac:dyDescent="0.3">
      <c r="A43" s="3" t="s">
        <v>44</v>
      </c>
      <c r="B43" t="s">
        <v>151</v>
      </c>
      <c r="D43">
        <v>88645</v>
      </c>
      <c r="E43" t="str">
        <f t="shared" si="0"/>
        <v>ia.assorted_string like '%88645-05-2024%' or</v>
      </c>
    </row>
    <row r="44" spans="1:5" ht="15.75" thickBot="1" x14ac:dyDescent="0.3">
      <c r="A44" s="3" t="s">
        <v>45</v>
      </c>
      <c r="B44" t="s">
        <v>159</v>
      </c>
      <c r="D44">
        <v>82171</v>
      </c>
      <c r="E44" t="str">
        <f t="shared" si="0"/>
        <v>ia.assorted_string like '%82171-01-2024%' or</v>
      </c>
    </row>
    <row r="45" spans="1:5" ht="15.75" thickBot="1" x14ac:dyDescent="0.3">
      <c r="A45" s="3" t="s">
        <v>46</v>
      </c>
      <c r="B45" t="s">
        <v>151</v>
      </c>
      <c r="D45">
        <v>88949</v>
      </c>
      <c r="E45" t="str">
        <f t="shared" si="0"/>
        <v>ia.assorted_string like '%88949-05-2024%' or</v>
      </c>
    </row>
    <row r="46" spans="1:5" ht="15.75" thickBot="1" x14ac:dyDescent="0.3">
      <c r="A46" s="3" t="s">
        <v>47</v>
      </c>
      <c r="B46" t="s">
        <v>161</v>
      </c>
      <c r="D46">
        <v>98511</v>
      </c>
      <c r="E46" t="str">
        <f t="shared" si="0"/>
        <v>ia.assorted_string like '%98511-09-2024%' or</v>
      </c>
    </row>
    <row r="47" spans="1:5" ht="15.75" thickBot="1" x14ac:dyDescent="0.3">
      <c r="A47" s="3" t="s">
        <v>48</v>
      </c>
      <c r="B47" t="s">
        <v>162</v>
      </c>
      <c r="D47">
        <v>101419</v>
      </c>
      <c r="E47" t="str">
        <f t="shared" si="0"/>
        <v>ia.assorted_string like '%101419-11-2024%' or</v>
      </c>
    </row>
    <row r="48" spans="1:5" ht="15.75" thickBot="1" x14ac:dyDescent="0.3">
      <c r="A48" s="3" t="s">
        <v>49</v>
      </c>
      <c r="B48" t="s">
        <v>157</v>
      </c>
      <c r="D48">
        <v>99231</v>
      </c>
      <c r="E48" t="str">
        <f t="shared" si="0"/>
        <v>ia.assorted_string like '%99231-10-2024%' or</v>
      </c>
    </row>
    <row r="49" spans="1:5" ht="15.75" thickBot="1" x14ac:dyDescent="0.3">
      <c r="A49" s="3" t="s">
        <v>50</v>
      </c>
      <c r="B49" t="s">
        <v>163</v>
      </c>
      <c r="D49">
        <v>90254</v>
      </c>
      <c r="E49" t="str">
        <f t="shared" si="0"/>
        <v>ia.assorted_string like '%90254-06-2024%' or</v>
      </c>
    </row>
    <row r="50" spans="1:5" ht="15.75" thickBot="1" x14ac:dyDescent="0.3">
      <c r="A50" s="3" t="s">
        <v>51</v>
      </c>
      <c r="B50" t="s">
        <v>164</v>
      </c>
      <c r="D50">
        <v>87652</v>
      </c>
      <c r="E50" t="str">
        <f t="shared" si="0"/>
        <v>ia.assorted_string like '%87652-04-2024%' or</v>
      </c>
    </row>
    <row r="51" spans="1:5" ht="15.75" thickBot="1" x14ac:dyDescent="0.3">
      <c r="A51" s="3" t="s">
        <v>52</v>
      </c>
      <c r="B51" t="s">
        <v>165</v>
      </c>
      <c r="D51">
        <v>92565</v>
      </c>
      <c r="E51" t="str">
        <f t="shared" si="0"/>
        <v>ia.assorted_string like '%92565-07-2024%' or</v>
      </c>
    </row>
    <row r="52" spans="1:5" ht="15.75" thickBot="1" x14ac:dyDescent="0.3">
      <c r="A52" s="3" t="s">
        <v>53</v>
      </c>
      <c r="B52" t="s">
        <v>166</v>
      </c>
      <c r="D52">
        <v>76844</v>
      </c>
      <c r="E52" t="str">
        <f t="shared" si="0"/>
        <v>ia.assorted_string like '%76844-10-2023%' or</v>
      </c>
    </row>
    <row r="53" spans="1:5" ht="15.75" thickBot="1" x14ac:dyDescent="0.3">
      <c r="A53" s="3" t="s">
        <v>54</v>
      </c>
      <c r="B53" t="s">
        <v>165</v>
      </c>
      <c r="D53">
        <v>92612</v>
      </c>
      <c r="E53" t="str">
        <f t="shared" si="0"/>
        <v>ia.assorted_string like '%92612-07-2024%' or</v>
      </c>
    </row>
    <row r="54" spans="1:5" ht="15.75" thickBot="1" x14ac:dyDescent="0.3">
      <c r="A54" s="3" t="s">
        <v>55</v>
      </c>
      <c r="B54" t="s">
        <v>158</v>
      </c>
      <c r="D54">
        <v>86143</v>
      </c>
      <c r="E54" t="str">
        <f t="shared" si="0"/>
        <v>ia.assorted_string like '%86143-03-2024%' or</v>
      </c>
    </row>
    <row r="55" spans="1:5" ht="15.75" thickBot="1" x14ac:dyDescent="0.3">
      <c r="A55" s="3" t="s">
        <v>56</v>
      </c>
      <c r="B55" t="s">
        <v>157</v>
      </c>
      <c r="D55">
        <v>100082</v>
      </c>
      <c r="E55" t="str">
        <f t="shared" si="0"/>
        <v>ia.assorted_string like '%100082-10-2024%' or</v>
      </c>
    </row>
    <row r="56" spans="1:5" ht="15.75" thickBot="1" x14ac:dyDescent="0.3">
      <c r="A56" s="3" t="s">
        <v>57</v>
      </c>
      <c r="B56" t="s">
        <v>161</v>
      </c>
      <c r="D56">
        <v>98246</v>
      </c>
      <c r="E56" t="str">
        <f t="shared" si="0"/>
        <v>ia.assorted_string like '%98246-09-2024%' or</v>
      </c>
    </row>
    <row r="57" spans="1:5" ht="15.75" thickBot="1" x14ac:dyDescent="0.3">
      <c r="A57" s="3" t="s">
        <v>58</v>
      </c>
      <c r="B57" t="s">
        <v>157</v>
      </c>
      <c r="D57">
        <v>100087</v>
      </c>
      <c r="E57" t="str">
        <f t="shared" si="0"/>
        <v>ia.assorted_string like '%100087-10-2024%' or</v>
      </c>
    </row>
    <row r="58" spans="1:5" ht="15.75" thickBot="1" x14ac:dyDescent="0.3">
      <c r="A58" s="3" t="s">
        <v>59</v>
      </c>
      <c r="B58" t="s">
        <v>160</v>
      </c>
      <c r="D58">
        <v>74898</v>
      </c>
      <c r="E58" t="str">
        <f t="shared" si="0"/>
        <v>ia.assorted_string like '%74898-09-2023%' or</v>
      </c>
    </row>
    <row r="59" spans="1:5" ht="15.75" thickBot="1" x14ac:dyDescent="0.3">
      <c r="A59" s="3" t="s">
        <v>60</v>
      </c>
      <c r="B59" t="s">
        <v>167</v>
      </c>
      <c r="D59">
        <v>72023</v>
      </c>
      <c r="E59" t="str">
        <f t="shared" si="0"/>
        <v>ia.assorted_string like '%72023-06-2023%' or</v>
      </c>
    </row>
    <row r="60" spans="1:5" ht="15.75" thickBot="1" x14ac:dyDescent="0.3">
      <c r="A60" s="3" t="s">
        <v>61</v>
      </c>
      <c r="B60" t="s">
        <v>159</v>
      </c>
      <c r="D60">
        <v>82727</v>
      </c>
      <c r="E60" t="str">
        <f t="shared" si="0"/>
        <v>ia.assorted_string like '%82727-01-2024%' or</v>
      </c>
    </row>
    <row r="61" spans="1:5" ht="15.75" thickBot="1" x14ac:dyDescent="0.3">
      <c r="A61" s="3" t="s">
        <v>62</v>
      </c>
      <c r="B61" t="s">
        <v>162</v>
      </c>
      <c r="D61">
        <v>101861</v>
      </c>
      <c r="E61" t="str">
        <f t="shared" si="0"/>
        <v>ia.assorted_string like '%101861-11-2024%' or</v>
      </c>
    </row>
    <row r="62" spans="1:5" ht="15.75" thickBot="1" x14ac:dyDescent="0.3">
      <c r="A62" s="3" t="s">
        <v>63</v>
      </c>
      <c r="B62" t="s">
        <v>157</v>
      </c>
      <c r="D62">
        <v>99233</v>
      </c>
      <c r="E62" t="str">
        <f t="shared" si="0"/>
        <v>ia.assorted_string like '%99233-10-2024%' or</v>
      </c>
    </row>
    <row r="63" spans="1:5" ht="15.75" thickBot="1" x14ac:dyDescent="0.3">
      <c r="A63" s="3" t="s">
        <v>64</v>
      </c>
      <c r="B63" t="s">
        <v>159</v>
      </c>
      <c r="D63">
        <v>81225</v>
      </c>
      <c r="E63" t="str">
        <f t="shared" si="0"/>
        <v>ia.assorted_string like '%81225-01-2024%' or</v>
      </c>
    </row>
    <row r="64" spans="1:5" ht="15.75" thickBot="1" x14ac:dyDescent="0.3">
      <c r="A64" s="3" t="s">
        <v>65</v>
      </c>
      <c r="B64" t="s">
        <v>157</v>
      </c>
      <c r="D64">
        <v>99594</v>
      </c>
      <c r="E64" t="str">
        <f t="shared" si="0"/>
        <v>ia.assorted_string like '%99594-10-2024%' or</v>
      </c>
    </row>
    <row r="65" spans="1:5" ht="15.75" thickBot="1" x14ac:dyDescent="0.3">
      <c r="A65" s="3" t="s">
        <v>66</v>
      </c>
      <c r="B65" t="s">
        <v>157</v>
      </c>
      <c r="D65">
        <v>100567</v>
      </c>
      <c r="E65" t="str">
        <f t="shared" si="0"/>
        <v>ia.assorted_string like '%100567-10-2024%' or</v>
      </c>
    </row>
    <row r="66" spans="1:5" ht="15.75" thickBot="1" x14ac:dyDescent="0.3">
      <c r="A66" s="3" t="s">
        <v>67</v>
      </c>
      <c r="B66" t="s">
        <v>158</v>
      </c>
      <c r="D66">
        <v>84960</v>
      </c>
      <c r="E66" t="str">
        <f t="shared" ref="E66:E129" si="1">"ia.assorted_string like '%"&amp;D66&amp;B66&amp;"%' or"</f>
        <v>ia.assorted_string like '%84960-03-2024%' or</v>
      </c>
    </row>
    <row r="67" spans="1:5" ht="15.75" thickBot="1" x14ac:dyDescent="0.3">
      <c r="A67" s="3" t="s">
        <v>68</v>
      </c>
      <c r="B67" t="s">
        <v>161</v>
      </c>
      <c r="D67">
        <v>96791</v>
      </c>
      <c r="E67" t="str">
        <f t="shared" si="1"/>
        <v>ia.assorted_string like '%96791-09-2024%' or</v>
      </c>
    </row>
    <row r="68" spans="1:5" ht="15.75" thickBot="1" x14ac:dyDescent="0.3">
      <c r="A68" s="3" t="s">
        <v>69</v>
      </c>
      <c r="B68" t="s">
        <v>164</v>
      </c>
      <c r="D68">
        <v>87653</v>
      </c>
      <c r="E68" t="str">
        <f t="shared" si="1"/>
        <v>ia.assorted_string like '%87653-04-2024%' or</v>
      </c>
    </row>
    <row r="69" spans="1:5" ht="15.75" thickBot="1" x14ac:dyDescent="0.3">
      <c r="A69" s="3" t="s">
        <v>70</v>
      </c>
      <c r="B69" t="s">
        <v>158</v>
      </c>
      <c r="D69">
        <v>85515</v>
      </c>
      <c r="E69" t="str">
        <f t="shared" si="1"/>
        <v>ia.assorted_string like '%85515-03-2024%' or</v>
      </c>
    </row>
    <row r="70" spans="1:5" ht="15.75" thickBot="1" x14ac:dyDescent="0.3">
      <c r="A70" s="3" t="s">
        <v>71</v>
      </c>
      <c r="B70" t="s">
        <v>168</v>
      </c>
      <c r="D70">
        <v>78823</v>
      </c>
      <c r="E70" t="str">
        <f t="shared" si="1"/>
        <v>ia.assorted_string like '%78823-11-2023%' or</v>
      </c>
    </row>
    <row r="71" spans="1:5" ht="15.75" thickBot="1" x14ac:dyDescent="0.3">
      <c r="A71" s="3" t="s">
        <v>72</v>
      </c>
      <c r="B71" t="s">
        <v>158</v>
      </c>
      <c r="D71">
        <v>84895</v>
      </c>
      <c r="E71" t="str">
        <f t="shared" si="1"/>
        <v>ia.assorted_string like '%84895-03-2024%' or</v>
      </c>
    </row>
    <row r="72" spans="1:5" ht="15.75" thickBot="1" x14ac:dyDescent="0.3">
      <c r="A72" s="3" t="s">
        <v>73</v>
      </c>
      <c r="B72" t="s">
        <v>151</v>
      </c>
      <c r="D72">
        <v>88205</v>
      </c>
      <c r="E72" t="str">
        <f t="shared" si="1"/>
        <v>ia.assorted_string like '%88205-05-2024%' or</v>
      </c>
    </row>
    <row r="73" spans="1:5" ht="15.75" thickBot="1" x14ac:dyDescent="0.3">
      <c r="A73" s="3" t="s">
        <v>74</v>
      </c>
      <c r="B73" t="s">
        <v>158</v>
      </c>
      <c r="D73">
        <v>85642</v>
      </c>
      <c r="E73" t="str">
        <f t="shared" si="1"/>
        <v>ia.assorted_string like '%85642-03-2024%' or</v>
      </c>
    </row>
    <row r="74" spans="1:5" ht="15.75" thickBot="1" x14ac:dyDescent="0.3">
      <c r="A74" s="3" t="s">
        <v>75</v>
      </c>
      <c r="B74" t="s">
        <v>158</v>
      </c>
      <c r="D74">
        <v>85536</v>
      </c>
      <c r="E74" t="str">
        <f t="shared" si="1"/>
        <v>ia.assorted_string like '%85536-03-2024%' or</v>
      </c>
    </row>
    <row r="75" spans="1:5" ht="15.75" thickBot="1" x14ac:dyDescent="0.3">
      <c r="A75" s="3" t="s">
        <v>76</v>
      </c>
      <c r="B75" t="s">
        <v>163</v>
      </c>
      <c r="D75">
        <v>90696</v>
      </c>
      <c r="E75" t="str">
        <f t="shared" si="1"/>
        <v>ia.assorted_string like '%90696-06-2024%' or</v>
      </c>
    </row>
    <row r="76" spans="1:5" ht="15.75" thickBot="1" x14ac:dyDescent="0.3">
      <c r="A76" s="3" t="s">
        <v>77</v>
      </c>
      <c r="B76" t="s">
        <v>158</v>
      </c>
      <c r="D76">
        <v>86136</v>
      </c>
      <c r="E76" t="str">
        <f t="shared" si="1"/>
        <v>ia.assorted_string like '%86136-03-2024%' or</v>
      </c>
    </row>
    <row r="77" spans="1:5" ht="15.75" thickBot="1" x14ac:dyDescent="0.3">
      <c r="A77" s="3" t="s">
        <v>78</v>
      </c>
      <c r="B77" t="s">
        <v>162</v>
      </c>
      <c r="D77">
        <v>101154</v>
      </c>
      <c r="E77" t="str">
        <f t="shared" si="1"/>
        <v>ia.assorted_string like '%101154-11-2024%' or</v>
      </c>
    </row>
    <row r="78" spans="1:5" ht="15.75" thickBot="1" x14ac:dyDescent="0.3">
      <c r="A78" s="3" t="s">
        <v>79</v>
      </c>
      <c r="B78" t="s">
        <v>157</v>
      </c>
      <c r="D78">
        <v>100744</v>
      </c>
      <c r="E78" t="str">
        <f t="shared" si="1"/>
        <v>ia.assorted_string like '%100744-10-2024%' or</v>
      </c>
    </row>
    <row r="79" spans="1:5" ht="15.75" thickBot="1" x14ac:dyDescent="0.3">
      <c r="A79" s="3" t="s">
        <v>80</v>
      </c>
      <c r="B79" t="s">
        <v>169</v>
      </c>
      <c r="D79">
        <v>74647</v>
      </c>
      <c r="E79" t="str">
        <f t="shared" si="1"/>
        <v>ia.assorted_string like '%74647-08-2023%' or</v>
      </c>
    </row>
    <row r="80" spans="1:5" ht="15.75" thickBot="1" x14ac:dyDescent="0.3">
      <c r="A80" s="3" t="s">
        <v>81</v>
      </c>
      <c r="B80" t="s">
        <v>165</v>
      </c>
      <c r="D80">
        <v>93662</v>
      </c>
      <c r="E80" t="str">
        <f t="shared" si="1"/>
        <v>ia.assorted_string like '%93662-07-2024%' or</v>
      </c>
    </row>
    <row r="81" spans="1:5" ht="15.75" thickBot="1" x14ac:dyDescent="0.3">
      <c r="A81" s="3" t="s">
        <v>82</v>
      </c>
      <c r="B81" t="s">
        <v>151</v>
      </c>
      <c r="D81">
        <v>89566</v>
      </c>
      <c r="E81" t="str">
        <f t="shared" si="1"/>
        <v>ia.assorted_string like '%89566-05-2024%' or</v>
      </c>
    </row>
    <row r="82" spans="1:5" ht="15.75" thickBot="1" x14ac:dyDescent="0.3">
      <c r="A82" s="3" t="s">
        <v>83</v>
      </c>
      <c r="B82" t="s">
        <v>166</v>
      </c>
      <c r="D82">
        <v>76598</v>
      </c>
      <c r="E82" t="str">
        <f t="shared" si="1"/>
        <v>ia.assorted_string like '%76598-10-2023%' or</v>
      </c>
    </row>
    <row r="83" spans="1:5" ht="15.75" thickBot="1" x14ac:dyDescent="0.3">
      <c r="A83" s="3" t="s">
        <v>84</v>
      </c>
      <c r="B83" t="s">
        <v>160</v>
      </c>
      <c r="D83">
        <v>75357</v>
      </c>
      <c r="E83" t="str">
        <f t="shared" si="1"/>
        <v>ia.assorted_string like '%75357-09-2023%' or</v>
      </c>
    </row>
    <row r="84" spans="1:5" ht="15.75" thickBot="1" x14ac:dyDescent="0.3">
      <c r="A84" s="3" t="s">
        <v>85</v>
      </c>
      <c r="B84" t="s">
        <v>170</v>
      </c>
      <c r="D84">
        <v>70253</v>
      </c>
      <c r="E84" t="str">
        <f t="shared" si="1"/>
        <v>ia.assorted_string like '%70253-04-2023%' or</v>
      </c>
    </row>
    <row r="85" spans="1:5" ht="15.75" thickBot="1" x14ac:dyDescent="0.3">
      <c r="A85" s="3" t="s">
        <v>86</v>
      </c>
      <c r="B85" t="s">
        <v>169</v>
      </c>
      <c r="D85">
        <v>73878</v>
      </c>
      <c r="E85" t="str">
        <f t="shared" si="1"/>
        <v>ia.assorted_string like '%73878-08-2023%' or</v>
      </c>
    </row>
    <row r="86" spans="1:5" ht="15.75" thickBot="1" x14ac:dyDescent="0.3">
      <c r="A86" s="3" t="s">
        <v>87</v>
      </c>
      <c r="B86" t="s">
        <v>159</v>
      </c>
      <c r="D86">
        <v>81588</v>
      </c>
      <c r="E86" t="str">
        <f t="shared" si="1"/>
        <v>ia.assorted_string like '%81588-01-2024%' or</v>
      </c>
    </row>
    <row r="87" spans="1:5" ht="15.75" thickBot="1" x14ac:dyDescent="0.3">
      <c r="A87" s="3" t="s">
        <v>88</v>
      </c>
      <c r="B87" t="s">
        <v>151</v>
      </c>
      <c r="D87">
        <v>89709</v>
      </c>
      <c r="E87" t="str">
        <f t="shared" si="1"/>
        <v>ia.assorted_string like '%89709-05-2024%' or</v>
      </c>
    </row>
    <row r="88" spans="1:5" ht="15.75" thickBot="1" x14ac:dyDescent="0.3">
      <c r="A88" s="3" t="s">
        <v>89</v>
      </c>
      <c r="B88" t="s">
        <v>160</v>
      </c>
      <c r="D88">
        <v>75374</v>
      </c>
      <c r="E88" t="str">
        <f t="shared" si="1"/>
        <v>ia.assorted_string like '%75374-09-2023%' or</v>
      </c>
    </row>
    <row r="89" spans="1:5" ht="15.75" thickBot="1" x14ac:dyDescent="0.3">
      <c r="A89" s="3" t="s">
        <v>90</v>
      </c>
      <c r="B89" t="s">
        <v>151</v>
      </c>
      <c r="D89">
        <v>90040</v>
      </c>
      <c r="E89" t="str">
        <f t="shared" si="1"/>
        <v>ia.assorted_string like '%90040-05-2024%' or</v>
      </c>
    </row>
    <row r="90" spans="1:5" ht="15.75" thickBot="1" x14ac:dyDescent="0.3">
      <c r="A90" s="3" t="s">
        <v>91</v>
      </c>
      <c r="B90" t="s">
        <v>162</v>
      </c>
      <c r="D90">
        <v>102409</v>
      </c>
      <c r="E90" t="str">
        <f t="shared" si="1"/>
        <v>ia.assorted_string like '%102409-11-2024%' or</v>
      </c>
    </row>
    <row r="91" spans="1:5" ht="15.75" thickBot="1" x14ac:dyDescent="0.3">
      <c r="A91" s="3" t="s">
        <v>92</v>
      </c>
      <c r="B91" t="s">
        <v>171</v>
      </c>
      <c r="D91">
        <v>79302</v>
      </c>
      <c r="E91" t="str">
        <f t="shared" si="1"/>
        <v>ia.assorted_string like '%79302-12-2023%' or</v>
      </c>
    </row>
    <row r="92" spans="1:5" ht="15.75" thickBot="1" x14ac:dyDescent="0.3">
      <c r="A92" s="3" t="s">
        <v>93</v>
      </c>
      <c r="B92" t="s">
        <v>151</v>
      </c>
      <c r="D92">
        <v>88322</v>
      </c>
      <c r="E92" t="str">
        <f t="shared" si="1"/>
        <v>ia.assorted_string like '%88322-05-2024%' or</v>
      </c>
    </row>
    <row r="93" spans="1:5" ht="15.75" thickBot="1" x14ac:dyDescent="0.3">
      <c r="A93" s="3" t="s">
        <v>94</v>
      </c>
      <c r="B93" t="s">
        <v>159</v>
      </c>
      <c r="D93">
        <v>82547</v>
      </c>
      <c r="E93" t="str">
        <f t="shared" si="1"/>
        <v>ia.assorted_string like '%82547-01-2024%' or</v>
      </c>
    </row>
    <row r="94" spans="1:5" ht="15.75" thickBot="1" x14ac:dyDescent="0.3">
      <c r="A94" s="3" t="s">
        <v>95</v>
      </c>
      <c r="B94" t="s">
        <v>151</v>
      </c>
      <c r="D94">
        <v>88859</v>
      </c>
      <c r="E94" t="str">
        <f t="shared" si="1"/>
        <v>ia.assorted_string like '%88859-05-2024%' or</v>
      </c>
    </row>
    <row r="95" spans="1:5" ht="15.75" thickBot="1" x14ac:dyDescent="0.3">
      <c r="A95" s="3" t="s">
        <v>96</v>
      </c>
      <c r="B95" t="s">
        <v>165</v>
      </c>
      <c r="D95">
        <v>93219</v>
      </c>
      <c r="E95" t="str">
        <f t="shared" si="1"/>
        <v>ia.assorted_string like '%93219-07-2024%' or</v>
      </c>
    </row>
    <row r="96" spans="1:5" ht="15.75" thickBot="1" x14ac:dyDescent="0.3">
      <c r="A96" s="3" t="s">
        <v>97</v>
      </c>
      <c r="B96" t="s">
        <v>157</v>
      </c>
      <c r="D96">
        <v>99683</v>
      </c>
      <c r="E96" t="str">
        <f t="shared" si="1"/>
        <v>ia.assorted_string like '%99683-10-2024%' or</v>
      </c>
    </row>
    <row r="97" spans="1:5" ht="15.75" thickBot="1" x14ac:dyDescent="0.3">
      <c r="A97" s="3" t="s">
        <v>98</v>
      </c>
      <c r="B97" t="s">
        <v>157</v>
      </c>
      <c r="D97">
        <v>99225</v>
      </c>
      <c r="E97" t="str">
        <f t="shared" si="1"/>
        <v>ia.assorted_string like '%99225-10-2024%' or</v>
      </c>
    </row>
    <row r="98" spans="1:5" ht="15.75" thickBot="1" x14ac:dyDescent="0.3">
      <c r="A98" s="3" t="s">
        <v>99</v>
      </c>
      <c r="B98" t="s">
        <v>162</v>
      </c>
      <c r="D98">
        <v>102050</v>
      </c>
      <c r="E98" t="str">
        <f t="shared" si="1"/>
        <v>ia.assorted_string like '%102050-11-2024%' or</v>
      </c>
    </row>
    <row r="99" spans="1:5" ht="15.75" thickBot="1" x14ac:dyDescent="0.3">
      <c r="A99" s="3" t="s">
        <v>100</v>
      </c>
      <c r="B99" t="s">
        <v>168</v>
      </c>
      <c r="D99">
        <v>78815</v>
      </c>
      <c r="E99" t="str">
        <f t="shared" si="1"/>
        <v>ia.assorted_string like '%78815-11-2023%' or</v>
      </c>
    </row>
    <row r="100" spans="1:5" ht="15.75" thickBot="1" x14ac:dyDescent="0.3">
      <c r="A100" s="3" t="s">
        <v>101</v>
      </c>
      <c r="B100" t="s">
        <v>160</v>
      </c>
      <c r="D100">
        <v>75760</v>
      </c>
      <c r="E100" t="str">
        <f t="shared" si="1"/>
        <v>ia.assorted_string like '%75760-09-2023%' or</v>
      </c>
    </row>
    <row r="101" spans="1:5" ht="15.75" thickBot="1" x14ac:dyDescent="0.3">
      <c r="A101" s="3" t="s">
        <v>102</v>
      </c>
      <c r="B101" t="s">
        <v>158</v>
      </c>
      <c r="D101">
        <v>85119</v>
      </c>
      <c r="E101" t="str">
        <f t="shared" si="1"/>
        <v>ia.assorted_string like '%85119-03-2024%' or</v>
      </c>
    </row>
    <row r="102" spans="1:5" ht="15.75" thickBot="1" x14ac:dyDescent="0.3">
      <c r="A102" s="3" t="s">
        <v>103</v>
      </c>
      <c r="B102" t="s">
        <v>169</v>
      </c>
      <c r="D102">
        <v>74691</v>
      </c>
      <c r="E102" t="str">
        <f t="shared" si="1"/>
        <v>ia.assorted_string like '%74691-08-2023%' or</v>
      </c>
    </row>
    <row r="103" spans="1:5" ht="15.75" thickBot="1" x14ac:dyDescent="0.3">
      <c r="A103" s="3" t="s">
        <v>104</v>
      </c>
      <c r="B103" t="s">
        <v>169</v>
      </c>
      <c r="D103">
        <v>74562</v>
      </c>
      <c r="E103" t="str">
        <f t="shared" si="1"/>
        <v>ia.assorted_string like '%74562-08-2023%' or</v>
      </c>
    </row>
    <row r="104" spans="1:5" ht="15.75" thickBot="1" x14ac:dyDescent="0.3">
      <c r="A104" s="3" t="s">
        <v>105</v>
      </c>
      <c r="B104" t="s">
        <v>156</v>
      </c>
      <c r="D104">
        <v>94867</v>
      </c>
      <c r="E104" t="str">
        <f t="shared" si="1"/>
        <v>ia.assorted_string like '%94867-08-2024%' or</v>
      </c>
    </row>
    <row r="105" spans="1:5" ht="15.75" thickBot="1" x14ac:dyDescent="0.3">
      <c r="A105" s="3" t="s">
        <v>106</v>
      </c>
      <c r="B105" t="s">
        <v>157</v>
      </c>
      <c r="D105">
        <v>100571</v>
      </c>
      <c r="E105" t="str">
        <f t="shared" si="1"/>
        <v>ia.assorted_string like '%100571-10-2024%' or</v>
      </c>
    </row>
    <row r="106" spans="1:5" ht="15.75" thickBot="1" x14ac:dyDescent="0.3">
      <c r="A106" s="3" t="s">
        <v>107</v>
      </c>
      <c r="B106" t="s">
        <v>151</v>
      </c>
      <c r="D106">
        <v>88767</v>
      </c>
      <c r="E106" t="str">
        <f t="shared" si="1"/>
        <v>ia.assorted_string like '%88767-05-2024%' or</v>
      </c>
    </row>
    <row r="107" spans="1:5" ht="15.75" thickBot="1" x14ac:dyDescent="0.3">
      <c r="A107" s="3" t="s">
        <v>108</v>
      </c>
      <c r="B107" t="s">
        <v>166</v>
      </c>
      <c r="D107">
        <v>76123</v>
      </c>
      <c r="E107" t="str">
        <f t="shared" si="1"/>
        <v>ia.assorted_string like '%76123-10-2023%' or</v>
      </c>
    </row>
    <row r="108" spans="1:5" ht="15.75" thickBot="1" x14ac:dyDescent="0.3">
      <c r="A108" s="3" t="s">
        <v>109</v>
      </c>
      <c r="B108" t="s">
        <v>160</v>
      </c>
      <c r="D108">
        <v>75947</v>
      </c>
      <c r="E108" t="str">
        <f t="shared" si="1"/>
        <v>ia.assorted_string like '%75947-09-2023%' or</v>
      </c>
    </row>
    <row r="109" spans="1:5" ht="15.75" thickBot="1" x14ac:dyDescent="0.3">
      <c r="A109" s="3" t="s">
        <v>110</v>
      </c>
      <c r="B109" t="s">
        <v>164</v>
      </c>
      <c r="D109">
        <v>87169</v>
      </c>
      <c r="E109" t="str">
        <f t="shared" si="1"/>
        <v>ia.assorted_string like '%87169-04-2024%' or</v>
      </c>
    </row>
    <row r="110" spans="1:5" ht="15.75" thickBot="1" x14ac:dyDescent="0.3">
      <c r="A110" s="3" t="s">
        <v>111</v>
      </c>
      <c r="B110" t="s">
        <v>158</v>
      </c>
      <c r="D110">
        <v>84963</v>
      </c>
      <c r="E110" t="str">
        <f t="shared" si="1"/>
        <v>ia.assorted_string like '%84963-03-2024%' or</v>
      </c>
    </row>
    <row r="111" spans="1:5" ht="15.75" thickBot="1" x14ac:dyDescent="0.3">
      <c r="A111" s="3" t="s">
        <v>112</v>
      </c>
      <c r="B111" t="s">
        <v>166</v>
      </c>
      <c r="D111">
        <v>76469</v>
      </c>
      <c r="E111" t="str">
        <f t="shared" si="1"/>
        <v>ia.assorted_string like '%76469-10-2023%' or</v>
      </c>
    </row>
    <row r="112" spans="1:5" ht="15.75" thickBot="1" x14ac:dyDescent="0.3">
      <c r="A112" s="3" t="s">
        <v>113</v>
      </c>
      <c r="B112" t="s">
        <v>160</v>
      </c>
      <c r="D112">
        <v>74953</v>
      </c>
      <c r="E112" t="str">
        <f t="shared" si="1"/>
        <v>ia.assorted_string like '%74953-09-2023%' or</v>
      </c>
    </row>
    <row r="113" spans="1:5" ht="15.75" thickBot="1" x14ac:dyDescent="0.3">
      <c r="A113" s="3" t="s">
        <v>114</v>
      </c>
      <c r="B113" t="s">
        <v>151</v>
      </c>
      <c r="D113">
        <v>89748</v>
      </c>
      <c r="E113" t="str">
        <f t="shared" si="1"/>
        <v>ia.assorted_string like '%89748-05-2024%' or</v>
      </c>
    </row>
    <row r="114" spans="1:5" ht="15.75" thickBot="1" x14ac:dyDescent="0.3">
      <c r="A114" s="3" t="s">
        <v>115</v>
      </c>
      <c r="B114" t="s">
        <v>166</v>
      </c>
      <c r="D114">
        <v>77260</v>
      </c>
      <c r="E114" t="str">
        <f t="shared" si="1"/>
        <v>ia.assorted_string like '%77260-10-2023%' or</v>
      </c>
    </row>
    <row r="115" spans="1:5" ht="15.75" thickBot="1" x14ac:dyDescent="0.3">
      <c r="A115" s="3" t="s">
        <v>116</v>
      </c>
      <c r="B115" t="s">
        <v>158</v>
      </c>
      <c r="D115">
        <v>86058</v>
      </c>
      <c r="E115" t="str">
        <f t="shared" si="1"/>
        <v>ia.assorted_string like '%86058-03-2024%' or</v>
      </c>
    </row>
    <row r="116" spans="1:5" ht="15.75" thickBot="1" x14ac:dyDescent="0.3">
      <c r="A116" s="3" t="s">
        <v>117</v>
      </c>
      <c r="B116" t="s">
        <v>172</v>
      </c>
      <c r="D116">
        <v>83642</v>
      </c>
      <c r="E116" t="str">
        <f t="shared" si="1"/>
        <v>ia.assorted_string like '%83642-02-2024%' or</v>
      </c>
    </row>
    <row r="117" spans="1:5" ht="15.75" thickBot="1" x14ac:dyDescent="0.3">
      <c r="A117" s="3" t="s">
        <v>118</v>
      </c>
      <c r="B117" t="s">
        <v>157</v>
      </c>
      <c r="D117">
        <v>99019</v>
      </c>
      <c r="E117" t="str">
        <f t="shared" si="1"/>
        <v>ia.assorted_string like '%99019-10-2024%' or</v>
      </c>
    </row>
    <row r="118" spans="1:5" ht="15.75" thickBot="1" x14ac:dyDescent="0.3">
      <c r="A118" s="3" t="s">
        <v>119</v>
      </c>
      <c r="B118" t="s">
        <v>154</v>
      </c>
      <c r="D118">
        <v>65112</v>
      </c>
      <c r="E118" t="str">
        <f t="shared" si="1"/>
        <v>ia.assorted_string like '%65112-11-2022%' or</v>
      </c>
    </row>
    <row r="119" spans="1:5" ht="15.75" thickBot="1" x14ac:dyDescent="0.3">
      <c r="A119" s="3" t="s">
        <v>120</v>
      </c>
      <c r="B119" t="s">
        <v>158</v>
      </c>
      <c r="D119">
        <v>85267</v>
      </c>
      <c r="E119" t="str">
        <f t="shared" si="1"/>
        <v>ia.assorted_string like '%85267-03-2024%' or</v>
      </c>
    </row>
    <row r="120" spans="1:5" ht="15.75" thickBot="1" x14ac:dyDescent="0.3">
      <c r="A120" s="3" t="s">
        <v>121</v>
      </c>
      <c r="B120" t="s">
        <v>157</v>
      </c>
      <c r="D120">
        <v>100286</v>
      </c>
      <c r="E120" t="str">
        <f t="shared" si="1"/>
        <v>ia.assorted_string like '%100286-10-2024%' or</v>
      </c>
    </row>
    <row r="121" spans="1:5" ht="15.75" thickBot="1" x14ac:dyDescent="0.3">
      <c r="A121" s="3" t="s">
        <v>122</v>
      </c>
      <c r="B121" t="s">
        <v>169</v>
      </c>
      <c r="D121">
        <v>74593</v>
      </c>
      <c r="E121" t="str">
        <f t="shared" si="1"/>
        <v>ia.assorted_string like '%74593-08-2023%' or</v>
      </c>
    </row>
    <row r="122" spans="1:5" ht="15.75" thickBot="1" x14ac:dyDescent="0.3">
      <c r="A122" s="3" t="s">
        <v>123</v>
      </c>
      <c r="B122" t="s">
        <v>159</v>
      </c>
      <c r="D122">
        <v>81509</v>
      </c>
      <c r="E122" t="str">
        <f t="shared" si="1"/>
        <v>ia.assorted_string like '%81509-01-2024%' or</v>
      </c>
    </row>
    <row r="123" spans="1:5" ht="15.75" thickBot="1" x14ac:dyDescent="0.3">
      <c r="A123" s="3" t="s">
        <v>124</v>
      </c>
      <c r="B123" t="s">
        <v>169</v>
      </c>
      <c r="D123">
        <v>74713</v>
      </c>
      <c r="E123" t="str">
        <f t="shared" si="1"/>
        <v>ia.assorted_string like '%74713-08-2023%' or</v>
      </c>
    </row>
    <row r="124" spans="1:5" ht="15.75" thickBot="1" x14ac:dyDescent="0.3">
      <c r="A124" s="3" t="s">
        <v>125</v>
      </c>
      <c r="B124" t="s">
        <v>168</v>
      </c>
      <c r="D124">
        <v>78894</v>
      </c>
      <c r="E124" t="str">
        <f t="shared" si="1"/>
        <v>ia.assorted_string like '%78894-11-2023%' or</v>
      </c>
    </row>
    <row r="125" spans="1:5" ht="15.75" thickBot="1" x14ac:dyDescent="0.3">
      <c r="A125" s="3" t="s">
        <v>126</v>
      </c>
      <c r="B125" t="s">
        <v>162</v>
      </c>
      <c r="D125">
        <v>102444</v>
      </c>
      <c r="E125" t="str">
        <f t="shared" si="1"/>
        <v>ia.assorted_string like '%102444-11-2024%' or</v>
      </c>
    </row>
    <row r="126" spans="1:5" ht="15.75" thickBot="1" x14ac:dyDescent="0.3">
      <c r="A126" s="3" t="s">
        <v>127</v>
      </c>
      <c r="B126" t="s">
        <v>163</v>
      </c>
      <c r="D126">
        <v>90159</v>
      </c>
      <c r="E126" t="str">
        <f t="shared" si="1"/>
        <v>ia.assorted_string like '%90159-06-2024%' or</v>
      </c>
    </row>
    <row r="127" spans="1:5" ht="15.75" thickBot="1" x14ac:dyDescent="0.3">
      <c r="A127" s="3" t="s">
        <v>128</v>
      </c>
      <c r="B127" t="s">
        <v>164</v>
      </c>
      <c r="D127">
        <v>87533</v>
      </c>
      <c r="E127" t="str">
        <f t="shared" si="1"/>
        <v>ia.assorted_string like '%87533-04-2024%' or</v>
      </c>
    </row>
    <row r="128" spans="1:5" ht="15.75" thickBot="1" x14ac:dyDescent="0.3">
      <c r="A128" s="3" t="s">
        <v>129</v>
      </c>
      <c r="B128" t="s">
        <v>159</v>
      </c>
      <c r="D128">
        <v>82743</v>
      </c>
      <c r="E128" t="str">
        <f t="shared" si="1"/>
        <v>ia.assorted_string like '%82743-01-2024%' or</v>
      </c>
    </row>
    <row r="129" spans="1:5" ht="15.75" thickBot="1" x14ac:dyDescent="0.3">
      <c r="A129" s="3" t="s">
        <v>130</v>
      </c>
      <c r="B129" t="s">
        <v>159</v>
      </c>
      <c r="D129">
        <v>82030</v>
      </c>
      <c r="E129" t="str">
        <f t="shared" si="1"/>
        <v>ia.assorted_string like '%82030-01-2024%' or</v>
      </c>
    </row>
    <row r="130" spans="1:5" ht="15.75" thickBot="1" x14ac:dyDescent="0.3">
      <c r="A130" s="3" t="s">
        <v>131</v>
      </c>
      <c r="B130" t="s">
        <v>151</v>
      </c>
      <c r="D130">
        <v>89035</v>
      </c>
      <c r="E130" t="str">
        <f t="shared" ref="E130:E148" si="2">"ia.assorted_string like '%"&amp;D130&amp;B130&amp;"%' or"</f>
        <v>ia.assorted_string like '%89035-05-2024%' or</v>
      </c>
    </row>
    <row r="131" spans="1:5" ht="15.75" thickBot="1" x14ac:dyDescent="0.3">
      <c r="A131" s="3" t="s">
        <v>132</v>
      </c>
      <c r="B131" t="s">
        <v>172</v>
      </c>
      <c r="D131">
        <v>83234</v>
      </c>
      <c r="E131" t="str">
        <f t="shared" si="2"/>
        <v>ia.assorted_string like '%83234-02-2024%' or</v>
      </c>
    </row>
    <row r="132" spans="1:5" ht="15.75" thickBot="1" x14ac:dyDescent="0.3">
      <c r="A132" s="3" t="s">
        <v>133</v>
      </c>
      <c r="B132" t="s">
        <v>163</v>
      </c>
      <c r="D132">
        <v>90331</v>
      </c>
      <c r="E132" t="str">
        <f t="shared" si="2"/>
        <v>ia.assorted_string like '%90331-06-2024%' or</v>
      </c>
    </row>
    <row r="133" spans="1:5" ht="15.75" thickBot="1" x14ac:dyDescent="0.3">
      <c r="A133" s="3" t="s">
        <v>134</v>
      </c>
      <c r="B133" t="s">
        <v>164</v>
      </c>
      <c r="D133">
        <v>86987</v>
      </c>
      <c r="E133" t="str">
        <f t="shared" si="2"/>
        <v>ia.assorted_string like '%86987-04-2024%' or</v>
      </c>
    </row>
    <row r="134" spans="1:5" ht="15.75" thickBot="1" x14ac:dyDescent="0.3">
      <c r="A134" s="3" t="s">
        <v>135</v>
      </c>
      <c r="B134" t="s">
        <v>159</v>
      </c>
      <c r="D134">
        <v>82588</v>
      </c>
      <c r="E134" t="str">
        <f t="shared" si="2"/>
        <v>ia.assorted_string like '%82588-01-2024%' or</v>
      </c>
    </row>
    <row r="135" spans="1:5" ht="15.75" thickBot="1" x14ac:dyDescent="0.3">
      <c r="A135" s="3" t="s">
        <v>136</v>
      </c>
      <c r="B135" t="s">
        <v>164</v>
      </c>
      <c r="D135">
        <v>86985</v>
      </c>
      <c r="E135" t="str">
        <f t="shared" si="2"/>
        <v>ia.assorted_string like '%86985-04-2024%' or</v>
      </c>
    </row>
    <row r="136" spans="1:5" ht="15.75" thickBot="1" x14ac:dyDescent="0.3">
      <c r="A136" s="3" t="s">
        <v>137</v>
      </c>
      <c r="B136" t="s">
        <v>164</v>
      </c>
      <c r="D136">
        <v>87328</v>
      </c>
      <c r="E136" t="str">
        <f t="shared" si="2"/>
        <v>ia.assorted_string like '%87328-04-2024%' or</v>
      </c>
    </row>
    <row r="137" spans="1:5" ht="15.75" thickBot="1" x14ac:dyDescent="0.3">
      <c r="A137" s="3" t="s">
        <v>138</v>
      </c>
      <c r="B137" t="s">
        <v>158</v>
      </c>
      <c r="D137">
        <v>86215</v>
      </c>
      <c r="E137" t="str">
        <f t="shared" si="2"/>
        <v>ia.assorted_string like '%86215-03-2024%' or</v>
      </c>
    </row>
    <row r="138" spans="1:5" ht="15.75" thickBot="1" x14ac:dyDescent="0.3">
      <c r="A138" s="3" t="s">
        <v>139</v>
      </c>
      <c r="B138" t="s">
        <v>171</v>
      </c>
      <c r="D138">
        <v>79431</v>
      </c>
      <c r="E138" t="str">
        <f t="shared" si="2"/>
        <v>ia.assorted_string like '%79431-12-2023%' or</v>
      </c>
    </row>
    <row r="139" spans="1:5" ht="15.75" thickBot="1" x14ac:dyDescent="0.3">
      <c r="A139" s="3" t="s">
        <v>140</v>
      </c>
      <c r="B139" t="s">
        <v>172</v>
      </c>
      <c r="D139">
        <v>84332</v>
      </c>
      <c r="E139" t="str">
        <f t="shared" si="2"/>
        <v>ia.assorted_string like '%84332-02-2024%' or</v>
      </c>
    </row>
    <row r="140" spans="1:5" ht="15.75" thickBot="1" x14ac:dyDescent="0.3">
      <c r="A140" s="3" t="s">
        <v>141</v>
      </c>
      <c r="B140" t="s">
        <v>159</v>
      </c>
      <c r="D140">
        <v>81247</v>
      </c>
      <c r="E140" t="str">
        <f t="shared" si="2"/>
        <v>ia.assorted_string like '%81247-01-2024%' or</v>
      </c>
    </row>
    <row r="141" spans="1:5" ht="15.75" thickBot="1" x14ac:dyDescent="0.3">
      <c r="A141" s="3" t="s">
        <v>142</v>
      </c>
      <c r="B141" t="s">
        <v>160</v>
      </c>
      <c r="D141">
        <v>74931</v>
      </c>
      <c r="E141" t="str">
        <f t="shared" si="2"/>
        <v>ia.assorted_string like '%74931-09-2023%' or</v>
      </c>
    </row>
    <row r="142" spans="1:5" ht="15.75" thickBot="1" x14ac:dyDescent="0.3">
      <c r="A142" s="3" t="s">
        <v>143</v>
      </c>
      <c r="B142" t="s">
        <v>157</v>
      </c>
      <c r="D142">
        <v>99521</v>
      </c>
      <c r="E142" t="str">
        <f t="shared" si="2"/>
        <v>ia.assorted_string like '%99521-10-2024%' or</v>
      </c>
    </row>
    <row r="143" spans="1:5" ht="15.75" thickBot="1" x14ac:dyDescent="0.3">
      <c r="A143" s="3" t="s">
        <v>144</v>
      </c>
      <c r="B143" t="s">
        <v>161</v>
      </c>
      <c r="D143">
        <v>97691</v>
      </c>
      <c r="E143" t="str">
        <f t="shared" si="2"/>
        <v>ia.assorted_string like '%97691-09-2024%' or</v>
      </c>
    </row>
    <row r="144" spans="1:5" ht="15.75" thickBot="1" x14ac:dyDescent="0.3">
      <c r="A144" s="3" t="s">
        <v>145</v>
      </c>
      <c r="B144" t="s">
        <v>168</v>
      </c>
      <c r="D144">
        <v>77851</v>
      </c>
      <c r="E144" t="str">
        <f t="shared" si="2"/>
        <v>ia.assorted_string like '%77851-11-2023%' or</v>
      </c>
    </row>
    <row r="145" spans="1:5" ht="15.75" thickBot="1" x14ac:dyDescent="0.3">
      <c r="A145" s="3" t="s">
        <v>146</v>
      </c>
      <c r="B145" t="s">
        <v>159</v>
      </c>
      <c r="D145">
        <v>81079</v>
      </c>
      <c r="E145" t="str">
        <f t="shared" si="2"/>
        <v>ia.assorted_string like '%81079-01-2024%' or</v>
      </c>
    </row>
    <row r="146" spans="1:5" ht="15.75" thickBot="1" x14ac:dyDescent="0.3">
      <c r="A146" s="3" t="s">
        <v>147</v>
      </c>
      <c r="B146" t="s">
        <v>157</v>
      </c>
      <c r="D146">
        <v>98864</v>
      </c>
      <c r="E146" t="str">
        <f t="shared" si="2"/>
        <v>ia.assorted_string like '%98864-10-2024%' or</v>
      </c>
    </row>
    <row r="147" spans="1:5" ht="15.75" thickBot="1" x14ac:dyDescent="0.3">
      <c r="A147" s="3" t="s">
        <v>148</v>
      </c>
      <c r="B147" t="s">
        <v>165</v>
      </c>
      <c r="D147">
        <v>94005</v>
      </c>
      <c r="E147" t="str">
        <f t="shared" si="2"/>
        <v>ia.assorted_string like '%94005-07-2024%' or</v>
      </c>
    </row>
    <row r="148" spans="1:5" ht="15.75" thickBot="1" x14ac:dyDescent="0.3">
      <c r="A148" s="3" t="s">
        <v>149</v>
      </c>
      <c r="B148" t="s">
        <v>172</v>
      </c>
      <c r="D148">
        <v>83655</v>
      </c>
      <c r="E148" t="str">
        <f t="shared" si="2"/>
        <v>ia.assorted_string like '%83655-02-2024%'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5B2F-CE93-4C14-85CD-64B3EF4E5F22}">
  <dimension ref="A1:C150"/>
  <sheetViews>
    <sheetView workbookViewId="0">
      <selection activeCell="E8" sqref="E8"/>
    </sheetView>
  </sheetViews>
  <sheetFormatPr defaultRowHeight="15" x14ac:dyDescent="0.25"/>
  <cols>
    <col min="1" max="1" width="4" bestFit="1" customWidth="1"/>
    <col min="2" max="2" width="40.85546875" bestFit="1" customWidth="1"/>
    <col min="3" max="3" width="15" bestFit="1" customWidth="1"/>
  </cols>
  <sheetData>
    <row r="1" spans="1:3" x14ac:dyDescent="0.25">
      <c r="A1" s="5" t="s">
        <v>173</v>
      </c>
      <c r="B1" s="5" t="s">
        <v>174</v>
      </c>
      <c r="C1" s="5" t="s">
        <v>175</v>
      </c>
    </row>
    <row r="2" spans="1:3" x14ac:dyDescent="0.25">
      <c r="A2">
        <v>1</v>
      </c>
      <c r="B2" t="s">
        <v>7</v>
      </c>
      <c r="C2" t="s">
        <v>176</v>
      </c>
    </row>
    <row r="3" spans="1:3" x14ac:dyDescent="0.25">
      <c r="A3">
        <v>2</v>
      </c>
      <c r="B3" t="s">
        <v>4</v>
      </c>
      <c r="C3" t="s">
        <v>177</v>
      </c>
    </row>
    <row r="4" spans="1:3" x14ac:dyDescent="0.25">
      <c r="A4">
        <v>3</v>
      </c>
      <c r="B4" t="s">
        <v>100</v>
      </c>
      <c r="C4" t="s">
        <v>178</v>
      </c>
    </row>
    <row r="5" spans="1:3" x14ac:dyDescent="0.25">
      <c r="A5">
        <v>4</v>
      </c>
      <c r="B5" t="s">
        <v>8</v>
      </c>
      <c r="C5" t="s">
        <v>179</v>
      </c>
    </row>
    <row r="6" spans="1:3" x14ac:dyDescent="0.25">
      <c r="A6">
        <v>5</v>
      </c>
      <c r="B6" t="s">
        <v>85</v>
      </c>
      <c r="C6" t="s">
        <v>180</v>
      </c>
    </row>
    <row r="7" spans="1:3" x14ac:dyDescent="0.25">
      <c r="A7">
        <v>6</v>
      </c>
      <c r="B7" t="s">
        <v>9</v>
      </c>
      <c r="C7" t="s">
        <v>181</v>
      </c>
    </row>
    <row r="8" spans="1:3" x14ac:dyDescent="0.25">
      <c r="A8">
        <v>7</v>
      </c>
      <c r="B8" t="s">
        <v>41</v>
      </c>
      <c r="C8" t="s">
        <v>182</v>
      </c>
    </row>
    <row r="9" spans="1:3" x14ac:dyDescent="0.25">
      <c r="A9">
        <v>8</v>
      </c>
      <c r="B9" t="s">
        <v>111</v>
      </c>
      <c r="C9" t="s">
        <v>183</v>
      </c>
    </row>
    <row r="10" spans="1:3" x14ac:dyDescent="0.25">
      <c r="A10">
        <v>9</v>
      </c>
      <c r="B10" t="s">
        <v>119</v>
      </c>
      <c r="C10" t="s">
        <v>184</v>
      </c>
    </row>
    <row r="11" spans="1:3" x14ac:dyDescent="0.25">
      <c r="A11">
        <v>10</v>
      </c>
      <c r="B11" t="s">
        <v>5</v>
      </c>
      <c r="C11" t="s">
        <v>185</v>
      </c>
    </row>
    <row r="12" spans="1:3" x14ac:dyDescent="0.25">
      <c r="A12">
        <v>11</v>
      </c>
      <c r="B12" t="s">
        <v>75</v>
      </c>
      <c r="C12" t="s">
        <v>186</v>
      </c>
    </row>
    <row r="13" spans="1:3" x14ac:dyDescent="0.25">
      <c r="A13">
        <v>12</v>
      </c>
      <c r="B13" t="s">
        <v>72</v>
      </c>
      <c r="C13" t="s">
        <v>187</v>
      </c>
    </row>
    <row r="14" spans="1:3" x14ac:dyDescent="0.25">
      <c r="A14">
        <v>13</v>
      </c>
      <c r="B14" t="s">
        <v>53</v>
      </c>
      <c r="C14" t="s">
        <v>188</v>
      </c>
    </row>
    <row r="15" spans="1:3" x14ac:dyDescent="0.25">
      <c r="A15">
        <v>14</v>
      </c>
      <c r="B15" t="s">
        <v>135</v>
      </c>
      <c r="C15" t="s">
        <v>189</v>
      </c>
    </row>
    <row r="16" spans="1:3" x14ac:dyDescent="0.25">
      <c r="A16">
        <v>15</v>
      </c>
      <c r="B16" t="s">
        <v>112</v>
      </c>
      <c r="C16" t="s">
        <v>190</v>
      </c>
    </row>
    <row r="17" spans="1:3" x14ac:dyDescent="0.25">
      <c r="A17">
        <v>16</v>
      </c>
      <c r="B17" t="s">
        <v>101</v>
      </c>
      <c r="C17" t="s">
        <v>191</v>
      </c>
    </row>
    <row r="18" spans="1:3" x14ac:dyDescent="0.25">
      <c r="A18">
        <v>17</v>
      </c>
      <c r="B18" t="s">
        <v>37</v>
      </c>
      <c r="C18" t="s">
        <v>192</v>
      </c>
    </row>
    <row r="19" spans="1:3" x14ac:dyDescent="0.25">
      <c r="A19">
        <v>18</v>
      </c>
      <c r="B19" t="s">
        <v>92</v>
      </c>
      <c r="C19" t="s">
        <v>193</v>
      </c>
    </row>
    <row r="20" spans="1:3" x14ac:dyDescent="0.25">
      <c r="A20">
        <v>19</v>
      </c>
      <c r="B20" t="s">
        <v>64</v>
      </c>
      <c r="C20" t="s">
        <v>194</v>
      </c>
    </row>
    <row r="21" spans="1:3" x14ac:dyDescent="0.25">
      <c r="A21">
        <v>20</v>
      </c>
      <c r="B21" t="s">
        <v>146</v>
      </c>
      <c r="C21" t="s">
        <v>195</v>
      </c>
    </row>
    <row r="22" spans="1:3" x14ac:dyDescent="0.25">
      <c r="A22">
        <v>21</v>
      </c>
      <c r="B22" t="s">
        <v>74</v>
      </c>
      <c r="C22" t="s">
        <v>196</v>
      </c>
    </row>
    <row r="23" spans="1:3" x14ac:dyDescent="0.25">
      <c r="A23">
        <v>22</v>
      </c>
      <c r="B23" t="s">
        <v>125</v>
      </c>
      <c r="C23" t="s">
        <v>197</v>
      </c>
    </row>
    <row r="24" spans="1:3" x14ac:dyDescent="0.25">
      <c r="A24">
        <v>23</v>
      </c>
      <c r="B24" t="s">
        <v>83</v>
      </c>
      <c r="C24" t="s">
        <v>198</v>
      </c>
    </row>
    <row r="25" spans="1:3" x14ac:dyDescent="0.25">
      <c r="A25">
        <v>24</v>
      </c>
      <c r="B25" t="s">
        <v>89</v>
      </c>
      <c r="C25" t="s">
        <v>199</v>
      </c>
    </row>
    <row r="26" spans="1:3" x14ac:dyDescent="0.25">
      <c r="A26">
        <v>25</v>
      </c>
      <c r="B26" t="s">
        <v>61</v>
      </c>
      <c r="C26" t="s">
        <v>200</v>
      </c>
    </row>
    <row r="27" spans="1:3" x14ac:dyDescent="0.25">
      <c r="A27">
        <v>26</v>
      </c>
      <c r="B27" t="s">
        <v>145</v>
      </c>
      <c r="C27" t="s">
        <v>201</v>
      </c>
    </row>
    <row r="28" spans="1:3" x14ac:dyDescent="0.25">
      <c r="A28">
        <v>27</v>
      </c>
      <c r="B28" t="s">
        <v>87</v>
      </c>
      <c r="C28" t="s">
        <v>202</v>
      </c>
    </row>
    <row r="29" spans="1:3" x14ac:dyDescent="0.25">
      <c r="A29">
        <v>28</v>
      </c>
      <c r="B29" t="s">
        <v>123</v>
      </c>
      <c r="C29" t="s">
        <v>203</v>
      </c>
    </row>
    <row r="30" spans="1:3" x14ac:dyDescent="0.25">
      <c r="A30">
        <v>29</v>
      </c>
      <c r="B30" t="s">
        <v>115</v>
      </c>
      <c r="C30" t="s">
        <v>204</v>
      </c>
    </row>
    <row r="31" spans="1:3" x14ac:dyDescent="0.25">
      <c r="A31">
        <v>30</v>
      </c>
      <c r="B31" t="s">
        <v>122</v>
      </c>
      <c r="C31" t="s">
        <v>205</v>
      </c>
    </row>
    <row r="32" spans="1:3" x14ac:dyDescent="0.25">
      <c r="A32">
        <v>31</v>
      </c>
      <c r="B32" t="s">
        <v>104</v>
      </c>
      <c r="C32" t="s">
        <v>206</v>
      </c>
    </row>
    <row r="33" spans="1:3" x14ac:dyDescent="0.25">
      <c r="A33">
        <v>32</v>
      </c>
      <c r="B33" t="s">
        <v>6</v>
      </c>
      <c r="C33" t="s">
        <v>207</v>
      </c>
    </row>
    <row r="34" spans="1:3" x14ac:dyDescent="0.25">
      <c r="A34">
        <v>33</v>
      </c>
      <c r="B34" t="s">
        <v>108</v>
      </c>
      <c r="C34" t="s">
        <v>208</v>
      </c>
    </row>
    <row r="35" spans="1:3" x14ac:dyDescent="0.25">
      <c r="A35">
        <v>34</v>
      </c>
      <c r="B35" t="s">
        <v>59</v>
      </c>
      <c r="C35" t="s">
        <v>209</v>
      </c>
    </row>
    <row r="36" spans="1:3" x14ac:dyDescent="0.25">
      <c r="A36">
        <v>35</v>
      </c>
      <c r="B36" t="s">
        <v>86</v>
      </c>
      <c r="C36" t="s">
        <v>210</v>
      </c>
    </row>
    <row r="37" spans="1:3" x14ac:dyDescent="0.25">
      <c r="A37">
        <v>36</v>
      </c>
      <c r="B37" t="s">
        <v>124</v>
      </c>
      <c r="C37" t="s">
        <v>211</v>
      </c>
    </row>
    <row r="38" spans="1:3" x14ac:dyDescent="0.25">
      <c r="A38">
        <v>37</v>
      </c>
      <c r="B38" t="s">
        <v>109</v>
      </c>
      <c r="C38" t="s">
        <v>212</v>
      </c>
    </row>
    <row r="39" spans="1:3" x14ac:dyDescent="0.25">
      <c r="A39">
        <v>38</v>
      </c>
      <c r="B39" t="s">
        <v>2</v>
      </c>
      <c r="C39" t="s">
        <v>213</v>
      </c>
    </row>
    <row r="40" spans="1:3" x14ac:dyDescent="0.25">
      <c r="A40">
        <v>39</v>
      </c>
      <c r="B40" t="s">
        <v>142</v>
      </c>
      <c r="C40" t="s">
        <v>214</v>
      </c>
    </row>
    <row r="41" spans="1:3" x14ac:dyDescent="0.25">
      <c r="A41">
        <v>40</v>
      </c>
      <c r="B41" t="s">
        <v>113</v>
      </c>
      <c r="C41" t="s">
        <v>215</v>
      </c>
    </row>
    <row r="42" spans="1:3" x14ac:dyDescent="0.25">
      <c r="A42">
        <v>41</v>
      </c>
      <c r="B42" t="s">
        <v>71</v>
      </c>
      <c r="C42" t="s">
        <v>216</v>
      </c>
    </row>
    <row r="43" spans="1:3" x14ac:dyDescent="0.25">
      <c r="A43">
        <v>42</v>
      </c>
      <c r="B43" t="s">
        <v>39</v>
      </c>
      <c r="C43" t="s">
        <v>217</v>
      </c>
    </row>
    <row r="44" spans="1:3" x14ac:dyDescent="0.25">
      <c r="A44">
        <v>43</v>
      </c>
      <c r="B44" t="s">
        <v>84</v>
      </c>
      <c r="C44" t="s">
        <v>218</v>
      </c>
    </row>
    <row r="45" spans="1:3" x14ac:dyDescent="0.25">
      <c r="A45">
        <v>44</v>
      </c>
      <c r="B45" t="s">
        <v>80</v>
      </c>
      <c r="C45" t="s">
        <v>219</v>
      </c>
    </row>
    <row r="46" spans="1:3" x14ac:dyDescent="0.25">
      <c r="A46">
        <v>45</v>
      </c>
      <c r="B46" t="s">
        <v>132</v>
      </c>
      <c r="C46" t="s">
        <v>220</v>
      </c>
    </row>
    <row r="47" spans="1:3" x14ac:dyDescent="0.25">
      <c r="A47">
        <v>46</v>
      </c>
      <c r="B47" t="s">
        <v>139</v>
      </c>
      <c r="C47" t="s">
        <v>221</v>
      </c>
    </row>
    <row r="48" spans="1:3" x14ac:dyDescent="0.25">
      <c r="A48">
        <v>47</v>
      </c>
      <c r="B48" t="s">
        <v>117</v>
      </c>
      <c r="C48" t="s">
        <v>222</v>
      </c>
    </row>
    <row r="49" spans="1:3" x14ac:dyDescent="0.25">
      <c r="A49">
        <v>48</v>
      </c>
      <c r="B49" t="s">
        <v>116</v>
      </c>
      <c r="C49" t="s">
        <v>223</v>
      </c>
    </row>
    <row r="50" spans="1:3" x14ac:dyDescent="0.25">
      <c r="A50">
        <v>49</v>
      </c>
      <c r="B50" t="s">
        <v>120</v>
      </c>
      <c r="C50" t="s">
        <v>224</v>
      </c>
    </row>
    <row r="51" spans="1:3" x14ac:dyDescent="0.25">
      <c r="A51">
        <v>50</v>
      </c>
      <c r="B51" t="s">
        <v>149</v>
      </c>
      <c r="C51" t="s">
        <v>225</v>
      </c>
    </row>
    <row r="52" spans="1:3" x14ac:dyDescent="0.25">
      <c r="A52">
        <v>51</v>
      </c>
      <c r="B52" t="s">
        <v>36</v>
      </c>
      <c r="C52" t="s">
        <v>226</v>
      </c>
    </row>
    <row r="53" spans="1:3" x14ac:dyDescent="0.25">
      <c r="A53">
        <v>52</v>
      </c>
      <c r="B53" t="s">
        <v>94</v>
      </c>
      <c r="C53" t="s">
        <v>227</v>
      </c>
    </row>
    <row r="54" spans="1:3" x14ac:dyDescent="0.25">
      <c r="A54">
        <v>53</v>
      </c>
      <c r="B54" t="s">
        <v>45</v>
      </c>
      <c r="C54" t="s">
        <v>228</v>
      </c>
    </row>
    <row r="55" spans="1:3" x14ac:dyDescent="0.25">
      <c r="A55">
        <v>54</v>
      </c>
      <c r="B55" t="s">
        <v>70</v>
      </c>
      <c r="C55" t="s">
        <v>229</v>
      </c>
    </row>
    <row r="56" spans="1:3" x14ac:dyDescent="0.25">
      <c r="A56">
        <v>55</v>
      </c>
      <c r="B56" t="s">
        <v>130</v>
      </c>
      <c r="C56" t="s">
        <v>230</v>
      </c>
    </row>
    <row r="57" spans="1:3" x14ac:dyDescent="0.25">
      <c r="A57">
        <v>56</v>
      </c>
      <c r="B57" t="s">
        <v>55</v>
      </c>
      <c r="C57" t="s">
        <v>231</v>
      </c>
    </row>
    <row r="58" spans="1:3" x14ac:dyDescent="0.25">
      <c r="A58">
        <v>57</v>
      </c>
      <c r="B58" t="s">
        <v>102</v>
      </c>
      <c r="C58" t="s">
        <v>232</v>
      </c>
    </row>
    <row r="59" spans="1:3" x14ac:dyDescent="0.25">
      <c r="A59">
        <v>58</v>
      </c>
      <c r="B59" t="s">
        <v>60</v>
      </c>
      <c r="C59" t="s">
        <v>233</v>
      </c>
    </row>
    <row r="60" spans="1:3" x14ac:dyDescent="0.25">
      <c r="A60">
        <v>59</v>
      </c>
      <c r="B60" t="s">
        <v>128</v>
      </c>
      <c r="C60" t="s">
        <v>234</v>
      </c>
    </row>
    <row r="61" spans="1:3" x14ac:dyDescent="0.25">
      <c r="A61">
        <v>60</v>
      </c>
      <c r="B61" t="s">
        <v>51</v>
      </c>
      <c r="C61" t="s">
        <v>235</v>
      </c>
    </row>
    <row r="62" spans="1:3" x14ac:dyDescent="0.25">
      <c r="A62">
        <v>61</v>
      </c>
      <c r="B62" t="s">
        <v>141</v>
      </c>
      <c r="C62" t="s">
        <v>236</v>
      </c>
    </row>
    <row r="63" spans="1:3" x14ac:dyDescent="0.25">
      <c r="A63">
        <v>62</v>
      </c>
      <c r="B63" t="s">
        <v>129</v>
      </c>
      <c r="C63" t="s">
        <v>237</v>
      </c>
    </row>
    <row r="64" spans="1:3" x14ac:dyDescent="0.25">
      <c r="A64">
        <v>63</v>
      </c>
      <c r="B64" t="s">
        <v>73</v>
      </c>
      <c r="C64" t="s">
        <v>238</v>
      </c>
    </row>
    <row r="65" spans="1:3" x14ac:dyDescent="0.25">
      <c r="A65">
        <v>64</v>
      </c>
      <c r="B65" t="s">
        <v>140</v>
      </c>
      <c r="C65" t="s">
        <v>239</v>
      </c>
    </row>
    <row r="66" spans="1:3" x14ac:dyDescent="0.25">
      <c r="A66">
        <v>65</v>
      </c>
      <c r="B66" t="s">
        <v>137</v>
      </c>
      <c r="C66" t="s">
        <v>240</v>
      </c>
    </row>
    <row r="67" spans="1:3" x14ac:dyDescent="0.25">
      <c r="A67">
        <v>66</v>
      </c>
      <c r="B67" t="s">
        <v>93</v>
      </c>
      <c r="C67" t="s">
        <v>241</v>
      </c>
    </row>
    <row r="68" spans="1:3" x14ac:dyDescent="0.25">
      <c r="A68">
        <v>67</v>
      </c>
      <c r="B68" t="s">
        <v>42</v>
      </c>
      <c r="C68" t="s">
        <v>242</v>
      </c>
    </row>
    <row r="69" spans="1:3" x14ac:dyDescent="0.25">
      <c r="A69">
        <v>68</v>
      </c>
      <c r="B69" t="s">
        <v>136</v>
      </c>
      <c r="C69" t="s">
        <v>243</v>
      </c>
    </row>
    <row r="70" spans="1:3" x14ac:dyDescent="0.25">
      <c r="A70">
        <v>69</v>
      </c>
      <c r="B70" t="s">
        <v>134</v>
      </c>
      <c r="C70" t="s">
        <v>244</v>
      </c>
    </row>
    <row r="71" spans="1:3" x14ac:dyDescent="0.25">
      <c r="A71">
        <v>70</v>
      </c>
      <c r="B71" t="s">
        <v>77</v>
      </c>
      <c r="C71" t="s">
        <v>245</v>
      </c>
    </row>
    <row r="72" spans="1:3" x14ac:dyDescent="0.25">
      <c r="A72">
        <v>71</v>
      </c>
      <c r="B72" t="s">
        <v>67</v>
      </c>
      <c r="C72" t="s">
        <v>246</v>
      </c>
    </row>
    <row r="73" spans="1:3" x14ac:dyDescent="0.25">
      <c r="A73">
        <v>72</v>
      </c>
      <c r="B73" t="s">
        <v>110</v>
      </c>
      <c r="C73" t="s">
        <v>247</v>
      </c>
    </row>
    <row r="74" spans="1:3" x14ac:dyDescent="0.25">
      <c r="A74">
        <v>73</v>
      </c>
      <c r="B74" t="s">
        <v>138</v>
      </c>
      <c r="C74" t="s">
        <v>248</v>
      </c>
    </row>
    <row r="75" spans="1:3" x14ac:dyDescent="0.25">
      <c r="A75">
        <v>74</v>
      </c>
      <c r="B75" t="s">
        <v>69</v>
      </c>
      <c r="C75" t="s">
        <v>249</v>
      </c>
    </row>
    <row r="76" spans="1:3" x14ac:dyDescent="0.25">
      <c r="A76">
        <v>75</v>
      </c>
      <c r="B76" t="s">
        <v>76</v>
      </c>
      <c r="C76" t="s">
        <v>250</v>
      </c>
    </row>
    <row r="77" spans="1:3" x14ac:dyDescent="0.25">
      <c r="A77">
        <v>76</v>
      </c>
      <c r="B77" t="s">
        <v>103</v>
      </c>
      <c r="C77" t="s">
        <v>251</v>
      </c>
    </row>
    <row r="78" spans="1:3" x14ac:dyDescent="0.25">
      <c r="A78">
        <v>77</v>
      </c>
      <c r="B78" t="s">
        <v>46</v>
      </c>
      <c r="C78" t="s">
        <v>252</v>
      </c>
    </row>
    <row r="79" spans="1:3" x14ac:dyDescent="0.25">
      <c r="A79">
        <v>78</v>
      </c>
      <c r="B79" t="s">
        <v>97</v>
      </c>
      <c r="C79" t="s">
        <v>253</v>
      </c>
    </row>
    <row r="80" spans="1:3" x14ac:dyDescent="0.25">
      <c r="A80">
        <v>79</v>
      </c>
      <c r="B80" t="s">
        <v>106</v>
      </c>
      <c r="C80" t="s">
        <v>254</v>
      </c>
    </row>
    <row r="81" spans="1:3" x14ac:dyDescent="0.25">
      <c r="A81">
        <v>80</v>
      </c>
      <c r="B81" t="s">
        <v>65</v>
      </c>
      <c r="C81" t="s">
        <v>255</v>
      </c>
    </row>
    <row r="82" spans="1:3" x14ac:dyDescent="0.25">
      <c r="A82">
        <v>81</v>
      </c>
      <c r="B82" t="s">
        <v>144</v>
      </c>
      <c r="C82" t="s">
        <v>256</v>
      </c>
    </row>
    <row r="83" spans="1:3" x14ac:dyDescent="0.25">
      <c r="A83">
        <v>82</v>
      </c>
      <c r="B83" t="s">
        <v>34</v>
      </c>
      <c r="C83" t="s">
        <v>257</v>
      </c>
    </row>
    <row r="84" spans="1:3" x14ac:dyDescent="0.25">
      <c r="A84">
        <v>83</v>
      </c>
      <c r="B84" t="s">
        <v>40</v>
      </c>
      <c r="C84" t="s">
        <v>258</v>
      </c>
    </row>
    <row r="85" spans="1:3" x14ac:dyDescent="0.25">
      <c r="A85">
        <v>84</v>
      </c>
      <c r="B85" t="s">
        <v>98</v>
      </c>
      <c r="C85" t="s">
        <v>259</v>
      </c>
    </row>
    <row r="86" spans="1:3" x14ac:dyDescent="0.25">
      <c r="A86">
        <v>85</v>
      </c>
      <c r="B86" t="s">
        <v>63</v>
      </c>
      <c r="C86" t="s">
        <v>260</v>
      </c>
    </row>
    <row r="87" spans="1:3" x14ac:dyDescent="0.25">
      <c r="A87">
        <v>86</v>
      </c>
      <c r="B87" t="s">
        <v>56</v>
      </c>
      <c r="C87" t="s">
        <v>261</v>
      </c>
    </row>
    <row r="88" spans="1:3" x14ac:dyDescent="0.25">
      <c r="A88">
        <v>87</v>
      </c>
      <c r="B88" t="s">
        <v>143</v>
      </c>
      <c r="C88" t="s">
        <v>262</v>
      </c>
    </row>
    <row r="89" spans="1:3" x14ac:dyDescent="0.25">
      <c r="A89">
        <v>88</v>
      </c>
      <c r="B89" t="s">
        <v>78</v>
      </c>
      <c r="C89" t="s">
        <v>263</v>
      </c>
    </row>
    <row r="90" spans="1:3" x14ac:dyDescent="0.25">
      <c r="A90">
        <v>89</v>
      </c>
      <c r="B90" t="s">
        <v>79</v>
      </c>
      <c r="C90" t="s">
        <v>264</v>
      </c>
    </row>
    <row r="91" spans="1:3" x14ac:dyDescent="0.25">
      <c r="A91">
        <v>90</v>
      </c>
      <c r="B91" t="s">
        <v>35</v>
      </c>
      <c r="C91" t="s">
        <v>265</v>
      </c>
    </row>
    <row r="92" spans="1:3" x14ac:dyDescent="0.25">
      <c r="A92">
        <v>91</v>
      </c>
      <c r="B92" t="s">
        <v>66</v>
      </c>
      <c r="C92" t="s">
        <v>266</v>
      </c>
    </row>
    <row r="93" spans="1:3" x14ac:dyDescent="0.25">
      <c r="A93">
        <v>92</v>
      </c>
      <c r="B93" t="s">
        <v>68</v>
      </c>
      <c r="C93" t="s">
        <v>267</v>
      </c>
    </row>
    <row r="94" spans="1:3" x14ac:dyDescent="0.25">
      <c r="A94">
        <v>93</v>
      </c>
      <c r="B94" t="s">
        <v>147</v>
      </c>
      <c r="C94" t="s">
        <v>268</v>
      </c>
    </row>
    <row r="95" spans="1:3" x14ac:dyDescent="0.25">
      <c r="A95">
        <v>94</v>
      </c>
      <c r="B95" t="s">
        <v>57</v>
      </c>
      <c r="C95" t="s">
        <v>269</v>
      </c>
    </row>
    <row r="96" spans="1:3" x14ac:dyDescent="0.25">
      <c r="A96">
        <v>95</v>
      </c>
      <c r="B96" t="s">
        <v>82</v>
      </c>
      <c r="C96" t="s">
        <v>270</v>
      </c>
    </row>
    <row r="97" spans="1:3" x14ac:dyDescent="0.25">
      <c r="A97">
        <v>96</v>
      </c>
      <c r="B97" t="s">
        <v>96</v>
      </c>
      <c r="C97" t="s">
        <v>271</v>
      </c>
    </row>
    <row r="98" spans="1:3" x14ac:dyDescent="0.25">
      <c r="A98">
        <v>97</v>
      </c>
      <c r="B98" t="s">
        <v>148</v>
      </c>
      <c r="C98" t="s">
        <v>272</v>
      </c>
    </row>
    <row r="99" spans="1:3" x14ac:dyDescent="0.25">
      <c r="A99">
        <v>98</v>
      </c>
      <c r="B99" t="s">
        <v>11</v>
      </c>
      <c r="C99" t="s">
        <v>273</v>
      </c>
    </row>
    <row r="100" spans="1:3" x14ac:dyDescent="0.25">
      <c r="A100">
        <v>99</v>
      </c>
      <c r="B100" t="s">
        <v>29</v>
      </c>
      <c r="C100" t="s">
        <v>274</v>
      </c>
    </row>
    <row r="101" spans="1:3" x14ac:dyDescent="0.25">
      <c r="A101">
        <v>100</v>
      </c>
      <c r="B101" t="s">
        <v>20</v>
      </c>
      <c r="C101" t="s">
        <v>275</v>
      </c>
    </row>
    <row r="102" spans="1:3" x14ac:dyDescent="0.25">
      <c r="A102">
        <v>101</v>
      </c>
      <c r="B102" t="s">
        <v>114</v>
      </c>
      <c r="C102" t="s">
        <v>276</v>
      </c>
    </row>
    <row r="103" spans="1:3" x14ac:dyDescent="0.25">
      <c r="A103">
        <v>102</v>
      </c>
      <c r="B103" t="s">
        <v>17</v>
      </c>
      <c r="C103" t="s">
        <v>277</v>
      </c>
    </row>
    <row r="104" spans="1:3" x14ac:dyDescent="0.25">
      <c r="A104">
        <v>103</v>
      </c>
      <c r="B104" t="s">
        <v>21</v>
      </c>
      <c r="C104" t="s">
        <v>278</v>
      </c>
    </row>
    <row r="105" spans="1:3" x14ac:dyDescent="0.25">
      <c r="A105">
        <v>104</v>
      </c>
      <c r="B105" t="s">
        <v>23</v>
      </c>
      <c r="C105" t="s">
        <v>279</v>
      </c>
    </row>
    <row r="106" spans="1:3" x14ac:dyDescent="0.25">
      <c r="A106">
        <v>105</v>
      </c>
      <c r="B106" t="s">
        <v>107</v>
      </c>
      <c r="C106" t="s">
        <v>280</v>
      </c>
    </row>
    <row r="107" spans="1:3" x14ac:dyDescent="0.25">
      <c r="A107">
        <v>106</v>
      </c>
      <c r="B107" t="s">
        <v>52</v>
      </c>
      <c r="C107" t="s">
        <v>281</v>
      </c>
    </row>
    <row r="108" spans="1:3" x14ac:dyDescent="0.25">
      <c r="A108">
        <v>107</v>
      </c>
      <c r="B108" t="s">
        <v>95</v>
      </c>
      <c r="C108" t="s">
        <v>282</v>
      </c>
    </row>
    <row r="109" spans="1:3" x14ac:dyDescent="0.25">
      <c r="A109">
        <v>108</v>
      </c>
      <c r="B109" t="s">
        <v>44</v>
      </c>
      <c r="C109" t="s">
        <v>283</v>
      </c>
    </row>
    <row r="110" spans="1:3" x14ac:dyDescent="0.25">
      <c r="A110">
        <v>109</v>
      </c>
      <c r="B110" t="s">
        <v>27</v>
      </c>
      <c r="C110" t="s">
        <v>284</v>
      </c>
    </row>
    <row r="111" spans="1:3" x14ac:dyDescent="0.25">
      <c r="A111">
        <v>110</v>
      </c>
      <c r="B111" t="s">
        <v>30</v>
      </c>
      <c r="C111" t="s">
        <v>285</v>
      </c>
    </row>
    <row r="112" spans="1:3" x14ac:dyDescent="0.25">
      <c r="A112">
        <v>111</v>
      </c>
      <c r="B112" t="s">
        <v>28</v>
      </c>
      <c r="C112" t="s">
        <v>286</v>
      </c>
    </row>
    <row r="113" spans="1:3" x14ac:dyDescent="0.25">
      <c r="A113">
        <v>112</v>
      </c>
      <c r="B113" t="s">
        <v>13</v>
      </c>
      <c r="C113" t="s">
        <v>287</v>
      </c>
    </row>
    <row r="114" spans="1:3" x14ac:dyDescent="0.25">
      <c r="A114">
        <v>113</v>
      </c>
      <c r="B114" t="s">
        <v>81</v>
      </c>
      <c r="C114" t="s">
        <v>288</v>
      </c>
    </row>
    <row r="115" spans="1:3" x14ac:dyDescent="0.25">
      <c r="A115">
        <v>114</v>
      </c>
      <c r="B115" t="s">
        <v>50</v>
      </c>
      <c r="C115" t="s">
        <v>289</v>
      </c>
    </row>
    <row r="116" spans="1:3" x14ac:dyDescent="0.25">
      <c r="A116">
        <v>115</v>
      </c>
      <c r="B116" t="s">
        <v>15</v>
      </c>
      <c r="C116" t="s">
        <v>290</v>
      </c>
    </row>
    <row r="117" spans="1:3" x14ac:dyDescent="0.25">
      <c r="A117">
        <v>116</v>
      </c>
      <c r="B117" t="s">
        <v>133</v>
      </c>
      <c r="C117" t="s">
        <v>291</v>
      </c>
    </row>
    <row r="118" spans="1:3" x14ac:dyDescent="0.25">
      <c r="A118">
        <v>117</v>
      </c>
      <c r="B118" t="s">
        <v>16</v>
      </c>
      <c r="C118" t="s">
        <v>292</v>
      </c>
    </row>
    <row r="119" spans="1:3" x14ac:dyDescent="0.25">
      <c r="A119">
        <v>118</v>
      </c>
      <c r="B119" t="s">
        <v>12</v>
      </c>
      <c r="C119" t="s">
        <v>293</v>
      </c>
    </row>
    <row r="120" spans="1:3" x14ac:dyDescent="0.25">
      <c r="A120">
        <v>119</v>
      </c>
      <c r="B120" t="s">
        <v>33</v>
      </c>
      <c r="C120" t="s">
        <v>294</v>
      </c>
    </row>
    <row r="121" spans="1:3" x14ac:dyDescent="0.25">
      <c r="A121">
        <v>120</v>
      </c>
      <c r="B121" t="s">
        <v>295</v>
      </c>
      <c r="C121" t="s">
        <v>296</v>
      </c>
    </row>
    <row r="122" spans="1:3" x14ac:dyDescent="0.25">
      <c r="A122">
        <v>121</v>
      </c>
      <c r="B122" t="s">
        <v>26</v>
      </c>
      <c r="C122" t="s">
        <v>297</v>
      </c>
    </row>
    <row r="123" spans="1:3" x14ac:dyDescent="0.25">
      <c r="A123">
        <v>122</v>
      </c>
      <c r="B123" t="s">
        <v>3</v>
      </c>
      <c r="C123" t="s">
        <v>298</v>
      </c>
    </row>
    <row r="124" spans="1:3" x14ac:dyDescent="0.25">
      <c r="A124">
        <v>123</v>
      </c>
      <c r="B124" t="s">
        <v>14</v>
      </c>
      <c r="C124" t="s">
        <v>299</v>
      </c>
    </row>
    <row r="125" spans="1:3" x14ac:dyDescent="0.25">
      <c r="A125">
        <v>124</v>
      </c>
      <c r="B125" t="s">
        <v>22</v>
      </c>
      <c r="C125" t="s">
        <v>300</v>
      </c>
    </row>
    <row r="126" spans="1:3" x14ac:dyDescent="0.25">
      <c r="A126">
        <v>125</v>
      </c>
      <c r="B126" t="s">
        <v>10</v>
      </c>
      <c r="C126" t="s">
        <v>301</v>
      </c>
    </row>
    <row r="127" spans="1:3" x14ac:dyDescent="0.25">
      <c r="A127">
        <v>126</v>
      </c>
      <c r="B127" t="s">
        <v>24</v>
      </c>
      <c r="C127" t="s">
        <v>302</v>
      </c>
    </row>
    <row r="128" spans="1:3" x14ac:dyDescent="0.25">
      <c r="A128">
        <v>127</v>
      </c>
      <c r="B128" t="s">
        <v>131</v>
      </c>
      <c r="C128" t="s">
        <v>303</v>
      </c>
    </row>
    <row r="129" spans="1:3" x14ac:dyDescent="0.25">
      <c r="A129">
        <v>128</v>
      </c>
      <c r="B129" t="s">
        <v>54</v>
      </c>
      <c r="C129" t="s">
        <v>304</v>
      </c>
    </row>
    <row r="130" spans="1:3" x14ac:dyDescent="0.25">
      <c r="A130">
        <v>129</v>
      </c>
      <c r="B130" t="s">
        <v>127</v>
      </c>
      <c r="C130" t="s">
        <v>305</v>
      </c>
    </row>
    <row r="131" spans="1:3" x14ac:dyDescent="0.25">
      <c r="A131">
        <v>130</v>
      </c>
      <c r="B131" t="s">
        <v>88</v>
      </c>
      <c r="C131" t="s">
        <v>306</v>
      </c>
    </row>
    <row r="132" spans="1:3" x14ac:dyDescent="0.25">
      <c r="A132">
        <v>131</v>
      </c>
      <c r="B132" t="s">
        <v>90</v>
      </c>
      <c r="C132" t="s">
        <v>307</v>
      </c>
    </row>
    <row r="133" spans="1:3" x14ac:dyDescent="0.25">
      <c r="A133">
        <v>132</v>
      </c>
      <c r="B133" t="s">
        <v>19</v>
      </c>
      <c r="C133" t="s">
        <v>308</v>
      </c>
    </row>
    <row r="134" spans="1:3" x14ac:dyDescent="0.25">
      <c r="A134">
        <v>133</v>
      </c>
      <c r="B134" t="s">
        <v>25</v>
      </c>
      <c r="C134" t="s">
        <v>309</v>
      </c>
    </row>
    <row r="135" spans="1:3" x14ac:dyDescent="0.25">
      <c r="A135">
        <v>134</v>
      </c>
      <c r="B135" t="s">
        <v>18</v>
      </c>
      <c r="C135" t="s">
        <v>310</v>
      </c>
    </row>
    <row r="136" spans="1:3" x14ac:dyDescent="0.25">
      <c r="A136">
        <v>135</v>
      </c>
      <c r="B136" t="s">
        <v>49</v>
      </c>
      <c r="C136" t="s">
        <v>311</v>
      </c>
    </row>
    <row r="137" spans="1:3" x14ac:dyDescent="0.25">
      <c r="A137">
        <v>136</v>
      </c>
      <c r="B137" t="s">
        <v>47</v>
      </c>
      <c r="C137" t="s">
        <v>312</v>
      </c>
    </row>
    <row r="138" spans="1:3" x14ac:dyDescent="0.25">
      <c r="A138">
        <v>137</v>
      </c>
      <c r="B138" t="s">
        <v>43</v>
      </c>
      <c r="C138" t="s">
        <v>313</v>
      </c>
    </row>
    <row r="139" spans="1:3" x14ac:dyDescent="0.25">
      <c r="A139">
        <v>138</v>
      </c>
      <c r="B139" t="s">
        <v>58</v>
      </c>
      <c r="C139" t="s">
        <v>314</v>
      </c>
    </row>
    <row r="140" spans="1:3" x14ac:dyDescent="0.25">
      <c r="A140">
        <v>139</v>
      </c>
      <c r="B140" t="s">
        <v>118</v>
      </c>
      <c r="C140" t="s">
        <v>315</v>
      </c>
    </row>
    <row r="141" spans="1:3" x14ac:dyDescent="0.25">
      <c r="A141">
        <v>140</v>
      </c>
      <c r="B141" t="s">
        <v>38</v>
      </c>
      <c r="C141" t="s">
        <v>316</v>
      </c>
    </row>
    <row r="142" spans="1:3" x14ac:dyDescent="0.25">
      <c r="A142">
        <v>141</v>
      </c>
      <c r="B142" t="s">
        <v>121</v>
      </c>
      <c r="C142" t="s">
        <v>317</v>
      </c>
    </row>
    <row r="143" spans="1:3" x14ac:dyDescent="0.25">
      <c r="A143">
        <v>142</v>
      </c>
      <c r="B143" t="s">
        <v>105</v>
      </c>
      <c r="C143" t="s">
        <v>318</v>
      </c>
    </row>
    <row r="144" spans="1:3" x14ac:dyDescent="0.25">
      <c r="A144">
        <v>143</v>
      </c>
      <c r="B144" t="s">
        <v>31</v>
      </c>
      <c r="C144" t="s">
        <v>319</v>
      </c>
    </row>
    <row r="145" spans="1:3" x14ac:dyDescent="0.25">
      <c r="A145">
        <v>144</v>
      </c>
      <c r="B145" t="s">
        <v>32</v>
      </c>
      <c r="C145" t="s">
        <v>320</v>
      </c>
    </row>
    <row r="146" spans="1:3" x14ac:dyDescent="0.25">
      <c r="A146">
        <v>145</v>
      </c>
      <c r="B146" t="s">
        <v>91</v>
      </c>
      <c r="C146" t="s">
        <v>321</v>
      </c>
    </row>
    <row r="147" spans="1:3" x14ac:dyDescent="0.25">
      <c r="A147">
        <v>146</v>
      </c>
      <c r="B147" t="s">
        <v>62</v>
      </c>
      <c r="C147" t="s">
        <v>322</v>
      </c>
    </row>
    <row r="148" spans="1:3" x14ac:dyDescent="0.25">
      <c r="A148">
        <v>147</v>
      </c>
      <c r="B148" t="s">
        <v>99</v>
      </c>
      <c r="C148" t="s">
        <v>323</v>
      </c>
    </row>
    <row r="149" spans="1:3" x14ac:dyDescent="0.25">
      <c r="A149">
        <v>148</v>
      </c>
      <c r="B149" t="s">
        <v>48</v>
      </c>
      <c r="C149" t="s">
        <v>324</v>
      </c>
    </row>
    <row r="150" spans="1:3" x14ac:dyDescent="0.25">
      <c r="A150">
        <v>149</v>
      </c>
      <c r="B150" t="s">
        <v>126</v>
      </c>
      <c r="C150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working</vt:lpstr>
      <vt:lpstr>Sheet3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Omair Ali</dc:creator>
  <cp:lastModifiedBy>IT User Software</cp:lastModifiedBy>
  <dcterms:created xsi:type="dcterms:W3CDTF">2024-11-28T07:48:23Z</dcterms:created>
  <dcterms:modified xsi:type="dcterms:W3CDTF">2024-11-28T09:05:21Z</dcterms:modified>
</cp:coreProperties>
</file>