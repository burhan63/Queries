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10-Apr-2025\"/>
    </mc:Choice>
  </mc:AlternateContent>
  <xr:revisionPtr revIDLastSave="0" documentId="8_{BF93A42D-959A-4384-A854-AF49A0401F57}" xr6:coauthVersionLast="47" xr6:coauthVersionMax="47" xr10:uidLastSave="{00000000-0000-0000-0000-000000000000}"/>
  <bookViews>
    <workbookView xWindow="-120" yWindow="-120" windowWidth="20730" windowHeight="11040" tabRatio="711" xr2:uid="{540C2A16-1345-4C85-9410-509F4717D56E}"/>
  </bookViews>
  <sheets>
    <sheet name="Sheet1" sheetId="1" r:id="rId1"/>
    <sheet name="working" sheetId="2" r:id="rId2"/>
    <sheet name="Sheet3" sheetId="3" r:id="rId3"/>
    <sheet name="policy" sheetId="4" r:id="rId4"/>
    <sheet name="working-commission" sheetId="5" r:id="rId5"/>
    <sheet name="Sheet6" sheetId="6" r:id="rId6"/>
    <sheet name="policycommission" sheetId="8" r:id="rId7"/>
  </sheets>
  <definedNames>
    <definedName name="_xlnm._FilterDatabase" localSheetId="0">Sheet1!$A$1:$C$45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2" i="5"/>
  <c r="G2" i="5" s="1"/>
  <c r="F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1" i="6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D47" i="2"/>
  <c r="C4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1" i="3"/>
  <c r="H2" i="5" l="1"/>
  <c r="H2" i="2"/>
  <c r="B93" i="1" l="1"/>
  <c r="B46" i="1"/>
</calcChain>
</file>

<file path=xl/sharedStrings.xml><?xml version="1.0" encoding="utf-8"?>
<sst xmlns="http://schemas.openxmlformats.org/spreadsheetml/2006/main" count="732" uniqueCount="139">
  <si>
    <t>POLICY_STRING</t>
  </si>
  <si>
    <t>LHR/LHR/D/MO/PC COMP/P/88176/04/2024</t>
  </si>
  <si>
    <t>LHR/LHR/D/MO/PC COMP/P/90140/06/2024</t>
  </si>
  <si>
    <t>LHR/LHR/D/MO/PC TPP/P/93455/07/2024</t>
  </si>
  <si>
    <t>LHR/LHR/D/MO/PC COMP/P/105642/01/2025</t>
  </si>
  <si>
    <t>LHR/LHR/D/MO/PC COMP/P/105885/01/2025</t>
  </si>
  <si>
    <t>LHR/LHR/D/MO/PC COMP/P/106469/01/2025</t>
  </si>
  <si>
    <t>LHR/LHR/D/MO/PC COMP/P/106777/01/2025</t>
  </si>
  <si>
    <t>LHR/LHR/D/MO/PC COMP/P/106814/01/2025</t>
  </si>
  <si>
    <t>LHR/LHR/D/MO/PC TPP/P/106853/01/2025</t>
  </si>
  <si>
    <t>LHR/LHR/D/MO/PC TPP/P/106863/01/2025</t>
  </si>
  <si>
    <t>LHR/LHR/D/MO/PC COMP/P/106912/01/2025</t>
  </si>
  <si>
    <t>LHR/LHR/D/MO/PC COMP/P/106993/02/2025</t>
  </si>
  <si>
    <t>LHR/LHR/D/MO/PC COMP/P/107024/02/2025</t>
  </si>
  <si>
    <t>LHR/LHR/D/MO/PC COMP/P/107058/02/2025</t>
  </si>
  <si>
    <t>LHR/LHR/D/MO/PC COMP/P/107059/02/2025</t>
  </si>
  <si>
    <t>LHR/LHR/D/MO/PC COMP/P/107111/02/2025</t>
  </si>
  <si>
    <t>LHR/LHR/D/MO/PC COMP/P/107182/02/2025</t>
  </si>
  <si>
    <t>LHR/LHR/D/MO/PC TPP/P/107252/02/2025</t>
  </si>
  <si>
    <t>LHR/LHR/D/MO/PC TPP/P/107274/02/2025</t>
  </si>
  <si>
    <t>LHR/LHR/D/MO/PC TPP/P/107275/02/2025</t>
  </si>
  <si>
    <t>LHR/LHR/D/MO/PC TPP/P/107276/02/2025</t>
  </si>
  <si>
    <t>LHR/LHR/D/MO/PC TPP/P/107279/02/2025</t>
  </si>
  <si>
    <t>LHR/LHR/D/MO/PC TPP/P/107280/02/2025</t>
  </si>
  <si>
    <t>LHR/LHR/D/MO/PC COMP/P/107304/02/2025</t>
  </si>
  <si>
    <t>LHR/LHR/D/MO/PC COMP/P/107384/02/2025</t>
  </si>
  <si>
    <t>LHR/LHR/D/MO/PC TPP/P/107422/02/2025</t>
  </si>
  <si>
    <t>LHR/LHR/D/MO/PC TPP/P/107447/02/2025</t>
  </si>
  <si>
    <t>LHR/LHR/D/MO/PC TPP/P/107508/02/2025</t>
  </si>
  <si>
    <t>LHR/LHR/D/MO/PC COMP/P/107716/02/2025</t>
  </si>
  <si>
    <t>LHR/LHR/D/MO/PC TPP/P/107723/02/2025</t>
  </si>
  <si>
    <t>LHR/LHR/D/MO/PC COMP/P/107725/02/2025</t>
  </si>
  <si>
    <t>LHR/LHR/D/MO/PC TPP/P/107817/03/2025</t>
  </si>
  <si>
    <t>LHR/LHR/D/MO/PC TPP/P/107826/03/2025</t>
  </si>
  <si>
    <t>LHR/LHR/D/MO/PC TPP/P/107827/03/2025</t>
  </si>
  <si>
    <t>LHR/LHR/D/MO/PC TPP/P/107902/03/2025</t>
  </si>
  <si>
    <t>LHR/LHR/D/MO/PC COMP/P/107946/03/2025</t>
  </si>
  <si>
    <t>LHR/LHR/D/MO/PC TPP/P/107950/03/2025</t>
  </si>
  <si>
    <t>LHR/LHR/D/MO/PC COMP/P/107957/03/2025</t>
  </si>
  <si>
    <t>LHR/LHR/D/MO/PC COMP/P/107958/03/2025</t>
  </si>
  <si>
    <t>LHR/LHR/D/MO/PC COMP/P/108047/03/2025</t>
  </si>
  <si>
    <t>LHR/LHR/D/MO/PC COMP/P/108117/03/2025</t>
  </si>
  <si>
    <t>LHR/LHR/D/MO/PC COMP/P/108118/03/2025</t>
  </si>
  <si>
    <t>LHR/LHR/D/MO/PC TPP/P/108173/03/2025</t>
  </si>
  <si>
    <t>LHR/LHR/D/MO/PC COMP/P/99708/10/2024</t>
  </si>
  <si>
    <t>Agency Codes</t>
  </si>
  <si>
    <t>09000836</t>
  </si>
  <si>
    <t>PREM</t>
  </si>
  <si>
    <t>COMM</t>
  </si>
  <si>
    <t>-04-2024</t>
  </si>
  <si>
    <t>-06-2024</t>
  </si>
  <si>
    <t>-07-2024</t>
  </si>
  <si>
    <t>-01-2025</t>
  </si>
  <si>
    <t>-02-2025</t>
  </si>
  <si>
    <t>-03-2025</t>
  </si>
  <si>
    <t>-10-2024</t>
  </si>
  <si>
    <t xml:space="preserve">   </t>
  </si>
  <si>
    <t>FUNC_ASSORTED_STRING(IA.ASSORTED_CODE)</t>
  </si>
  <si>
    <t>ASSORTED_CODE</t>
  </si>
  <si>
    <t>AGENCY_CODE</t>
  </si>
  <si>
    <t>040000172341</t>
  </si>
  <si>
    <t>09000748</t>
  </si>
  <si>
    <t>KHI/HO/D/MO/PC COMP/P/93455/07/2024</t>
  </si>
  <si>
    <t>040000179304</t>
  </si>
  <si>
    <t>09000221</t>
  </si>
  <si>
    <t>040000174949</t>
  </si>
  <si>
    <t>09000806</t>
  </si>
  <si>
    <t>040000179305</t>
  </si>
  <si>
    <t>09000210</t>
  </si>
  <si>
    <t>040000186754</t>
  </si>
  <si>
    <t>09000518</t>
  </si>
  <si>
    <t>040000195643</t>
  </si>
  <si>
    <t>09000463</t>
  </si>
  <si>
    <t>040000195645</t>
  </si>
  <si>
    <t>040000195931</t>
  </si>
  <si>
    <t>09000440</t>
  </si>
  <si>
    <t>040000195934</t>
  </si>
  <si>
    <t>040000194826</t>
  </si>
  <si>
    <t>09000918</t>
  </si>
  <si>
    <t>040000195713</t>
  </si>
  <si>
    <t>040000195275</t>
  </si>
  <si>
    <t>09000952</t>
  </si>
  <si>
    <t>040000195792</t>
  </si>
  <si>
    <t>040000194108</t>
  </si>
  <si>
    <t>09000905</t>
  </si>
  <si>
    <t>040000195569</t>
  </si>
  <si>
    <t>09000867</t>
  </si>
  <si>
    <t>040000196532</t>
  </si>
  <si>
    <t>09000945</t>
  </si>
  <si>
    <t>040000195481</t>
  </si>
  <si>
    <t>09000949</t>
  </si>
  <si>
    <t>040000195935</t>
  </si>
  <si>
    <t>040000196817</t>
  </si>
  <si>
    <t>09000954</t>
  </si>
  <si>
    <t>040000196826</t>
  </si>
  <si>
    <t>09000496</t>
  </si>
  <si>
    <t>040000197069</t>
  </si>
  <si>
    <t>040000197070</t>
  </si>
  <si>
    <t>040000196646</t>
  </si>
  <si>
    <t>09000928</t>
  </si>
  <si>
    <t>040000196155</t>
  </si>
  <si>
    <t>09000793</t>
  </si>
  <si>
    <t>040000197147</t>
  </si>
  <si>
    <t>040000195938</t>
  </si>
  <si>
    <t>040000196125</t>
  </si>
  <si>
    <t>09000432</t>
  </si>
  <si>
    <t>040000196228</t>
  </si>
  <si>
    <t>09000829</t>
  </si>
  <si>
    <t>040000196960</t>
  </si>
  <si>
    <t>09000524</t>
  </si>
  <si>
    <t>040000196524</t>
  </si>
  <si>
    <t>09000794</t>
  </si>
  <si>
    <t>040000196534</t>
  </si>
  <si>
    <t>040000195370</t>
  </si>
  <si>
    <t>09000732</t>
  </si>
  <si>
    <t>040000196749</t>
  </si>
  <si>
    <t>09000858</t>
  </si>
  <si>
    <t>040000195415</t>
  </si>
  <si>
    <t>09000795</t>
  </si>
  <si>
    <t>040000196058</t>
  </si>
  <si>
    <t>040000195896</t>
  </si>
  <si>
    <t>09000420</t>
  </si>
  <si>
    <t>040000196827</t>
  </si>
  <si>
    <t>040000195603</t>
  </si>
  <si>
    <t>09000933</t>
  </si>
  <si>
    <t>040000193824</t>
  </si>
  <si>
    <t>040000195425</t>
  </si>
  <si>
    <t>040000196630</t>
  </si>
  <si>
    <t>09000422</t>
  </si>
  <si>
    <t>040000196807</t>
  </si>
  <si>
    <t>040000196645</t>
  </si>
  <si>
    <t>09000436</t>
  </si>
  <si>
    <t>040000195939</t>
  </si>
  <si>
    <t>040000195963</t>
  </si>
  <si>
    <t>POLICY NO.</t>
  </si>
  <si>
    <t>Assorted_code</t>
  </si>
  <si>
    <t>Premium</t>
  </si>
  <si>
    <t>09Apr250030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</si>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</sst>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000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8"/>
      <name val="Arial"/>
      <family val="2"/>
    </font>
    <font>
      <b/>
      <sz val="10"/>
      <color rgb="FF404040"/>
      <name val="Times New Roman"/>
      <family val="1"/>
    </font>
    <font>
      <sz val="11"/>
      <color rgb="FF40404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2" fillId="2" borderId="1" xfId="1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4" fontId="0" fillId="0" borderId="0" xfId="0" applyNumberFormat="1"/>
    <xf numFmtId="0" fontId="6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7" fillId="0" borderId="0" xfId="0" applyFont="1"/>
    <xf numFmtId="0" fontId="0" fillId="0" borderId="0" xfId="0" applyAlignment="1">
      <alignment vertical="top"/>
    </xf>
    <xf numFmtId="165" fontId="8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9" fillId="0" borderId="0" xfId="0" applyFont="1" applyAlignment="1">
      <alignment vertical="top"/>
    </xf>
    <xf numFmtId="164" fontId="0" fillId="0" borderId="2" xfId="1" applyFont="1" applyBorder="1" applyAlignment="1">
      <alignment horizontal="center" vertical="top"/>
    </xf>
    <xf numFmtId="164" fontId="10" fillId="0" borderId="2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11FD-BB11-442C-8BE5-30D408CA3378}">
  <dimension ref="A1:C93"/>
  <sheetViews>
    <sheetView tabSelected="1" topLeftCell="A34" workbookViewId="0">
      <selection activeCell="C40" sqref="C40"/>
    </sheetView>
  </sheetViews>
  <sheetFormatPr defaultRowHeight="15" x14ac:dyDescent="0.25"/>
  <cols>
    <col min="1" max="1" width="38.7109375" bestFit="1" customWidth="1"/>
    <col min="2" max="2" width="10.140625" bestFit="1" customWidth="1"/>
    <col min="3" max="3" width="13.7109375" bestFit="1" customWidth="1"/>
  </cols>
  <sheetData>
    <row r="1" spans="1:3" x14ac:dyDescent="0.25">
      <c r="A1" s="1" t="s">
        <v>0</v>
      </c>
      <c r="B1" s="4" t="s">
        <v>48</v>
      </c>
      <c r="C1" s="5" t="s">
        <v>45</v>
      </c>
    </row>
    <row r="2" spans="1:3" x14ac:dyDescent="0.25">
      <c r="A2" s="2" t="s">
        <v>1</v>
      </c>
      <c r="B2" s="3">
        <v>17250</v>
      </c>
      <c r="C2" s="6">
        <v>9000748</v>
      </c>
    </row>
    <row r="3" spans="1:3" x14ac:dyDescent="0.25">
      <c r="A3" s="2" t="s">
        <v>2</v>
      </c>
      <c r="B3" s="3">
        <v>6500</v>
      </c>
      <c r="C3" s="6">
        <v>9000806</v>
      </c>
    </row>
    <row r="4" spans="1:3" x14ac:dyDescent="0.25">
      <c r="A4" s="2" t="s">
        <v>3</v>
      </c>
      <c r="B4" s="3">
        <v>14600</v>
      </c>
      <c r="C4" s="6">
        <v>9000210</v>
      </c>
    </row>
    <row r="5" spans="1:3" x14ac:dyDescent="0.25">
      <c r="A5" s="2" t="s">
        <v>4</v>
      </c>
      <c r="B5" s="3">
        <v>38564</v>
      </c>
      <c r="C5" s="6">
        <v>9000918</v>
      </c>
    </row>
    <row r="6" spans="1:3" x14ac:dyDescent="0.25">
      <c r="A6" s="2" t="s">
        <v>5</v>
      </c>
      <c r="B6" s="3">
        <v>42996</v>
      </c>
      <c r="C6" s="6">
        <v>9000905</v>
      </c>
    </row>
    <row r="7" spans="1:3" x14ac:dyDescent="0.25">
      <c r="A7" s="2" t="s">
        <v>6</v>
      </c>
      <c r="B7" s="3">
        <v>53564</v>
      </c>
      <c r="C7" s="6">
        <v>9000918</v>
      </c>
    </row>
    <row r="8" spans="1:3" x14ac:dyDescent="0.25">
      <c r="A8" s="2" t="s">
        <v>7</v>
      </c>
      <c r="B8" s="3">
        <v>19867</v>
      </c>
      <c r="C8" s="6">
        <v>9000952</v>
      </c>
    </row>
    <row r="9" spans="1:3" x14ac:dyDescent="0.25">
      <c r="A9" s="2" t="s">
        <v>8</v>
      </c>
      <c r="B9" s="3">
        <v>2500</v>
      </c>
      <c r="C9" s="6">
        <v>9000732</v>
      </c>
    </row>
    <row r="10" spans="1:3" x14ac:dyDescent="0.25">
      <c r="A10" s="2" t="s">
        <v>9</v>
      </c>
      <c r="B10" s="3">
        <v>8460</v>
      </c>
      <c r="C10" s="6">
        <v>9000795</v>
      </c>
    </row>
    <row r="11" spans="1:3" x14ac:dyDescent="0.25">
      <c r="A11" s="2" t="s">
        <v>10</v>
      </c>
      <c r="B11" s="3">
        <v>22573</v>
      </c>
      <c r="C11" s="6">
        <v>9000945</v>
      </c>
    </row>
    <row r="12" spans="1:3" x14ac:dyDescent="0.25">
      <c r="A12" s="2" t="s">
        <v>11</v>
      </c>
      <c r="B12" s="3">
        <v>12137</v>
      </c>
      <c r="C12" s="6">
        <v>9000949</v>
      </c>
    </row>
    <row r="13" spans="1:3" x14ac:dyDescent="0.25">
      <c r="A13" s="2" t="s">
        <v>12</v>
      </c>
      <c r="B13" s="3">
        <v>14500</v>
      </c>
      <c r="C13" s="6">
        <v>9000867</v>
      </c>
    </row>
    <row r="14" spans="1:3" x14ac:dyDescent="0.25">
      <c r="A14" s="2" t="s">
        <v>13</v>
      </c>
      <c r="B14" s="3">
        <v>25400</v>
      </c>
      <c r="C14" s="6">
        <v>9000933</v>
      </c>
    </row>
    <row r="15" spans="1:3" x14ac:dyDescent="0.25">
      <c r="A15" s="2" t="s">
        <v>14</v>
      </c>
      <c r="B15" s="3">
        <v>185</v>
      </c>
      <c r="C15" s="6">
        <v>9000463</v>
      </c>
    </row>
    <row r="16" spans="1:3" x14ac:dyDescent="0.25">
      <c r="A16" s="2" t="s">
        <v>15</v>
      </c>
      <c r="B16" s="3">
        <v>10</v>
      </c>
      <c r="C16" s="6">
        <v>9000463</v>
      </c>
    </row>
    <row r="17" spans="1:3" x14ac:dyDescent="0.25">
      <c r="A17" s="2" t="s">
        <v>16</v>
      </c>
      <c r="B17" s="3">
        <v>1</v>
      </c>
      <c r="C17" s="6">
        <v>9000748</v>
      </c>
    </row>
    <row r="18" spans="1:3" x14ac:dyDescent="0.25">
      <c r="A18" s="2" t="s">
        <v>17</v>
      </c>
      <c r="B18" s="3">
        <v>15624</v>
      </c>
      <c r="C18" s="6">
        <v>9000463</v>
      </c>
    </row>
    <row r="19" spans="1:3" x14ac:dyDescent="0.25">
      <c r="A19" s="2" t="s">
        <v>18</v>
      </c>
      <c r="B19" s="3">
        <v>19170</v>
      </c>
      <c r="C19" s="6">
        <v>9000420</v>
      </c>
    </row>
    <row r="20" spans="1:3" x14ac:dyDescent="0.25">
      <c r="A20" s="2" t="s">
        <v>19</v>
      </c>
      <c r="B20" s="3">
        <v>10764</v>
      </c>
      <c r="C20" s="6">
        <v>9000440</v>
      </c>
    </row>
    <row r="21" spans="1:3" x14ac:dyDescent="0.25">
      <c r="A21" s="2" t="s">
        <v>20</v>
      </c>
      <c r="B21" s="3">
        <v>10764</v>
      </c>
      <c r="C21" s="6">
        <v>9000440</v>
      </c>
    </row>
    <row r="22" spans="1:3" x14ac:dyDescent="0.25">
      <c r="A22" s="2" t="s">
        <v>21</v>
      </c>
      <c r="B22" s="3">
        <v>28200</v>
      </c>
      <c r="C22" s="6">
        <v>9000440</v>
      </c>
    </row>
    <row r="23" spans="1:3" x14ac:dyDescent="0.25">
      <c r="A23" s="2" t="s">
        <v>22</v>
      </c>
      <c r="B23" s="3">
        <v>16994</v>
      </c>
      <c r="C23" s="6">
        <v>9000440</v>
      </c>
    </row>
    <row r="24" spans="1:3" x14ac:dyDescent="0.25">
      <c r="A24" s="2" t="s">
        <v>23</v>
      </c>
      <c r="B24" s="3">
        <v>7500</v>
      </c>
      <c r="C24" s="6">
        <v>9000793</v>
      </c>
    </row>
    <row r="25" spans="1:3" x14ac:dyDescent="0.25">
      <c r="A25" s="2" t="s">
        <v>24</v>
      </c>
      <c r="B25" s="3">
        <v>1</v>
      </c>
      <c r="C25" s="6">
        <v>9000210</v>
      </c>
    </row>
    <row r="26" spans="1:3" x14ac:dyDescent="0.25">
      <c r="A26" s="2" t="s">
        <v>25</v>
      </c>
      <c r="B26" s="3">
        <v>8</v>
      </c>
      <c r="C26" s="6">
        <v>9000210</v>
      </c>
    </row>
    <row r="27" spans="1:3" x14ac:dyDescent="0.25">
      <c r="A27" s="2" t="s">
        <v>26</v>
      </c>
      <c r="B27" s="3">
        <v>5</v>
      </c>
      <c r="C27" s="6">
        <v>9000432</v>
      </c>
    </row>
    <row r="28" spans="1:3" x14ac:dyDescent="0.25">
      <c r="A28" s="2" t="s">
        <v>27</v>
      </c>
      <c r="B28" s="3">
        <v>49970</v>
      </c>
      <c r="C28" s="6">
        <v>9000793</v>
      </c>
    </row>
    <row r="29" spans="1:3" x14ac:dyDescent="0.25">
      <c r="A29" s="2" t="s">
        <v>28</v>
      </c>
      <c r="B29" s="3">
        <v>13439</v>
      </c>
      <c r="C29" s="6">
        <v>9000829</v>
      </c>
    </row>
    <row r="30" spans="1:3" x14ac:dyDescent="0.25">
      <c r="A30" s="2" t="s">
        <v>29</v>
      </c>
      <c r="B30" s="3">
        <v>42613</v>
      </c>
      <c r="C30" s="7">
        <v>9000794</v>
      </c>
    </row>
    <row r="31" spans="1:3" x14ac:dyDescent="0.25">
      <c r="A31" s="2" t="s">
        <v>30</v>
      </c>
      <c r="B31" s="3">
        <v>9868</v>
      </c>
      <c r="C31" s="6">
        <v>9000945</v>
      </c>
    </row>
    <row r="32" spans="1:3" x14ac:dyDescent="0.25">
      <c r="A32" s="2" t="s">
        <v>31</v>
      </c>
      <c r="B32" s="3">
        <v>12152</v>
      </c>
      <c r="C32" s="6">
        <v>9000918</v>
      </c>
    </row>
    <row r="33" spans="1:3" x14ac:dyDescent="0.25">
      <c r="A33" s="2" t="s">
        <v>32</v>
      </c>
      <c r="B33" s="3">
        <v>6824</v>
      </c>
      <c r="C33" s="8">
        <v>9000422</v>
      </c>
    </row>
    <row r="34" spans="1:3" x14ac:dyDescent="0.25">
      <c r="A34" s="2" t="s">
        <v>33</v>
      </c>
      <c r="B34" s="3">
        <v>4848</v>
      </c>
      <c r="C34" s="6">
        <v>9000436</v>
      </c>
    </row>
    <row r="35" spans="1:3" x14ac:dyDescent="0.25">
      <c r="A35" s="2" t="s">
        <v>34</v>
      </c>
      <c r="B35" s="3">
        <v>13591</v>
      </c>
      <c r="C35" s="6">
        <v>9000928</v>
      </c>
    </row>
    <row r="36" spans="1:3" x14ac:dyDescent="0.25">
      <c r="A36" s="2" t="s">
        <v>35</v>
      </c>
      <c r="B36" s="3">
        <v>19103</v>
      </c>
      <c r="C36" s="6">
        <v>9000858</v>
      </c>
    </row>
    <row r="37" spans="1:3" x14ac:dyDescent="0.25">
      <c r="A37" s="2" t="s">
        <v>36</v>
      </c>
      <c r="B37" s="3">
        <v>16012</v>
      </c>
      <c r="C37" s="6">
        <v>9000463</v>
      </c>
    </row>
    <row r="38" spans="1:3" x14ac:dyDescent="0.25">
      <c r="A38" s="2" t="s">
        <v>37</v>
      </c>
      <c r="B38" s="3">
        <v>12124</v>
      </c>
      <c r="C38" s="6">
        <v>9000954</v>
      </c>
    </row>
    <row r="39" spans="1:3" x14ac:dyDescent="0.25">
      <c r="A39" s="2" t="s">
        <v>38</v>
      </c>
      <c r="B39" s="3">
        <v>9450</v>
      </c>
      <c r="C39" s="6">
        <v>9000496</v>
      </c>
    </row>
    <row r="40" spans="1:3" x14ac:dyDescent="0.25">
      <c r="A40" s="2" t="s">
        <v>39</v>
      </c>
      <c r="B40" s="3">
        <v>12180</v>
      </c>
      <c r="C40" s="6">
        <v>9000496</v>
      </c>
    </row>
    <row r="41" spans="1:3" x14ac:dyDescent="0.25">
      <c r="A41" s="2" t="s">
        <v>40</v>
      </c>
      <c r="B41" s="3">
        <v>10900</v>
      </c>
      <c r="C41" s="6">
        <v>9000524</v>
      </c>
    </row>
    <row r="42" spans="1:3" x14ac:dyDescent="0.25">
      <c r="A42" s="2" t="s">
        <v>41</v>
      </c>
      <c r="B42" s="3">
        <v>8015</v>
      </c>
      <c r="C42" s="6">
        <v>9000496</v>
      </c>
    </row>
    <row r="43" spans="1:3" x14ac:dyDescent="0.25">
      <c r="A43" s="2" t="s">
        <v>42</v>
      </c>
      <c r="B43" s="3">
        <v>9725</v>
      </c>
      <c r="C43" s="6">
        <v>9000496</v>
      </c>
    </row>
    <row r="44" spans="1:3" x14ac:dyDescent="0.25">
      <c r="A44" s="2" t="s">
        <v>43</v>
      </c>
      <c r="B44" s="3">
        <v>98771</v>
      </c>
      <c r="C44" s="9" t="s">
        <v>46</v>
      </c>
    </row>
    <row r="45" spans="1:3" x14ac:dyDescent="0.25">
      <c r="A45" s="2" t="s">
        <v>44</v>
      </c>
      <c r="B45" s="3">
        <v>-270</v>
      </c>
      <c r="C45" s="6">
        <v>9000518</v>
      </c>
    </row>
    <row r="46" spans="1:3" x14ac:dyDescent="0.25">
      <c r="B46" s="10">
        <f>SUM(B2:B45)</f>
        <v>737452</v>
      </c>
    </row>
    <row r="48" spans="1:3" x14ac:dyDescent="0.25">
      <c r="A48" s="1" t="s">
        <v>0</v>
      </c>
      <c r="B48" s="4" t="s">
        <v>47</v>
      </c>
    </row>
    <row r="49" spans="1:2" x14ac:dyDescent="0.25">
      <c r="A49" s="2" t="s">
        <v>1</v>
      </c>
      <c r="B49" s="3">
        <v>17250</v>
      </c>
    </row>
    <row r="50" spans="1:2" x14ac:dyDescent="0.25">
      <c r="A50" s="2" t="s">
        <v>2</v>
      </c>
      <c r="B50" s="3">
        <v>6500</v>
      </c>
    </row>
    <row r="51" spans="1:2" x14ac:dyDescent="0.25">
      <c r="A51" s="2" t="s">
        <v>3</v>
      </c>
      <c r="B51" s="3">
        <v>14600</v>
      </c>
    </row>
    <row r="52" spans="1:2" x14ac:dyDescent="0.25">
      <c r="A52" s="2" t="s">
        <v>4</v>
      </c>
      <c r="B52" s="3">
        <v>38564</v>
      </c>
    </row>
    <row r="53" spans="1:2" x14ac:dyDescent="0.25">
      <c r="A53" s="2" t="s">
        <v>5</v>
      </c>
      <c r="B53" s="3">
        <v>42996</v>
      </c>
    </row>
    <row r="54" spans="1:2" x14ac:dyDescent="0.25">
      <c r="A54" s="2" t="s">
        <v>6</v>
      </c>
      <c r="B54" s="3">
        <v>53564</v>
      </c>
    </row>
    <row r="55" spans="1:2" x14ac:dyDescent="0.25">
      <c r="A55" s="2" t="s">
        <v>7</v>
      </c>
      <c r="B55" s="3">
        <v>19867</v>
      </c>
    </row>
    <row r="56" spans="1:2" x14ac:dyDescent="0.25">
      <c r="A56" s="2" t="s">
        <v>8</v>
      </c>
      <c r="B56" s="3">
        <v>2500</v>
      </c>
    </row>
    <row r="57" spans="1:2" x14ac:dyDescent="0.25">
      <c r="A57" s="2" t="s">
        <v>9</v>
      </c>
      <c r="B57" s="3">
        <v>8460</v>
      </c>
    </row>
    <row r="58" spans="1:2" x14ac:dyDescent="0.25">
      <c r="A58" s="2" t="s">
        <v>10</v>
      </c>
      <c r="B58" s="3">
        <v>22573</v>
      </c>
    </row>
    <row r="59" spans="1:2" x14ac:dyDescent="0.25">
      <c r="A59" s="2" t="s">
        <v>11</v>
      </c>
      <c r="B59" s="3">
        <v>12137</v>
      </c>
    </row>
    <row r="60" spans="1:2" x14ac:dyDescent="0.25">
      <c r="A60" s="2" t="s">
        <v>12</v>
      </c>
      <c r="B60" s="3">
        <v>14500</v>
      </c>
    </row>
    <row r="61" spans="1:2" x14ac:dyDescent="0.25">
      <c r="A61" s="2" t="s">
        <v>13</v>
      </c>
      <c r="B61" s="3">
        <v>25400</v>
      </c>
    </row>
    <row r="62" spans="1:2" x14ac:dyDescent="0.25">
      <c r="A62" s="2" t="s">
        <v>14</v>
      </c>
      <c r="B62" s="3">
        <v>185</v>
      </c>
    </row>
    <row r="63" spans="1:2" x14ac:dyDescent="0.25">
      <c r="A63" s="2" t="s">
        <v>15</v>
      </c>
      <c r="B63" s="3">
        <v>10</v>
      </c>
    </row>
    <row r="64" spans="1:2" x14ac:dyDescent="0.25">
      <c r="A64" s="2" t="s">
        <v>16</v>
      </c>
      <c r="B64" s="3">
        <v>1</v>
      </c>
    </row>
    <row r="65" spans="1:2" x14ac:dyDescent="0.25">
      <c r="A65" s="2" t="s">
        <v>17</v>
      </c>
      <c r="B65" s="3">
        <v>15624</v>
      </c>
    </row>
    <row r="66" spans="1:2" x14ac:dyDescent="0.25">
      <c r="A66" s="2" t="s">
        <v>18</v>
      </c>
      <c r="B66" s="3">
        <v>19170</v>
      </c>
    </row>
    <row r="67" spans="1:2" x14ac:dyDescent="0.25">
      <c r="A67" s="2" t="s">
        <v>19</v>
      </c>
      <c r="B67" s="3">
        <v>10764</v>
      </c>
    </row>
    <row r="68" spans="1:2" x14ac:dyDescent="0.25">
      <c r="A68" s="2" t="s">
        <v>20</v>
      </c>
      <c r="B68" s="3">
        <v>10764</v>
      </c>
    </row>
    <row r="69" spans="1:2" x14ac:dyDescent="0.25">
      <c r="A69" s="2" t="s">
        <v>21</v>
      </c>
      <c r="B69" s="3">
        <v>28200</v>
      </c>
    </row>
    <row r="70" spans="1:2" x14ac:dyDescent="0.25">
      <c r="A70" s="2" t="s">
        <v>22</v>
      </c>
      <c r="B70" s="3">
        <v>16994</v>
      </c>
    </row>
    <row r="71" spans="1:2" x14ac:dyDescent="0.25">
      <c r="A71" s="2" t="s">
        <v>23</v>
      </c>
      <c r="B71" s="3">
        <v>7500</v>
      </c>
    </row>
    <row r="72" spans="1:2" x14ac:dyDescent="0.25">
      <c r="A72" s="2" t="s">
        <v>24</v>
      </c>
      <c r="B72" s="3">
        <v>1</v>
      </c>
    </row>
    <row r="73" spans="1:2" x14ac:dyDescent="0.25">
      <c r="A73" s="2" t="s">
        <v>25</v>
      </c>
      <c r="B73" s="3">
        <v>8</v>
      </c>
    </row>
    <row r="74" spans="1:2" x14ac:dyDescent="0.25">
      <c r="A74" s="2" t="s">
        <v>26</v>
      </c>
      <c r="B74" s="3">
        <v>5</v>
      </c>
    </row>
    <row r="75" spans="1:2" x14ac:dyDescent="0.25">
      <c r="A75" s="2" t="s">
        <v>27</v>
      </c>
      <c r="B75" s="3">
        <v>49970</v>
      </c>
    </row>
    <row r="76" spans="1:2" x14ac:dyDescent="0.25">
      <c r="A76" s="2" t="s">
        <v>28</v>
      </c>
      <c r="B76" s="3">
        <v>13439</v>
      </c>
    </row>
    <row r="77" spans="1:2" x14ac:dyDescent="0.25">
      <c r="A77" s="2" t="s">
        <v>29</v>
      </c>
      <c r="B77" s="3">
        <v>42613</v>
      </c>
    </row>
    <row r="78" spans="1:2" x14ac:dyDescent="0.25">
      <c r="A78" s="2" t="s">
        <v>30</v>
      </c>
      <c r="B78" s="3">
        <v>9868</v>
      </c>
    </row>
    <row r="79" spans="1:2" x14ac:dyDescent="0.25">
      <c r="A79" s="2" t="s">
        <v>31</v>
      </c>
      <c r="B79" s="3">
        <v>12152</v>
      </c>
    </row>
    <row r="80" spans="1:2" x14ac:dyDescent="0.25">
      <c r="A80" s="2" t="s">
        <v>32</v>
      </c>
      <c r="B80" s="3">
        <v>6824</v>
      </c>
    </row>
    <row r="81" spans="1:2" x14ac:dyDescent="0.25">
      <c r="A81" s="2" t="s">
        <v>33</v>
      </c>
      <c r="B81" s="3">
        <v>4848</v>
      </c>
    </row>
    <row r="82" spans="1:2" x14ac:dyDescent="0.25">
      <c r="A82" s="2" t="s">
        <v>34</v>
      </c>
      <c r="B82" s="3">
        <v>13591</v>
      </c>
    </row>
    <row r="83" spans="1:2" x14ac:dyDescent="0.25">
      <c r="A83" s="2" t="s">
        <v>35</v>
      </c>
      <c r="B83" s="3">
        <v>19103</v>
      </c>
    </row>
    <row r="84" spans="1:2" x14ac:dyDescent="0.25">
      <c r="A84" s="2" t="s">
        <v>36</v>
      </c>
      <c r="B84" s="3">
        <v>16012</v>
      </c>
    </row>
    <row r="85" spans="1:2" x14ac:dyDescent="0.25">
      <c r="A85" s="2" t="s">
        <v>37</v>
      </c>
      <c r="B85" s="3">
        <v>12124</v>
      </c>
    </row>
    <row r="86" spans="1:2" x14ac:dyDescent="0.25">
      <c r="A86" s="2" t="s">
        <v>38</v>
      </c>
      <c r="B86" s="3">
        <v>9450</v>
      </c>
    </row>
    <row r="87" spans="1:2" x14ac:dyDescent="0.25">
      <c r="A87" s="2" t="s">
        <v>39</v>
      </c>
      <c r="B87" s="3">
        <v>12180</v>
      </c>
    </row>
    <row r="88" spans="1:2" x14ac:dyDescent="0.25">
      <c r="A88" s="2" t="s">
        <v>40</v>
      </c>
      <c r="B88" s="3">
        <v>10900</v>
      </c>
    </row>
    <row r="89" spans="1:2" x14ac:dyDescent="0.25">
      <c r="A89" s="2" t="s">
        <v>41</v>
      </c>
      <c r="B89" s="3">
        <v>8015</v>
      </c>
    </row>
    <row r="90" spans="1:2" x14ac:dyDescent="0.25">
      <c r="A90" s="2" t="s">
        <v>42</v>
      </c>
      <c r="B90" s="3">
        <v>9725</v>
      </c>
    </row>
    <row r="91" spans="1:2" x14ac:dyDescent="0.25">
      <c r="A91" s="2" t="s">
        <v>43</v>
      </c>
      <c r="B91" s="3">
        <v>98771</v>
      </c>
    </row>
    <row r="92" spans="1:2" x14ac:dyDescent="0.25">
      <c r="A92" s="2" t="s">
        <v>44</v>
      </c>
      <c r="B92" s="3">
        <v>-270</v>
      </c>
    </row>
    <row r="93" spans="1:2" x14ac:dyDescent="0.25">
      <c r="B93" s="10">
        <f>SUM(B49:B92)</f>
        <v>737452</v>
      </c>
    </row>
  </sheetData>
  <conditionalFormatting sqref="A1:A45">
    <cfRule type="duplicateValues" dxfId="45" priority="10"/>
    <cfRule type="duplicateValues" dxfId="44" priority="11"/>
    <cfRule type="duplicateValues" dxfId="43" priority="12"/>
    <cfRule type="duplicateValues" dxfId="42" priority="13"/>
  </conditionalFormatting>
  <conditionalFormatting sqref="A2:A45">
    <cfRule type="duplicateValues" dxfId="41" priority="9"/>
  </conditionalFormatting>
  <conditionalFormatting sqref="A45 A1">
    <cfRule type="duplicateValues" dxfId="40" priority="14"/>
  </conditionalFormatting>
  <conditionalFormatting sqref="A48:A92">
    <cfRule type="duplicateValues" dxfId="39" priority="2"/>
    <cfRule type="duplicateValues" dxfId="38" priority="3"/>
    <cfRule type="duplicateValues" dxfId="37" priority="4"/>
    <cfRule type="duplicateValues" dxfId="36" priority="5"/>
  </conditionalFormatting>
  <conditionalFormatting sqref="A49:A92">
    <cfRule type="duplicateValues" dxfId="35" priority="1"/>
  </conditionalFormatting>
  <conditionalFormatting sqref="A92 A48">
    <cfRule type="duplicateValues" dxfId="34" priority="6"/>
  </conditionalFormatting>
  <conditionalFormatting sqref="C33">
    <cfRule type="duplicateValues" dxfId="33" priority="8"/>
  </conditionalFormatting>
  <conditionalFormatting sqref="C44">
    <cfRule type="duplicateValues" dxfId="32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FBEA-B13E-4C63-A2F1-4CD47701B22A}">
  <dimension ref="A1:H47"/>
  <sheetViews>
    <sheetView workbookViewId="0">
      <selection activeCell="E1" sqref="E1"/>
    </sheetView>
  </sheetViews>
  <sheetFormatPr defaultRowHeight="15" x14ac:dyDescent="0.25"/>
  <cols>
    <col min="1" max="1" width="38.7109375" bestFit="1" customWidth="1"/>
    <col min="2" max="3" width="14" bestFit="1" customWidth="1"/>
    <col min="4" max="4" width="10.140625" bestFit="1" customWidth="1"/>
    <col min="5" max="5" width="13.7109375" bestFit="1" customWidth="1"/>
    <col min="6" max="6" width="98.28515625" customWidth="1"/>
    <col min="7" max="7" width="89.140625" customWidth="1"/>
    <col min="8" max="8" width="79.85546875" customWidth="1"/>
  </cols>
  <sheetData>
    <row r="1" spans="1:8" x14ac:dyDescent="0.25">
      <c r="A1" s="12" t="s">
        <v>134</v>
      </c>
      <c r="B1" t="s">
        <v>135</v>
      </c>
      <c r="D1" s="13" t="s">
        <v>136</v>
      </c>
      <c r="E1" s="14" t="s">
        <v>137</v>
      </c>
    </row>
    <row r="2" spans="1:8" ht="108" customHeight="1" x14ac:dyDescent="0.25">
      <c r="A2" s="2" t="s">
        <v>1</v>
      </c>
      <c r="B2" s="15" t="str">
        <f>VLOOKUP(A2,policy!B:C,2,0)</f>
        <v>040000172341</v>
      </c>
      <c r="C2" s="3">
        <v>17250</v>
      </c>
      <c r="D2" s="16">
        <f>ROUND(C2,0)</f>
        <v>17250</v>
      </c>
      <c r="E2" s="14" t="s">
        <v>137</v>
      </c>
      <c r="F2" s="17" t="str">
        <f t="shared" ref="F2:F4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Omair Ali 10-Apr-2025');"</f>
        <v>('09Apr250030','040000172341','17250',(select max(to_number(i.premium_rcv_detail_code))+1
from ins_premium_det i),'17250','17250','02', '11000003','00','Request by Mr. Omair Ali 10-Apr-2025');</v>
      </c>
      <c r="H2" s="19" t="str">
        <f>F2&amp;G2</f>
        <v>insert into ins_premium_det (premium_rcv_code,assorted_code, rec_amount,premium_rcv_detail_code,remaining_amt, payrec, mode_code,coinsurance_code,class_cd,it_remarks) values('09Apr250030','040000172341','17250',(select max(to_number(i.premium_rcv_detail_code))+1
from ins_premium_det i),'17250','17250','02', '11000003','00','Request by Mr. Omair Ali 10-Apr-2025');</v>
      </c>
    </row>
    <row r="3" spans="1:8" ht="105" x14ac:dyDescent="0.25">
      <c r="A3" s="2" t="s">
        <v>2</v>
      </c>
      <c r="B3" s="15" t="str">
        <f>VLOOKUP(A3,policy!B:C,2,0)</f>
        <v>040000174949</v>
      </c>
      <c r="C3" s="3">
        <v>6500</v>
      </c>
      <c r="D3" s="16">
        <f t="shared" ref="D3:D45" si="1">ROUND(C3,0)</f>
        <v>6500</v>
      </c>
      <c r="E3" s="14" t="s">
        <v>137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45" si="2">"('"&amp;E3&amp;"','"&amp;B3&amp;"','"&amp;D3&amp;"',(select max(to_number(i.premium_rcv_detail_code))+1
from ins_premium_det i),'"&amp;D3&amp;"','"&amp;D3&amp;"','02', '11000003','00','Request by Mr. Omair Ali 10-Apr-2025');"</f>
        <v>('09Apr250030','040000174949','6500',(select max(to_number(i.premium_rcv_detail_code))+1
from ins_premium_det i),'6500','6500','02', '11000003','00','Request by Mr. Omair Ali 10-Apr-2025');</v>
      </c>
      <c r="H3" s="19" t="str">
        <f t="shared" ref="H3:H45" si="3">F3&amp;G3</f>
        <v>insert into ins_premium_det (premium_rcv_code,assorted_code, rec_amount,premium_rcv_detail_code,remaining_amt, payrec, mode_code,coinsurance_code,class_cd,it_remarks) values('09Apr250030','040000174949','6500',(select max(to_number(i.premium_rcv_detail_code))+1
from ins_premium_det i),'6500','6500','02', '11000003','00','Request by Mr. Omair Ali 10-Apr-2025');</v>
      </c>
    </row>
    <row r="4" spans="1:8" ht="105" x14ac:dyDescent="0.25">
      <c r="A4" s="2" t="s">
        <v>3</v>
      </c>
      <c r="B4" s="15" t="str">
        <f>VLOOKUP(A4,policy!B:C,2,0)</f>
        <v>040000179305</v>
      </c>
      <c r="C4" s="3">
        <v>14600</v>
      </c>
      <c r="D4" s="16">
        <f t="shared" si="1"/>
        <v>14600</v>
      </c>
      <c r="E4" s="14" t="s">
        <v>137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('09Apr250030','040000179305','14600',(select max(to_number(i.premium_rcv_detail_code))+1
from ins_premium_det i),'14600','14600','02', '11000003','00','Request by Mr. Omair Ali 10-Apr-2025');</v>
      </c>
      <c r="H4" s="19" t="str">
        <f t="shared" si="3"/>
        <v>insert into ins_premium_det (premium_rcv_code,assorted_code, rec_amount,premium_rcv_detail_code,remaining_amt, payrec, mode_code,coinsurance_code,class_cd,it_remarks) values('09Apr250030','040000179305','14600',(select max(to_number(i.premium_rcv_detail_code))+1
from ins_premium_det i),'14600','14600','02', '11000003','00','Request by Mr. Omair Ali 10-Apr-2025');</v>
      </c>
    </row>
    <row r="5" spans="1:8" ht="105" x14ac:dyDescent="0.25">
      <c r="A5" s="2" t="s">
        <v>4</v>
      </c>
      <c r="B5" s="15" t="str">
        <f>VLOOKUP(A5,policy!B:C,2,0)</f>
        <v>040000193824</v>
      </c>
      <c r="C5" s="3">
        <v>38564</v>
      </c>
      <c r="D5" s="16">
        <f t="shared" si="1"/>
        <v>38564</v>
      </c>
      <c r="E5" s="14" t="s">
        <v>137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('09Apr250030','040000193824','38564',(select max(to_number(i.premium_rcv_detail_code))+1
from ins_premium_det i),'38564','38564','02', '11000003','00','Request by Mr. Omair Ali 10-Apr-2025');</v>
      </c>
      <c r="H5" s="19" t="str">
        <f t="shared" si="3"/>
        <v>insert into ins_premium_det (premium_rcv_code,assorted_code, rec_amount,premium_rcv_detail_code,remaining_amt, payrec, mode_code,coinsurance_code,class_cd,it_remarks) values('09Apr250030','040000193824','38564',(select max(to_number(i.premium_rcv_detail_code))+1
from ins_premium_det i),'38564','38564','02', '11000003','00','Request by Mr. Omair Ali 10-Apr-2025');</v>
      </c>
    </row>
    <row r="6" spans="1:8" ht="105" x14ac:dyDescent="0.25">
      <c r="A6" s="2" t="s">
        <v>5</v>
      </c>
      <c r="B6" s="15" t="str">
        <f>VLOOKUP(A6,policy!B:C,2,0)</f>
        <v>040000194108</v>
      </c>
      <c r="C6" s="3">
        <v>42996</v>
      </c>
      <c r="D6" s="16">
        <f t="shared" si="1"/>
        <v>42996</v>
      </c>
      <c r="E6" s="14" t="s">
        <v>137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('09Apr250030','040000194108','42996',(select max(to_number(i.premium_rcv_detail_code))+1
from ins_premium_det i),'42996','42996','02', '11000003','00','Request by Mr. Omair Ali 10-Apr-2025');</v>
      </c>
      <c r="H6" s="19" t="str">
        <f t="shared" si="3"/>
        <v>insert into ins_premium_det (premium_rcv_code,assorted_code, rec_amount,premium_rcv_detail_code,remaining_amt, payrec, mode_code,coinsurance_code,class_cd,it_remarks) values('09Apr250030','040000194108','42996',(select max(to_number(i.premium_rcv_detail_code))+1
from ins_premium_det i),'42996','42996','02', '11000003','00','Request by Mr. Omair Ali 10-Apr-2025');</v>
      </c>
    </row>
    <row r="7" spans="1:8" ht="105" x14ac:dyDescent="0.25">
      <c r="A7" s="2" t="s">
        <v>6</v>
      </c>
      <c r="B7" s="15" t="str">
        <f>VLOOKUP(A7,policy!B:C,2,0)</f>
        <v>040000194826</v>
      </c>
      <c r="C7" s="3">
        <v>53564</v>
      </c>
      <c r="D7" s="16">
        <f t="shared" si="1"/>
        <v>53564</v>
      </c>
      <c r="E7" s="14" t="s">
        <v>137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('09Apr250030','040000194826','53564',(select max(to_number(i.premium_rcv_detail_code))+1
from ins_premium_det i),'53564','53564','02', '11000003','00','Request by Mr. Omair Ali 10-Apr-2025');</v>
      </c>
      <c r="H7" s="19" t="str">
        <f t="shared" si="3"/>
        <v>insert into ins_premium_det (premium_rcv_code,assorted_code, rec_amount,premium_rcv_detail_code,remaining_amt, payrec, mode_code,coinsurance_code,class_cd,it_remarks) values('09Apr250030','040000194826','53564',(select max(to_number(i.premium_rcv_detail_code))+1
from ins_premium_det i),'53564','53564','02', '11000003','00','Request by Mr. Omair Ali 10-Apr-2025');</v>
      </c>
    </row>
    <row r="8" spans="1:8" ht="105" x14ac:dyDescent="0.25">
      <c r="A8" s="2" t="s">
        <v>7</v>
      </c>
      <c r="B8" s="15" t="str">
        <f>VLOOKUP(A8,policy!B:C,2,0)</f>
        <v>040000195275</v>
      </c>
      <c r="C8" s="3">
        <v>19867</v>
      </c>
      <c r="D8" s="16">
        <f t="shared" si="1"/>
        <v>19867</v>
      </c>
      <c r="E8" s="14" t="s">
        <v>137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('09Apr250030','040000195275','19867',(select max(to_number(i.premium_rcv_detail_code))+1
from ins_premium_det i),'19867','19867','02', '11000003','00','Request by Mr. Omair Ali 10-Apr-2025');</v>
      </c>
      <c r="H8" s="19" t="str">
        <f t="shared" si="3"/>
        <v>insert into ins_premium_det (premium_rcv_code,assorted_code, rec_amount,premium_rcv_detail_code,remaining_amt, payrec, mode_code,coinsurance_code,class_cd,it_remarks) values('09Apr250030','040000195275','19867',(select max(to_number(i.premium_rcv_detail_code))+1
from ins_premium_det i),'19867','19867','02', '11000003','00','Request by Mr. Omair Ali 10-Apr-2025');</v>
      </c>
    </row>
    <row r="9" spans="1:8" ht="105" x14ac:dyDescent="0.25">
      <c r="A9" s="2" t="s">
        <v>8</v>
      </c>
      <c r="B9" s="15" t="str">
        <f>VLOOKUP(A9,policy!B:C,2,0)</f>
        <v>040000195370</v>
      </c>
      <c r="C9" s="3">
        <v>2500</v>
      </c>
      <c r="D9" s="16">
        <f t="shared" si="1"/>
        <v>2500</v>
      </c>
      <c r="E9" s="14" t="s">
        <v>137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('09Apr250030','040000195370','2500',(select max(to_number(i.premium_rcv_detail_code))+1
from ins_premium_det i),'2500','2500','02', '11000003','00','Request by Mr. Omair Ali 10-Apr-2025');</v>
      </c>
      <c r="H9" s="19" t="str">
        <f t="shared" si="3"/>
        <v>insert into ins_premium_det (premium_rcv_code,assorted_code, rec_amount,premium_rcv_detail_code,remaining_amt, payrec, mode_code,coinsurance_code,class_cd,it_remarks) values('09Apr250030','040000195370','2500',(select max(to_number(i.premium_rcv_detail_code))+1
from ins_premium_det i),'2500','2500','02', '11000003','00','Request by Mr. Omair Ali 10-Apr-2025');</v>
      </c>
    </row>
    <row r="10" spans="1:8" ht="105" x14ac:dyDescent="0.25">
      <c r="A10" s="2" t="s">
        <v>9</v>
      </c>
      <c r="B10" s="15" t="str">
        <f>VLOOKUP(A10,policy!B:C,2,0)</f>
        <v>040000195415</v>
      </c>
      <c r="C10" s="3">
        <v>8460</v>
      </c>
      <c r="D10" s="16">
        <f t="shared" si="1"/>
        <v>8460</v>
      </c>
      <c r="E10" s="14" t="s">
        <v>137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('09Apr250030','040000195415','8460',(select max(to_number(i.premium_rcv_detail_code))+1
from ins_premium_det i),'8460','8460','02', '11000003','00','Request by Mr. Omair Ali 10-Apr-2025');</v>
      </c>
      <c r="H10" s="19" t="str">
        <f t="shared" si="3"/>
        <v>insert into ins_premium_det (premium_rcv_code,assorted_code, rec_amount,premium_rcv_detail_code,remaining_amt, payrec, mode_code,coinsurance_code,class_cd,it_remarks) values('09Apr250030','040000195415','8460',(select max(to_number(i.premium_rcv_detail_code))+1
from ins_premium_det i),'8460','8460','02', '11000003','00','Request by Mr. Omair Ali 10-Apr-2025');</v>
      </c>
    </row>
    <row r="11" spans="1:8" ht="105" x14ac:dyDescent="0.25">
      <c r="A11" s="2" t="s">
        <v>10</v>
      </c>
      <c r="B11" s="15" t="str">
        <f>VLOOKUP(A11,policy!B:C,2,0)</f>
        <v>040000195425</v>
      </c>
      <c r="C11" s="3">
        <v>22573</v>
      </c>
      <c r="D11" s="16">
        <f t="shared" si="1"/>
        <v>22573</v>
      </c>
      <c r="E11" s="14" t="s">
        <v>137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('09Apr250030','040000195425','22573',(select max(to_number(i.premium_rcv_detail_code))+1
from ins_premium_det i),'22573','22573','02', '11000003','00','Request by Mr. Omair Ali 10-Apr-2025');</v>
      </c>
      <c r="H11" s="19" t="str">
        <f t="shared" si="3"/>
        <v>insert into ins_premium_det (premium_rcv_code,assorted_code, rec_amount,premium_rcv_detail_code,remaining_amt, payrec, mode_code,coinsurance_code,class_cd,it_remarks) values('09Apr250030','040000195425','22573',(select max(to_number(i.premium_rcv_detail_code))+1
from ins_premium_det i),'22573','22573','02', '11000003','00','Request by Mr. Omair Ali 10-Apr-2025');</v>
      </c>
    </row>
    <row r="12" spans="1:8" ht="105" x14ac:dyDescent="0.25">
      <c r="A12" s="2" t="s">
        <v>11</v>
      </c>
      <c r="B12" s="15" t="str">
        <f>VLOOKUP(A12,policy!B:C,2,0)</f>
        <v>040000195481</v>
      </c>
      <c r="C12" s="3">
        <v>12137</v>
      </c>
      <c r="D12" s="16">
        <f t="shared" si="1"/>
        <v>12137</v>
      </c>
      <c r="E12" s="14" t="s">
        <v>137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('09Apr250030','040000195481','12137',(select max(to_number(i.premium_rcv_detail_code))+1
from ins_premium_det i),'12137','12137','02', '11000003','00','Request by Mr. Omair Ali 10-Apr-2025');</v>
      </c>
      <c r="H12" s="19" t="str">
        <f t="shared" si="3"/>
        <v>insert into ins_premium_det (premium_rcv_code,assorted_code, rec_amount,premium_rcv_detail_code,remaining_amt, payrec, mode_code,coinsurance_code,class_cd,it_remarks) values('09Apr250030','040000195481','12137',(select max(to_number(i.premium_rcv_detail_code))+1
from ins_premium_det i),'12137','12137','02', '11000003','00','Request by Mr. Omair Ali 10-Apr-2025');</v>
      </c>
    </row>
    <row r="13" spans="1:8" ht="105" x14ac:dyDescent="0.25">
      <c r="A13" s="2" t="s">
        <v>12</v>
      </c>
      <c r="B13" s="15" t="str">
        <f>VLOOKUP(A13,policy!B:C,2,0)</f>
        <v>040000195569</v>
      </c>
      <c r="C13" s="3">
        <v>14500</v>
      </c>
      <c r="D13" s="16">
        <f t="shared" si="1"/>
        <v>14500</v>
      </c>
      <c r="E13" s="14" t="s">
        <v>137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('09Apr250030','040000195569','14500',(select max(to_number(i.premium_rcv_detail_code))+1
from ins_premium_det i),'14500','14500','02', '11000003','00','Request by Mr. Omair Ali 10-Apr-2025');</v>
      </c>
      <c r="H13" s="19" t="str">
        <f t="shared" si="3"/>
        <v>insert into ins_premium_det (premium_rcv_code,assorted_code, rec_amount,premium_rcv_detail_code,remaining_amt, payrec, mode_code,coinsurance_code,class_cd,it_remarks) values('09Apr250030','040000195569','14500',(select max(to_number(i.premium_rcv_detail_code))+1
from ins_premium_det i),'14500','14500','02', '11000003','00','Request by Mr. Omair Ali 10-Apr-2025');</v>
      </c>
    </row>
    <row r="14" spans="1:8" ht="105" x14ac:dyDescent="0.25">
      <c r="A14" s="2" t="s">
        <v>13</v>
      </c>
      <c r="B14" s="15" t="str">
        <f>VLOOKUP(A14,policy!B:C,2,0)</f>
        <v>040000195603</v>
      </c>
      <c r="C14" s="3">
        <v>25400</v>
      </c>
      <c r="D14" s="16">
        <f t="shared" si="1"/>
        <v>25400</v>
      </c>
      <c r="E14" s="14" t="s">
        <v>137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('09Apr250030','040000195603','25400',(select max(to_number(i.premium_rcv_detail_code))+1
from ins_premium_det i),'25400','25400','02', '11000003','00','Request by Mr. Omair Ali 10-Apr-2025');</v>
      </c>
      <c r="H14" s="19" t="str">
        <f t="shared" si="3"/>
        <v>insert into ins_premium_det (premium_rcv_code,assorted_code, rec_amount,premium_rcv_detail_code,remaining_amt, payrec, mode_code,coinsurance_code,class_cd,it_remarks) values('09Apr250030','040000195603','25400',(select max(to_number(i.premium_rcv_detail_code))+1
from ins_premium_det i),'25400','25400','02', '11000003','00','Request by Mr. Omair Ali 10-Apr-2025');</v>
      </c>
    </row>
    <row r="15" spans="1:8" ht="105" x14ac:dyDescent="0.25">
      <c r="A15" s="2" t="s">
        <v>14</v>
      </c>
      <c r="B15" s="15" t="str">
        <f>VLOOKUP(A15,policy!B:C,2,0)</f>
        <v>040000195643</v>
      </c>
      <c r="C15" s="3">
        <v>185</v>
      </c>
      <c r="D15" s="16">
        <f t="shared" si="1"/>
        <v>185</v>
      </c>
      <c r="E15" s="14" t="s">
        <v>137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('09Apr250030','040000195643','185',(select max(to_number(i.premium_rcv_detail_code))+1
from ins_premium_det i),'185','185','02', '11000003','00','Request by Mr. Omair Ali 10-Apr-2025');</v>
      </c>
      <c r="H15" s="19" t="str">
        <f t="shared" si="3"/>
        <v>insert into ins_premium_det (premium_rcv_code,assorted_code, rec_amount,premium_rcv_detail_code,remaining_amt, payrec, mode_code,coinsurance_code,class_cd,it_remarks) values('09Apr250030','040000195643','185',(select max(to_number(i.premium_rcv_detail_code))+1
from ins_premium_det i),'185','185','02', '11000003','00','Request by Mr. Omair Ali 10-Apr-2025');</v>
      </c>
    </row>
    <row r="16" spans="1:8" ht="105" x14ac:dyDescent="0.25">
      <c r="A16" s="2" t="s">
        <v>15</v>
      </c>
      <c r="B16" s="15" t="str">
        <f>VLOOKUP(A16,policy!B:C,2,0)</f>
        <v>040000195645</v>
      </c>
      <c r="C16" s="3">
        <v>10</v>
      </c>
      <c r="D16" s="16">
        <f t="shared" si="1"/>
        <v>10</v>
      </c>
      <c r="E16" s="14" t="s">
        <v>137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('09Apr250030','040000195645','10',(select max(to_number(i.premium_rcv_detail_code))+1
from ins_premium_det i),'10','10','02', '11000003','00','Request by Mr. Omair Ali 10-Apr-2025');</v>
      </c>
      <c r="H16" s="19" t="str">
        <f t="shared" si="3"/>
        <v>insert into ins_premium_det (premium_rcv_code,assorted_code, rec_amount,premium_rcv_detail_code,remaining_amt, payrec, mode_code,coinsurance_code,class_cd,it_remarks) values('09Apr250030','040000195645','10',(select max(to_number(i.premium_rcv_detail_code))+1
from ins_premium_det i),'10','10','02', '11000003','00','Request by Mr. Omair Ali 10-Apr-2025');</v>
      </c>
    </row>
    <row r="17" spans="1:8" ht="105" x14ac:dyDescent="0.25">
      <c r="A17" s="2" t="s">
        <v>16</v>
      </c>
      <c r="B17" s="15" t="str">
        <f>VLOOKUP(A17,policy!B:C,2,0)</f>
        <v>040000195713</v>
      </c>
      <c r="C17" s="3">
        <v>1</v>
      </c>
      <c r="D17" s="16">
        <f t="shared" si="1"/>
        <v>1</v>
      </c>
      <c r="E17" s="14" t="s">
        <v>137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('09Apr250030','040000195713','1',(select max(to_number(i.premium_rcv_detail_code))+1
from ins_premium_det i),'1','1','02', '11000003','00','Request by Mr. Omair Ali 10-Apr-2025');</v>
      </c>
      <c r="H17" s="19" t="str">
        <f t="shared" si="3"/>
        <v>insert into ins_premium_det (premium_rcv_code,assorted_code, rec_amount,premium_rcv_detail_code,remaining_amt, payrec, mode_code,coinsurance_code,class_cd,it_remarks) values('09Apr250030','040000195713','1',(select max(to_number(i.premium_rcv_detail_code))+1
from ins_premium_det i),'1','1','02', '11000003','00','Request by Mr. Omair Ali 10-Apr-2025');</v>
      </c>
    </row>
    <row r="18" spans="1:8" ht="105" x14ac:dyDescent="0.25">
      <c r="A18" s="2" t="s">
        <v>17</v>
      </c>
      <c r="B18" s="15" t="str">
        <f>VLOOKUP(A18,policy!B:C,2,0)</f>
        <v>040000195792</v>
      </c>
      <c r="C18" s="3">
        <v>15624</v>
      </c>
      <c r="D18" s="16">
        <f t="shared" si="1"/>
        <v>15624</v>
      </c>
      <c r="E18" s="14" t="s">
        <v>137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('09Apr250030','040000195792','15624',(select max(to_number(i.premium_rcv_detail_code))+1
from ins_premium_det i),'15624','15624','02', '11000003','00','Request by Mr. Omair Ali 10-Apr-2025');</v>
      </c>
      <c r="H18" s="19" t="str">
        <f t="shared" si="3"/>
        <v>insert into ins_premium_det (premium_rcv_code,assorted_code, rec_amount,premium_rcv_detail_code,remaining_amt, payrec, mode_code,coinsurance_code,class_cd,it_remarks) values('09Apr250030','040000195792','15624',(select max(to_number(i.premium_rcv_detail_code))+1
from ins_premium_det i),'15624','15624','02', '11000003','00','Request by Mr. Omair Ali 10-Apr-2025');</v>
      </c>
    </row>
    <row r="19" spans="1:8" ht="105" x14ac:dyDescent="0.25">
      <c r="A19" s="2" t="s">
        <v>18</v>
      </c>
      <c r="B19" s="15" t="str">
        <f>VLOOKUP(A19,policy!B:C,2,0)</f>
        <v>040000195896</v>
      </c>
      <c r="C19" s="3">
        <v>19170</v>
      </c>
      <c r="D19" s="16">
        <f t="shared" si="1"/>
        <v>19170</v>
      </c>
      <c r="E19" s="14" t="s">
        <v>137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('09Apr250030','040000195896','19170',(select max(to_number(i.premium_rcv_detail_code))+1
from ins_premium_det i),'19170','19170','02', '11000003','00','Request by Mr. Omair Ali 10-Apr-2025');</v>
      </c>
      <c r="H19" s="19" t="str">
        <f t="shared" si="3"/>
        <v>insert into ins_premium_det (premium_rcv_code,assorted_code, rec_amount,premium_rcv_detail_code,remaining_amt, payrec, mode_code,coinsurance_code,class_cd,it_remarks) values('09Apr250030','040000195896','19170',(select max(to_number(i.premium_rcv_detail_code))+1
from ins_premium_det i),'19170','19170','02', '11000003','00','Request by Mr. Omair Ali 10-Apr-2025');</v>
      </c>
    </row>
    <row r="20" spans="1:8" ht="105" x14ac:dyDescent="0.25">
      <c r="A20" s="2" t="s">
        <v>19</v>
      </c>
      <c r="B20" s="15" t="str">
        <f>VLOOKUP(A20,policy!B:C,2,0)</f>
        <v>040000195931</v>
      </c>
      <c r="C20" s="3">
        <v>10764</v>
      </c>
      <c r="D20" s="16">
        <f t="shared" si="1"/>
        <v>10764</v>
      </c>
      <c r="E20" s="14" t="s">
        <v>137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('09Apr250030','040000195931','10764',(select max(to_number(i.premium_rcv_detail_code))+1
from ins_premium_det i),'10764','10764','02', '11000003','00','Request by Mr. Omair Ali 10-Apr-2025');</v>
      </c>
      <c r="H20" s="19" t="str">
        <f t="shared" si="3"/>
        <v>insert into ins_premium_det (premium_rcv_code,assorted_code, rec_amount,premium_rcv_detail_code,remaining_amt, payrec, mode_code,coinsurance_code,class_cd,it_remarks) values('09Apr250030','040000195931','10764',(select max(to_number(i.premium_rcv_detail_code))+1
from ins_premium_det i),'10764','10764','02', '11000003','00','Request by Mr. Omair Ali 10-Apr-2025');</v>
      </c>
    </row>
    <row r="21" spans="1:8" ht="105" x14ac:dyDescent="0.25">
      <c r="A21" s="2" t="s">
        <v>20</v>
      </c>
      <c r="B21" s="15" t="str">
        <f>VLOOKUP(A21,policy!B:C,2,0)</f>
        <v>040000195934</v>
      </c>
      <c r="C21" s="3">
        <v>10764</v>
      </c>
      <c r="D21" s="16">
        <f t="shared" si="1"/>
        <v>10764</v>
      </c>
      <c r="E21" s="14" t="s">
        <v>137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('09Apr250030','040000195934','10764',(select max(to_number(i.premium_rcv_detail_code))+1
from ins_premium_det i),'10764','10764','02', '11000003','00','Request by Mr. Omair Ali 10-Apr-2025');</v>
      </c>
      <c r="H21" s="19" t="str">
        <f t="shared" si="3"/>
        <v>insert into ins_premium_det (premium_rcv_code,assorted_code, rec_amount,premium_rcv_detail_code,remaining_amt, payrec, mode_code,coinsurance_code,class_cd,it_remarks) values('09Apr250030','040000195934','10764',(select max(to_number(i.premium_rcv_detail_code))+1
from ins_premium_det i),'10764','10764','02', '11000003','00','Request by Mr. Omair Ali 10-Apr-2025');</v>
      </c>
    </row>
    <row r="22" spans="1:8" ht="105" x14ac:dyDescent="0.25">
      <c r="A22" s="2" t="s">
        <v>21</v>
      </c>
      <c r="B22" s="15" t="str">
        <f>VLOOKUP(A22,policy!B:C,2,0)</f>
        <v>040000195935</v>
      </c>
      <c r="C22" s="3">
        <v>28200</v>
      </c>
      <c r="D22" s="16">
        <f t="shared" si="1"/>
        <v>28200</v>
      </c>
      <c r="E22" s="14" t="s">
        <v>137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('09Apr250030','040000195935','28200',(select max(to_number(i.premium_rcv_detail_code))+1
from ins_premium_det i),'28200','28200','02', '11000003','00','Request by Mr. Omair Ali 10-Apr-2025');</v>
      </c>
      <c r="H22" s="19" t="str">
        <f t="shared" si="3"/>
        <v>insert into ins_premium_det (premium_rcv_code,assorted_code, rec_amount,premium_rcv_detail_code,remaining_amt, payrec, mode_code,coinsurance_code,class_cd,it_remarks) values('09Apr250030','040000195935','28200',(select max(to_number(i.premium_rcv_detail_code))+1
from ins_premium_det i),'28200','28200','02', '11000003','00','Request by Mr. Omair Ali 10-Apr-2025');</v>
      </c>
    </row>
    <row r="23" spans="1:8" ht="105" x14ac:dyDescent="0.25">
      <c r="A23" s="2" t="s">
        <v>22</v>
      </c>
      <c r="B23" s="15" t="str">
        <f>VLOOKUP(A23,policy!B:C,2,0)</f>
        <v>040000195938</v>
      </c>
      <c r="C23" s="3">
        <v>16994</v>
      </c>
      <c r="D23" s="16">
        <f t="shared" si="1"/>
        <v>16994</v>
      </c>
      <c r="E23" s="14" t="s">
        <v>137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('09Apr250030','040000195938','16994',(select max(to_number(i.premium_rcv_detail_code))+1
from ins_premium_det i),'16994','16994','02', '11000003','00','Request by Mr. Omair Ali 10-Apr-2025');</v>
      </c>
      <c r="H23" s="19" t="str">
        <f t="shared" si="3"/>
        <v>insert into ins_premium_det (premium_rcv_code,assorted_code, rec_amount,premium_rcv_detail_code,remaining_amt, payrec, mode_code,coinsurance_code,class_cd,it_remarks) values('09Apr250030','040000195938','16994',(select max(to_number(i.premium_rcv_detail_code))+1
from ins_premium_det i),'16994','16994','02', '11000003','00','Request by Mr. Omair Ali 10-Apr-2025');</v>
      </c>
    </row>
    <row r="24" spans="1:8" ht="105" x14ac:dyDescent="0.25">
      <c r="A24" s="2" t="s">
        <v>23</v>
      </c>
      <c r="B24" s="15" t="str">
        <f>VLOOKUP(A24,policy!B:C,2,0)</f>
        <v>040000195939</v>
      </c>
      <c r="C24" s="3">
        <v>7500</v>
      </c>
      <c r="D24" s="16">
        <f t="shared" si="1"/>
        <v>7500</v>
      </c>
      <c r="E24" s="14" t="s">
        <v>137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('09Apr250030','040000195939','7500',(select max(to_number(i.premium_rcv_detail_code))+1
from ins_premium_det i),'7500','7500','02', '11000003','00','Request by Mr. Omair Ali 10-Apr-2025');</v>
      </c>
      <c r="H24" s="19" t="str">
        <f t="shared" si="3"/>
        <v>insert into ins_premium_det (premium_rcv_code,assorted_code, rec_amount,premium_rcv_detail_code,remaining_amt, payrec, mode_code,coinsurance_code,class_cd,it_remarks) values('09Apr250030','040000195939','7500',(select max(to_number(i.premium_rcv_detail_code))+1
from ins_premium_det i),'7500','7500','02', '11000003','00','Request by Mr. Omair Ali 10-Apr-2025');</v>
      </c>
    </row>
    <row r="25" spans="1:8" ht="105" x14ac:dyDescent="0.25">
      <c r="A25" s="2" t="s">
        <v>24</v>
      </c>
      <c r="B25" s="15" t="str">
        <f>VLOOKUP(A25,policy!B:C,2,0)</f>
        <v>040000195963</v>
      </c>
      <c r="C25" s="3">
        <v>1</v>
      </c>
      <c r="D25" s="16">
        <f t="shared" si="1"/>
        <v>1</v>
      </c>
      <c r="E25" s="14" t="s">
        <v>137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('09Apr250030','040000195963','1',(select max(to_number(i.premium_rcv_detail_code))+1
from ins_premium_det i),'1','1','02', '11000003','00','Request by Mr. Omair Ali 10-Apr-2025');</v>
      </c>
      <c r="H25" s="19" t="str">
        <f t="shared" si="3"/>
        <v>insert into ins_premium_det (premium_rcv_code,assorted_code, rec_amount,premium_rcv_detail_code,remaining_amt, payrec, mode_code,coinsurance_code,class_cd,it_remarks) values('09Apr250030','040000195963','1',(select max(to_number(i.premium_rcv_detail_code))+1
from ins_premium_det i),'1','1','02', '11000003','00','Request by Mr. Omair Ali 10-Apr-2025');</v>
      </c>
    </row>
    <row r="26" spans="1:8" ht="105" x14ac:dyDescent="0.25">
      <c r="A26" s="2" t="s">
        <v>25</v>
      </c>
      <c r="B26" s="15" t="str">
        <f>VLOOKUP(A26,policy!B:C,2,0)</f>
        <v>040000196058</v>
      </c>
      <c r="C26" s="3">
        <v>8</v>
      </c>
      <c r="D26" s="16">
        <f t="shared" si="1"/>
        <v>8</v>
      </c>
      <c r="E26" s="14" t="s">
        <v>137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('09Apr250030','040000196058','8',(select max(to_number(i.premium_rcv_detail_code))+1
from ins_premium_det i),'8','8','02', '11000003','00','Request by Mr. Omair Ali 10-Apr-2025');</v>
      </c>
      <c r="H26" s="19" t="str">
        <f t="shared" si="3"/>
        <v>insert into ins_premium_det (premium_rcv_code,assorted_code, rec_amount,premium_rcv_detail_code,remaining_amt, payrec, mode_code,coinsurance_code,class_cd,it_remarks) values('09Apr250030','040000196058','8',(select max(to_number(i.premium_rcv_detail_code))+1
from ins_premium_det i),'8','8','02', '11000003','00','Request by Mr. Omair Ali 10-Apr-2025');</v>
      </c>
    </row>
    <row r="27" spans="1:8" ht="105" x14ac:dyDescent="0.25">
      <c r="A27" s="2" t="s">
        <v>26</v>
      </c>
      <c r="B27" s="15" t="str">
        <f>VLOOKUP(A27,policy!B:C,2,0)</f>
        <v>040000196125</v>
      </c>
      <c r="C27" s="3">
        <v>5</v>
      </c>
      <c r="D27" s="16">
        <f t="shared" si="1"/>
        <v>5</v>
      </c>
      <c r="E27" s="14" t="s">
        <v>137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('09Apr250030','040000196125','5',(select max(to_number(i.premium_rcv_detail_code))+1
from ins_premium_det i),'5','5','02', '11000003','00','Request by Mr. Omair Ali 10-Apr-2025');</v>
      </c>
      <c r="H27" s="19" t="str">
        <f t="shared" si="3"/>
        <v>insert into ins_premium_det (premium_rcv_code,assorted_code, rec_amount,premium_rcv_detail_code,remaining_amt, payrec, mode_code,coinsurance_code,class_cd,it_remarks) values('09Apr250030','040000196125','5',(select max(to_number(i.premium_rcv_detail_code))+1
from ins_premium_det i),'5','5','02', '11000003','00','Request by Mr. Omair Ali 10-Apr-2025');</v>
      </c>
    </row>
    <row r="28" spans="1:8" ht="105" x14ac:dyDescent="0.25">
      <c r="A28" s="2" t="s">
        <v>27</v>
      </c>
      <c r="B28" s="15" t="str">
        <f>VLOOKUP(A28,policy!B:C,2,0)</f>
        <v>040000196155</v>
      </c>
      <c r="C28" s="3">
        <v>49970</v>
      </c>
      <c r="D28" s="16">
        <f t="shared" si="1"/>
        <v>49970</v>
      </c>
      <c r="E28" s="14" t="s">
        <v>137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('09Apr250030','040000196155','49970',(select max(to_number(i.premium_rcv_detail_code))+1
from ins_premium_det i),'49970','49970','02', '11000003','00','Request by Mr. Omair Ali 10-Apr-2025');</v>
      </c>
      <c r="H28" s="19" t="str">
        <f t="shared" si="3"/>
        <v>insert into ins_premium_det (premium_rcv_code,assorted_code, rec_amount,premium_rcv_detail_code,remaining_amt, payrec, mode_code,coinsurance_code,class_cd,it_remarks) values('09Apr250030','040000196155','49970',(select max(to_number(i.premium_rcv_detail_code))+1
from ins_premium_det i),'49970','49970','02', '11000003','00','Request by Mr. Omair Ali 10-Apr-2025');</v>
      </c>
    </row>
    <row r="29" spans="1:8" ht="105" x14ac:dyDescent="0.25">
      <c r="A29" s="2" t="s">
        <v>28</v>
      </c>
      <c r="B29" s="15" t="str">
        <f>VLOOKUP(A29,policy!B:C,2,0)</f>
        <v>040000196228</v>
      </c>
      <c r="C29" s="3">
        <v>13439</v>
      </c>
      <c r="D29" s="16">
        <f t="shared" si="1"/>
        <v>13439</v>
      </c>
      <c r="E29" s="14" t="s">
        <v>137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('09Apr250030','040000196228','13439',(select max(to_number(i.premium_rcv_detail_code))+1
from ins_premium_det i),'13439','13439','02', '11000003','00','Request by Mr. Omair Ali 10-Apr-2025');</v>
      </c>
      <c r="H29" s="19" t="str">
        <f t="shared" si="3"/>
        <v>insert into ins_premium_det (premium_rcv_code,assorted_code, rec_amount,premium_rcv_detail_code,remaining_amt, payrec, mode_code,coinsurance_code,class_cd,it_remarks) values('09Apr250030','040000196228','13439',(select max(to_number(i.premium_rcv_detail_code))+1
from ins_premium_det i),'13439','13439','02', '11000003','00','Request by Mr. Omair Ali 10-Apr-2025');</v>
      </c>
    </row>
    <row r="30" spans="1:8" ht="105" x14ac:dyDescent="0.25">
      <c r="A30" s="2" t="s">
        <v>29</v>
      </c>
      <c r="B30" s="15" t="str">
        <f>VLOOKUP(A30,policy!B:C,2,0)</f>
        <v>040000196524</v>
      </c>
      <c r="C30" s="3">
        <v>42613</v>
      </c>
      <c r="D30" s="16">
        <f t="shared" si="1"/>
        <v>42613</v>
      </c>
      <c r="E30" s="14" t="s">
        <v>137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('09Apr250030','040000196524','42613',(select max(to_number(i.premium_rcv_detail_code))+1
from ins_premium_det i),'42613','42613','02', '11000003','00','Request by Mr. Omair Ali 10-Apr-2025');</v>
      </c>
      <c r="H30" s="19" t="str">
        <f t="shared" si="3"/>
        <v>insert into ins_premium_det (premium_rcv_code,assorted_code, rec_amount,premium_rcv_detail_code,remaining_amt, payrec, mode_code,coinsurance_code,class_cd,it_remarks) values('09Apr250030','040000196524','42613',(select max(to_number(i.premium_rcv_detail_code))+1
from ins_premium_det i),'42613','42613','02', '11000003','00','Request by Mr. Omair Ali 10-Apr-2025');</v>
      </c>
    </row>
    <row r="31" spans="1:8" ht="105" x14ac:dyDescent="0.25">
      <c r="A31" s="2" t="s">
        <v>30</v>
      </c>
      <c r="B31" s="15" t="str">
        <f>VLOOKUP(A31,policy!B:C,2,0)</f>
        <v>040000196532</v>
      </c>
      <c r="C31" s="3">
        <v>9868</v>
      </c>
      <c r="D31" s="16">
        <f t="shared" si="1"/>
        <v>9868</v>
      </c>
      <c r="E31" s="14" t="s">
        <v>137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('09Apr250030','040000196532','9868',(select max(to_number(i.premium_rcv_detail_code))+1
from ins_premium_det i),'9868','9868','02', '11000003','00','Request by Mr. Omair Ali 10-Apr-2025');</v>
      </c>
      <c r="H31" s="19" t="str">
        <f t="shared" si="3"/>
        <v>insert into ins_premium_det (premium_rcv_code,assorted_code, rec_amount,premium_rcv_detail_code,remaining_amt, payrec, mode_code,coinsurance_code,class_cd,it_remarks) values('09Apr250030','040000196532','9868',(select max(to_number(i.premium_rcv_detail_code))+1
from ins_premium_det i),'9868','9868','02', '11000003','00','Request by Mr. Omair Ali 10-Apr-2025');</v>
      </c>
    </row>
    <row r="32" spans="1:8" ht="105" x14ac:dyDescent="0.25">
      <c r="A32" s="2" t="s">
        <v>31</v>
      </c>
      <c r="B32" s="15" t="str">
        <f>VLOOKUP(A32,policy!B:C,2,0)</f>
        <v>040000196534</v>
      </c>
      <c r="C32" s="3">
        <v>12152</v>
      </c>
      <c r="D32" s="16">
        <f t="shared" si="1"/>
        <v>12152</v>
      </c>
      <c r="E32" s="14" t="s">
        <v>137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('09Apr250030','040000196534','12152',(select max(to_number(i.premium_rcv_detail_code))+1
from ins_premium_det i),'12152','12152','02', '11000003','00','Request by Mr. Omair Ali 10-Apr-2025');</v>
      </c>
      <c r="H32" s="19" t="str">
        <f t="shared" si="3"/>
        <v>insert into ins_premium_det (premium_rcv_code,assorted_code, rec_amount,premium_rcv_detail_code,remaining_amt, payrec, mode_code,coinsurance_code,class_cd,it_remarks) values('09Apr250030','040000196534','12152',(select max(to_number(i.premium_rcv_detail_code))+1
from ins_premium_det i),'12152','12152','02', '11000003','00','Request by Mr. Omair Ali 10-Apr-2025');</v>
      </c>
    </row>
    <row r="33" spans="1:8" ht="105" x14ac:dyDescent="0.25">
      <c r="A33" s="2" t="s">
        <v>32</v>
      </c>
      <c r="B33" s="15" t="str">
        <f>VLOOKUP(A33,policy!B:C,2,0)</f>
        <v>040000196630</v>
      </c>
      <c r="C33" s="3">
        <v>6824</v>
      </c>
      <c r="D33" s="16">
        <f t="shared" si="1"/>
        <v>6824</v>
      </c>
      <c r="E33" s="14" t="s">
        <v>137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('09Apr250030','040000196630','6824',(select max(to_number(i.premium_rcv_detail_code))+1
from ins_premium_det i),'6824','6824','02', '11000003','00','Request by Mr. Omair Ali 10-Apr-2025');</v>
      </c>
      <c r="H33" s="19" t="str">
        <f t="shared" si="3"/>
        <v>insert into ins_premium_det (premium_rcv_code,assorted_code, rec_amount,premium_rcv_detail_code,remaining_amt, payrec, mode_code,coinsurance_code,class_cd,it_remarks) values('09Apr250030','040000196630','6824',(select max(to_number(i.premium_rcv_detail_code))+1
from ins_premium_det i),'6824','6824','02', '11000003','00','Request by Mr. Omair Ali 10-Apr-2025');</v>
      </c>
    </row>
    <row r="34" spans="1:8" ht="105" x14ac:dyDescent="0.25">
      <c r="A34" s="2" t="s">
        <v>33</v>
      </c>
      <c r="B34" s="15" t="str">
        <f>VLOOKUP(A34,policy!B:C,2,0)</f>
        <v>040000196645</v>
      </c>
      <c r="C34" s="3">
        <v>4848</v>
      </c>
      <c r="D34" s="16">
        <f t="shared" si="1"/>
        <v>4848</v>
      </c>
      <c r="E34" s="14" t="s">
        <v>137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('09Apr250030','040000196645','4848',(select max(to_number(i.premium_rcv_detail_code))+1
from ins_premium_det i),'4848','4848','02', '11000003','00','Request by Mr. Omair Ali 10-Apr-2025');</v>
      </c>
      <c r="H34" s="19" t="str">
        <f t="shared" si="3"/>
        <v>insert into ins_premium_det (premium_rcv_code,assorted_code, rec_amount,premium_rcv_detail_code,remaining_amt, payrec, mode_code,coinsurance_code,class_cd,it_remarks) values('09Apr250030','040000196645','4848',(select max(to_number(i.premium_rcv_detail_code))+1
from ins_premium_det i),'4848','4848','02', '11000003','00','Request by Mr. Omair Ali 10-Apr-2025');</v>
      </c>
    </row>
    <row r="35" spans="1:8" ht="105" x14ac:dyDescent="0.25">
      <c r="A35" s="2" t="s">
        <v>34</v>
      </c>
      <c r="B35" s="15" t="str">
        <f>VLOOKUP(A35,policy!B:C,2,0)</f>
        <v>040000196646</v>
      </c>
      <c r="C35" s="3">
        <v>13591</v>
      </c>
      <c r="D35" s="16">
        <f t="shared" si="1"/>
        <v>13591</v>
      </c>
      <c r="E35" s="14" t="s">
        <v>137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('09Apr250030','040000196646','13591',(select max(to_number(i.premium_rcv_detail_code))+1
from ins_premium_det i),'13591','13591','02', '11000003','00','Request by Mr. Omair Ali 10-Apr-2025');</v>
      </c>
      <c r="H35" s="19" t="str">
        <f t="shared" si="3"/>
        <v>insert into ins_premium_det (premium_rcv_code,assorted_code, rec_amount,premium_rcv_detail_code,remaining_amt, payrec, mode_code,coinsurance_code,class_cd,it_remarks) values('09Apr250030','040000196646','13591',(select max(to_number(i.premium_rcv_detail_code))+1
from ins_premium_det i),'13591','13591','02', '11000003','00','Request by Mr. Omair Ali 10-Apr-2025');</v>
      </c>
    </row>
    <row r="36" spans="1:8" ht="105" x14ac:dyDescent="0.25">
      <c r="A36" s="2" t="s">
        <v>35</v>
      </c>
      <c r="B36" s="15" t="str">
        <f>VLOOKUP(A36,policy!B:C,2,0)</f>
        <v>040000196749</v>
      </c>
      <c r="C36" s="3">
        <v>19103</v>
      </c>
      <c r="D36" s="16">
        <f t="shared" si="1"/>
        <v>19103</v>
      </c>
      <c r="E36" s="14" t="s">
        <v>137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('09Apr250030','040000196749','19103',(select max(to_number(i.premium_rcv_detail_code))+1
from ins_premium_det i),'19103','19103','02', '11000003','00','Request by Mr. Omair Ali 10-Apr-2025');</v>
      </c>
      <c r="H36" s="19" t="str">
        <f t="shared" si="3"/>
        <v>insert into ins_premium_det (premium_rcv_code,assorted_code, rec_amount,premium_rcv_detail_code,remaining_amt, payrec, mode_code,coinsurance_code,class_cd,it_remarks) values('09Apr250030','040000196749','19103',(select max(to_number(i.premium_rcv_detail_code))+1
from ins_premium_det i),'19103','19103','02', '11000003','00','Request by Mr. Omair Ali 10-Apr-2025');</v>
      </c>
    </row>
    <row r="37" spans="1:8" ht="105" x14ac:dyDescent="0.25">
      <c r="A37" s="2" t="s">
        <v>36</v>
      </c>
      <c r="B37" s="15" t="str">
        <f>VLOOKUP(A37,policy!B:C,2,0)</f>
        <v>040000196807</v>
      </c>
      <c r="C37" s="3">
        <v>16012</v>
      </c>
      <c r="D37" s="16">
        <f t="shared" si="1"/>
        <v>16012</v>
      </c>
      <c r="E37" s="14" t="s">
        <v>137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('09Apr250030','040000196807','16012',(select max(to_number(i.premium_rcv_detail_code))+1
from ins_premium_det i),'16012','16012','02', '11000003','00','Request by Mr. Omair Ali 10-Apr-2025');</v>
      </c>
      <c r="H37" s="19" t="str">
        <f t="shared" si="3"/>
        <v>insert into ins_premium_det (premium_rcv_code,assorted_code, rec_amount,premium_rcv_detail_code,remaining_amt, payrec, mode_code,coinsurance_code,class_cd,it_remarks) values('09Apr250030','040000196807','16012',(select max(to_number(i.premium_rcv_detail_code))+1
from ins_premium_det i),'16012','16012','02', '11000003','00','Request by Mr. Omair Ali 10-Apr-2025');</v>
      </c>
    </row>
    <row r="38" spans="1:8" ht="105" x14ac:dyDescent="0.25">
      <c r="A38" s="2" t="s">
        <v>37</v>
      </c>
      <c r="B38" s="15" t="str">
        <f>VLOOKUP(A38,policy!B:C,2,0)</f>
        <v>040000196817</v>
      </c>
      <c r="C38" s="3">
        <v>12124</v>
      </c>
      <c r="D38" s="16">
        <f t="shared" si="1"/>
        <v>12124</v>
      </c>
      <c r="E38" s="14" t="s">
        <v>137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('09Apr250030','040000196817','12124',(select max(to_number(i.premium_rcv_detail_code))+1
from ins_premium_det i),'12124','12124','02', '11000003','00','Request by Mr. Omair Ali 10-Apr-2025');</v>
      </c>
      <c r="H38" s="19" t="str">
        <f t="shared" si="3"/>
        <v>insert into ins_premium_det (premium_rcv_code,assorted_code, rec_amount,premium_rcv_detail_code,remaining_amt, payrec, mode_code,coinsurance_code,class_cd,it_remarks) values('09Apr250030','040000196817','12124',(select max(to_number(i.premium_rcv_detail_code))+1
from ins_premium_det i),'12124','12124','02', '11000003','00','Request by Mr. Omair Ali 10-Apr-2025');</v>
      </c>
    </row>
    <row r="39" spans="1:8" ht="105" x14ac:dyDescent="0.25">
      <c r="A39" s="2" t="s">
        <v>38</v>
      </c>
      <c r="B39" s="15" t="str">
        <f>VLOOKUP(A39,policy!B:C,2,0)</f>
        <v>040000196826</v>
      </c>
      <c r="C39" s="3">
        <v>9450</v>
      </c>
      <c r="D39" s="16">
        <f t="shared" si="1"/>
        <v>9450</v>
      </c>
      <c r="E39" s="14" t="s">
        <v>137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('09Apr250030','040000196826','9450',(select max(to_number(i.premium_rcv_detail_code))+1
from ins_premium_det i),'9450','9450','02', '11000003','00','Request by Mr. Omair Ali 10-Apr-2025');</v>
      </c>
      <c r="H39" s="19" t="str">
        <f t="shared" si="3"/>
        <v>insert into ins_premium_det (premium_rcv_code,assorted_code, rec_amount,premium_rcv_detail_code,remaining_amt, payrec, mode_code,coinsurance_code,class_cd,it_remarks) values('09Apr250030','040000196826','9450',(select max(to_number(i.premium_rcv_detail_code))+1
from ins_premium_det i),'9450','9450','02', '11000003','00','Request by Mr. Omair Ali 10-Apr-2025');</v>
      </c>
    </row>
    <row r="40" spans="1:8" ht="105" x14ac:dyDescent="0.25">
      <c r="A40" s="2" t="s">
        <v>39</v>
      </c>
      <c r="B40" s="15" t="str">
        <f>VLOOKUP(A40,policy!B:C,2,0)</f>
        <v>040000196827</v>
      </c>
      <c r="C40" s="3">
        <v>12180</v>
      </c>
      <c r="D40" s="16">
        <f t="shared" si="1"/>
        <v>12180</v>
      </c>
      <c r="E40" s="14" t="s">
        <v>137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('09Apr250030','040000196827','12180',(select max(to_number(i.premium_rcv_detail_code))+1
from ins_premium_det i),'12180','12180','02', '11000003','00','Request by Mr. Omair Ali 10-Apr-2025');</v>
      </c>
      <c r="H40" s="19" t="str">
        <f t="shared" si="3"/>
        <v>insert into ins_premium_det (premium_rcv_code,assorted_code, rec_amount,premium_rcv_detail_code,remaining_amt, payrec, mode_code,coinsurance_code,class_cd,it_remarks) values('09Apr250030','040000196827','12180',(select max(to_number(i.premium_rcv_detail_code))+1
from ins_premium_det i),'12180','12180','02', '11000003','00','Request by Mr. Omair Ali 10-Apr-2025');</v>
      </c>
    </row>
    <row r="41" spans="1:8" ht="105" x14ac:dyDescent="0.25">
      <c r="A41" s="2" t="s">
        <v>40</v>
      </c>
      <c r="B41" s="15" t="str">
        <f>VLOOKUP(A41,policy!B:C,2,0)</f>
        <v>040000196960</v>
      </c>
      <c r="C41" s="3">
        <v>10900</v>
      </c>
      <c r="D41" s="16">
        <f t="shared" si="1"/>
        <v>10900</v>
      </c>
      <c r="E41" s="14" t="s">
        <v>137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('09Apr250030','040000196960','10900',(select max(to_number(i.premium_rcv_detail_code))+1
from ins_premium_det i),'10900','10900','02', '11000003','00','Request by Mr. Omair Ali 10-Apr-2025');</v>
      </c>
      <c r="H41" s="19" t="str">
        <f t="shared" si="3"/>
        <v>insert into ins_premium_det (premium_rcv_code,assorted_code, rec_amount,premium_rcv_detail_code,remaining_amt, payrec, mode_code,coinsurance_code,class_cd,it_remarks) values('09Apr250030','040000196960','10900',(select max(to_number(i.premium_rcv_detail_code))+1
from ins_premium_det i),'10900','10900','02', '11000003','00','Request by Mr. Omair Ali 10-Apr-2025');</v>
      </c>
    </row>
    <row r="42" spans="1:8" ht="105" x14ac:dyDescent="0.25">
      <c r="A42" s="2" t="s">
        <v>41</v>
      </c>
      <c r="B42" s="15" t="str">
        <f>VLOOKUP(A42,policy!B:C,2,0)</f>
        <v>040000197069</v>
      </c>
      <c r="C42" s="3">
        <v>8015</v>
      </c>
      <c r="D42" s="16">
        <f t="shared" si="1"/>
        <v>8015</v>
      </c>
      <c r="E42" s="14" t="s">
        <v>137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('09Apr250030','040000197069','8015',(select max(to_number(i.premium_rcv_detail_code))+1
from ins_premium_det i),'8015','8015','02', '11000003','00','Request by Mr. Omair Ali 10-Apr-2025');</v>
      </c>
      <c r="H42" s="19" t="str">
        <f t="shared" si="3"/>
        <v>insert into ins_premium_det (premium_rcv_code,assorted_code, rec_amount,premium_rcv_detail_code,remaining_amt, payrec, mode_code,coinsurance_code,class_cd,it_remarks) values('09Apr250030','040000197069','8015',(select max(to_number(i.premium_rcv_detail_code))+1
from ins_premium_det i),'8015','8015','02', '11000003','00','Request by Mr. Omair Ali 10-Apr-2025');</v>
      </c>
    </row>
    <row r="43" spans="1:8" ht="105" x14ac:dyDescent="0.25">
      <c r="A43" s="2" t="s">
        <v>42</v>
      </c>
      <c r="B43" s="15" t="str">
        <f>VLOOKUP(A43,policy!B:C,2,0)</f>
        <v>040000197070</v>
      </c>
      <c r="C43" s="3">
        <v>9725</v>
      </c>
      <c r="D43" s="16">
        <f t="shared" si="1"/>
        <v>9725</v>
      </c>
      <c r="E43" s="14" t="s">
        <v>137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('09Apr250030','040000197070','9725',(select max(to_number(i.premium_rcv_detail_code))+1
from ins_premium_det i),'9725','9725','02', '11000003','00','Request by Mr. Omair Ali 10-Apr-2025');</v>
      </c>
      <c r="H43" s="19" t="str">
        <f t="shared" si="3"/>
        <v>insert into ins_premium_det (premium_rcv_code,assorted_code, rec_amount,premium_rcv_detail_code,remaining_amt, payrec, mode_code,coinsurance_code,class_cd,it_remarks) values('09Apr250030','040000197070','9725',(select max(to_number(i.premium_rcv_detail_code))+1
from ins_premium_det i),'9725','9725','02', '11000003','00','Request by Mr. Omair Ali 10-Apr-2025');</v>
      </c>
    </row>
    <row r="44" spans="1:8" ht="105" x14ac:dyDescent="0.25">
      <c r="A44" s="2" t="s">
        <v>43</v>
      </c>
      <c r="B44" s="15" t="str">
        <f>VLOOKUP(A44,policy!B:C,2,0)</f>
        <v>040000197147</v>
      </c>
      <c r="C44" s="3">
        <v>98771</v>
      </c>
      <c r="D44" s="16">
        <f t="shared" si="1"/>
        <v>98771</v>
      </c>
      <c r="E44" s="14" t="s">
        <v>137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('09Apr250030','040000197147','98771',(select max(to_number(i.premium_rcv_detail_code))+1
from ins_premium_det i),'98771','98771','02', '11000003','00','Request by Mr. Omair Ali 10-Apr-2025');</v>
      </c>
      <c r="H44" s="19" t="str">
        <f t="shared" si="3"/>
        <v>insert into ins_premium_det (premium_rcv_code,assorted_code, rec_amount,premium_rcv_detail_code,remaining_amt, payrec, mode_code,coinsurance_code,class_cd,it_remarks) values('09Apr250030','040000197147','98771',(select max(to_number(i.premium_rcv_detail_code))+1
from ins_premium_det i),'98771','98771','02', '11000003','00','Request by Mr. Omair Ali 10-Apr-2025');</v>
      </c>
    </row>
    <row r="45" spans="1:8" ht="105" x14ac:dyDescent="0.25">
      <c r="A45" s="2" t="s">
        <v>44</v>
      </c>
      <c r="B45" s="15" t="str">
        <f>VLOOKUP(A45,policy!B:C,2,0)</f>
        <v>040000186754</v>
      </c>
      <c r="C45" s="3">
        <v>-270</v>
      </c>
      <c r="D45" s="16">
        <f t="shared" si="1"/>
        <v>-270</v>
      </c>
      <c r="E45" s="14" t="s">
        <v>137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('09Apr250030','040000186754','-270',(select max(to_number(i.premium_rcv_detail_code))+1
from ins_premium_det i),'-270','-270','02', '11000003','00','Request by Mr. Omair Ali 10-Apr-2025');</v>
      </c>
      <c r="H45" s="19" t="str">
        <f t="shared" si="3"/>
        <v>insert into ins_premium_det (premium_rcv_code,assorted_code, rec_amount,premium_rcv_detail_code,remaining_amt, payrec, mode_code,coinsurance_code,class_cd,it_remarks) values('09Apr250030','040000186754','-270',(select max(to_number(i.premium_rcv_detail_code))+1
from ins_premium_det i),'-270','-270','02', '11000003','00','Request by Mr. Omair Ali 10-Apr-2025');</v>
      </c>
    </row>
    <row r="47" spans="1:8" x14ac:dyDescent="0.25">
      <c r="C47" s="10">
        <f>SUM(C2:C45)</f>
        <v>737452</v>
      </c>
      <c r="D47" s="10">
        <f>SUM(D2:D45)</f>
        <v>737452</v>
      </c>
    </row>
  </sheetData>
  <conditionalFormatting sqref="A1">
    <cfRule type="duplicateValues" dxfId="31" priority="7"/>
  </conditionalFormatting>
  <conditionalFormatting sqref="B2:B45">
    <cfRule type="duplicateValues" dxfId="30" priority="8"/>
    <cfRule type="duplicateValues" dxfId="29" priority="9"/>
    <cfRule type="duplicateValues" dxfId="28" priority="10"/>
  </conditionalFormatting>
  <conditionalFormatting sqref="A2:A45">
    <cfRule type="duplicateValues" dxfId="27" priority="2"/>
    <cfRule type="duplicateValues" dxfId="26" priority="3"/>
    <cfRule type="duplicateValues" dxfId="25" priority="4"/>
    <cfRule type="duplicateValues" dxfId="24" priority="5"/>
  </conditionalFormatting>
  <conditionalFormatting sqref="A2:A45">
    <cfRule type="duplicateValues" dxfId="23" priority="1"/>
  </conditionalFormatting>
  <conditionalFormatting sqref="A45">
    <cfRule type="duplicateValues" dxfId="2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9EE5-4268-4012-9145-E62AF00B04F9}">
  <dimension ref="A1:E44"/>
  <sheetViews>
    <sheetView workbookViewId="0">
      <selection activeCell="E1" sqref="E1"/>
    </sheetView>
  </sheetViews>
  <sheetFormatPr defaultRowHeight="15" x14ac:dyDescent="0.25"/>
  <cols>
    <col min="1" max="1" width="39.7109375" bestFit="1" customWidth="1"/>
    <col min="5" max="5" width="40.5703125" bestFit="1" customWidth="1"/>
  </cols>
  <sheetData>
    <row r="1" spans="1:5" x14ac:dyDescent="0.25">
      <c r="A1" s="2" t="s">
        <v>1</v>
      </c>
      <c r="B1" t="s">
        <v>49</v>
      </c>
      <c r="D1">
        <v>88176</v>
      </c>
      <c r="E1" t="str">
        <f>"ia.assorted_string like '%"&amp;D1&amp;B1&amp;"%' or"</f>
        <v>ia.assorted_string like '%88176-04-2024%' or</v>
      </c>
    </row>
    <row r="2" spans="1:5" x14ac:dyDescent="0.25">
      <c r="A2" s="2" t="s">
        <v>2</v>
      </c>
      <c r="B2" t="s">
        <v>50</v>
      </c>
      <c r="D2">
        <v>90140</v>
      </c>
      <c r="E2" t="str">
        <f t="shared" ref="E2:E44" si="0">"ia.assorted_string like '%"&amp;D2&amp;B2&amp;"%' or"</f>
        <v>ia.assorted_string like '%90140-06-2024%' or</v>
      </c>
    </row>
    <row r="3" spans="1:5" x14ac:dyDescent="0.25">
      <c r="A3" s="2" t="s">
        <v>3</v>
      </c>
      <c r="B3" t="s">
        <v>51</v>
      </c>
      <c r="D3">
        <v>93455</v>
      </c>
      <c r="E3" t="str">
        <f t="shared" si="0"/>
        <v>ia.assorted_string like '%93455-07-2024%' or</v>
      </c>
    </row>
    <row r="4" spans="1:5" x14ac:dyDescent="0.25">
      <c r="A4" s="2" t="s">
        <v>4</v>
      </c>
      <c r="B4" t="s">
        <v>52</v>
      </c>
      <c r="D4">
        <v>105642</v>
      </c>
      <c r="E4" t="str">
        <f t="shared" si="0"/>
        <v>ia.assorted_string like '%105642-01-2025%' or</v>
      </c>
    </row>
    <row r="5" spans="1:5" x14ac:dyDescent="0.25">
      <c r="A5" s="2" t="s">
        <v>5</v>
      </c>
      <c r="B5" t="s">
        <v>52</v>
      </c>
      <c r="D5">
        <v>105885</v>
      </c>
      <c r="E5" t="str">
        <f t="shared" si="0"/>
        <v>ia.assorted_string like '%105885-01-2025%' or</v>
      </c>
    </row>
    <row r="6" spans="1:5" x14ac:dyDescent="0.25">
      <c r="A6" s="2" t="s">
        <v>6</v>
      </c>
      <c r="B6" t="s">
        <v>52</v>
      </c>
      <c r="D6">
        <v>106469</v>
      </c>
      <c r="E6" t="str">
        <f t="shared" si="0"/>
        <v>ia.assorted_string like '%106469-01-2025%' or</v>
      </c>
    </row>
    <row r="7" spans="1:5" x14ac:dyDescent="0.25">
      <c r="A7" s="2" t="s">
        <v>7</v>
      </c>
      <c r="B7" t="s">
        <v>52</v>
      </c>
      <c r="D7">
        <v>106777</v>
      </c>
      <c r="E7" t="str">
        <f t="shared" si="0"/>
        <v>ia.assorted_string like '%106777-01-2025%' or</v>
      </c>
    </row>
    <row r="8" spans="1:5" x14ac:dyDescent="0.25">
      <c r="A8" s="2" t="s">
        <v>8</v>
      </c>
      <c r="B8" t="s">
        <v>52</v>
      </c>
      <c r="D8">
        <v>106814</v>
      </c>
      <c r="E8" t="str">
        <f t="shared" si="0"/>
        <v>ia.assorted_string like '%106814-01-2025%' or</v>
      </c>
    </row>
    <row r="9" spans="1:5" x14ac:dyDescent="0.25">
      <c r="A9" s="2" t="s">
        <v>9</v>
      </c>
      <c r="B9" t="s">
        <v>52</v>
      </c>
      <c r="D9">
        <v>106853</v>
      </c>
      <c r="E9" t="str">
        <f t="shared" si="0"/>
        <v>ia.assorted_string like '%106853-01-2025%' or</v>
      </c>
    </row>
    <row r="10" spans="1:5" x14ac:dyDescent="0.25">
      <c r="A10" s="2" t="s">
        <v>10</v>
      </c>
      <c r="B10" t="s">
        <v>52</v>
      </c>
      <c r="D10">
        <v>106863</v>
      </c>
      <c r="E10" t="str">
        <f t="shared" si="0"/>
        <v>ia.assorted_string like '%106863-01-2025%' or</v>
      </c>
    </row>
    <row r="11" spans="1:5" x14ac:dyDescent="0.25">
      <c r="A11" s="2" t="s">
        <v>11</v>
      </c>
      <c r="B11" t="s">
        <v>52</v>
      </c>
      <c r="D11">
        <v>106912</v>
      </c>
      <c r="E11" t="str">
        <f t="shared" si="0"/>
        <v>ia.assorted_string like '%106912-01-2025%' or</v>
      </c>
    </row>
    <row r="12" spans="1:5" x14ac:dyDescent="0.25">
      <c r="A12" s="2" t="s">
        <v>12</v>
      </c>
      <c r="B12" t="s">
        <v>53</v>
      </c>
      <c r="D12">
        <v>106993</v>
      </c>
      <c r="E12" t="str">
        <f t="shared" si="0"/>
        <v>ia.assorted_string like '%106993-02-2025%' or</v>
      </c>
    </row>
    <row r="13" spans="1:5" x14ac:dyDescent="0.25">
      <c r="A13" s="2" t="s">
        <v>13</v>
      </c>
      <c r="B13" t="s">
        <v>53</v>
      </c>
      <c r="D13">
        <v>107024</v>
      </c>
      <c r="E13" t="str">
        <f t="shared" si="0"/>
        <v>ia.assorted_string like '%107024-02-2025%' or</v>
      </c>
    </row>
    <row r="14" spans="1:5" x14ac:dyDescent="0.25">
      <c r="A14" s="2" t="s">
        <v>14</v>
      </c>
      <c r="B14" t="s">
        <v>53</v>
      </c>
      <c r="D14">
        <v>107058</v>
      </c>
      <c r="E14" t="str">
        <f t="shared" si="0"/>
        <v>ia.assorted_string like '%107058-02-2025%' or</v>
      </c>
    </row>
    <row r="15" spans="1:5" x14ac:dyDescent="0.25">
      <c r="A15" s="2" t="s">
        <v>15</v>
      </c>
      <c r="B15" t="s">
        <v>53</v>
      </c>
      <c r="D15">
        <v>107059</v>
      </c>
      <c r="E15" t="str">
        <f t="shared" si="0"/>
        <v>ia.assorted_string like '%107059-02-2025%' or</v>
      </c>
    </row>
    <row r="16" spans="1:5" x14ac:dyDescent="0.25">
      <c r="A16" s="2" t="s">
        <v>16</v>
      </c>
      <c r="B16" t="s">
        <v>53</v>
      </c>
      <c r="D16">
        <v>107111</v>
      </c>
      <c r="E16" t="str">
        <f t="shared" si="0"/>
        <v>ia.assorted_string like '%107111-02-2025%' or</v>
      </c>
    </row>
    <row r="17" spans="1:5" x14ac:dyDescent="0.25">
      <c r="A17" s="2" t="s">
        <v>17</v>
      </c>
      <c r="B17" t="s">
        <v>53</v>
      </c>
      <c r="D17">
        <v>107182</v>
      </c>
      <c r="E17" t="str">
        <f t="shared" si="0"/>
        <v>ia.assorted_string like '%107182-02-2025%' or</v>
      </c>
    </row>
    <row r="18" spans="1:5" x14ac:dyDescent="0.25">
      <c r="A18" s="2" t="s">
        <v>18</v>
      </c>
      <c r="B18" t="s">
        <v>53</v>
      </c>
      <c r="D18">
        <v>107252</v>
      </c>
      <c r="E18" t="str">
        <f t="shared" si="0"/>
        <v>ia.assorted_string like '%107252-02-2025%' or</v>
      </c>
    </row>
    <row r="19" spans="1:5" x14ac:dyDescent="0.25">
      <c r="A19" s="2" t="s">
        <v>19</v>
      </c>
      <c r="B19" t="s">
        <v>53</v>
      </c>
      <c r="D19">
        <v>107274</v>
      </c>
      <c r="E19" t="str">
        <f t="shared" si="0"/>
        <v>ia.assorted_string like '%107274-02-2025%' or</v>
      </c>
    </row>
    <row r="20" spans="1:5" x14ac:dyDescent="0.25">
      <c r="A20" s="2" t="s">
        <v>20</v>
      </c>
      <c r="B20" t="s">
        <v>53</v>
      </c>
      <c r="D20">
        <v>107275</v>
      </c>
      <c r="E20" t="str">
        <f t="shared" si="0"/>
        <v>ia.assorted_string like '%107275-02-2025%' or</v>
      </c>
    </row>
    <row r="21" spans="1:5" x14ac:dyDescent="0.25">
      <c r="A21" s="2" t="s">
        <v>21</v>
      </c>
      <c r="B21" t="s">
        <v>53</v>
      </c>
      <c r="D21">
        <v>107276</v>
      </c>
      <c r="E21" t="str">
        <f t="shared" si="0"/>
        <v>ia.assorted_string like '%107276-02-2025%' or</v>
      </c>
    </row>
    <row r="22" spans="1:5" x14ac:dyDescent="0.25">
      <c r="A22" s="2" t="s">
        <v>22</v>
      </c>
      <c r="B22" t="s">
        <v>53</v>
      </c>
      <c r="D22">
        <v>107279</v>
      </c>
      <c r="E22" t="str">
        <f t="shared" si="0"/>
        <v>ia.assorted_string like '%107279-02-2025%' or</v>
      </c>
    </row>
    <row r="23" spans="1:5" x14ac:dyDescent="0.25">
      <c r="A23" s="2" t="s">
        <v>23</v>
      </c>
      <c r="B23" t="s">
        <v>53</v>
      </c>
      <c r="D23">
        <v>107280</v>
      </c>
      <c r="E23" t="str">
        <f t="shared" si="0"/>
        <v>ia.assorted_string like '%107280-02-2025%' or</v>
      </c>
    </row>
    <row r="24" spans="1:5" x14ac:dyDescent="0.25">
      <c r="A24" s="2" t="s">
        <v>24</v>
      </c>
      <c r="B24" t="s">
        <v>53</v>
      </c>
      <c r="D24">
        <v>107304</v>
      </c>
      <c r="E24" t="str">
        <f t="shared" si="0"/>
        <v>ia.assorted_string like '%107304-02-2025%' or</v>
      </c>
    </row>
    <row r="25" spans="1:5" x14ac:dyDescent="0.25">
      <c r="A25" s="2" t="s">
        <v>25</v>
      </c>
      <c r="B25" t="s">
        <v>53</v>
      </c>
      <c r="D25">
        <v>107384</v>
      </c>
      <c r="E25" t="str">
        <f t="shared" si="0"/>
        <v>ia.assorted_string like '%107384-02-2025%' or</v>
      </c>
    </row>
    <row r="26" spans="1:5" x14ac:dyDescent="0.25">
      <c r="A26" s="2" t="s">
        <v>26</v>
      </c>
      <c r="B26" t="s">
        <v>53</v>
      </c>
      <c r="D26">
        <v>107422</v>
      </c>
      <c r="E26" t="str">
        <f t="shared" si="0"/>
        <v>ia.assorted_string like '%107422-02-2025%' or</v>
      </c>
    </row>
    <row r="27" spans="1:5" x14ac:dyDescent="0.25">
      <c r="A27" s="2" t="s">
        <v>27</v>
      </c>
      <c r="B27" t="s">
        <v>53</v>
      </c>
      <c r="D27">
        <v>107447</v>
      </c>
      <c r="E27" t="str">
        <f t="shared" si="0"/>
        <v>ia.assorted_string like '%107447-02-2025%' or</v>
      </c>
    </row>
    <row r="28" spans="1:5" x14ac:dyDescent="0.25">
      <c r="A28" s="2" t="s">
        <v>28</v>
      </c>
      <c r="B28" t="s">
        <v>53</v>
      </c>
      <c r="D28">
        <v>107508</v>
      </c>
      <c r="E28" t="str">
        <f t="shared" si="0"/>
        <v>ia.assorted_string like '%107508-02-2025%' or</v>
      </c>
    </row>
    <row r="29" spans="1:5" x14ac:dyDescent="0.25">
      <c r="A29" s="2" t="s">
        <v>29</v>
      </c>
      <c r="B29" t="s">
        <v>53</v>
      </c>
      <c r="D29">
        <v>107716</v>
      </c>
      <c r="E29" t="str">
        <f t="shared" si="0"/>
        <v>ia.assorted_string like '%107716-02-2025%' or</v>
      </c>
    </row>
    <row r="30" spans="1:5" x14ac:dyDescent="0.25">
      <c r="A30" s="2" t="s">
        <v>30</v>
      </c>
      <c r="B30" t="s">
        <v>53</v>
      </c>
      <c r="D30">
        <v>107723</v>
      </c>
      <c r="E30" t="str">
        <f t="shared" si="0"/>
        <v>ia.assorted_string like '%107723-02-2025%' or</v>
      </c>
    </row>
    <row r="31" spans="1:5" x14ac:dyDescent="0.25">
      <c r="A31" s="2" t="s">
        <v>31</v>
      </c>
      <c r="B31" t="s">
        <v>53</v>
      </c>
      <c r="D31">
        <v>107725</v>
      </c>
      <c r="E31" t="str">
        <f t="shared" si="0"/>
        <v>ia.assorted_string like '%107725-02-2025%' or</v>
      </c>
    </row>
    <row r="32" spans="1:5" x14ac:dyDescent="0.25">
      <c r="A32" s="2" t="s">
        <v>32</v>
      </c>
      <c r="B32" t="s">
        <v>54</v>
      </c>
      <c r="D32">
        <v>107817</v>
      </c>
      <c r="E32" t="str">
        <f t="shared" si="0"/>
        <v>ia.assorted_string like '%107817-03-2025%' or</v>
      </c>
    </row>
    <row r="33" spans="1:5" x14ac:dyDescent="0.25">
      <c r="A33" s="2" t="s">
        <v>33</v>
      </c>
      <c r="B33" t="s">
        <v>54</v>
      </c>
      <c r="D33">
        <v>107826</v>
      </c>
      <c r="E33" t="str">
        <f t="shared" si="0"/>
        <v>ia.assorted_string like '%107826-03-2025%' or</v>
      </c>
    </row>
    <row r="34" spans="1:5" x14ac:dyDescent="0.25">
      <c r="A34" s="2" t="s">
        <v>34</v>
      </c>
      <c r="B34" t="s">
        <v>54</v>
      </c>
      <c r="D34">
        <v>107827</v>
      </c>
      <c r="E34" t="str">
        <f t="shared" si="0"/>
        <v>ia.assorted_string like '%107827-03-2025%' or</v>
      </c>
    </row>
    <row r="35" spans="1:5" x14ac:dyDescent="0.25">
      <c r="A35" s="2" t="s">
        <v>35</v>
      </c>
      <c r="B35" t="s">
        <v>54</v>
      </c>
      <c r="D35">
        <v>107902</v>
      </c>
      <c r="E35" t="str">
        <f t="shared" si="0"/>
        <v>ia.assorted_string like '%107902-03-2025%' or</v>
      </c>
    </row>
    <row r="36" spans="1:5" x14ac:dyDescent="0.25">
      <c r="A36" s="2" t="s">
        <v>36</v>
      </c>
      <c r="B36" t="s">
        <v>54</v>
      </c>
      <c r="D36">
        <v>107946</v>
      </c>
      <c r="E36" t="str">
        <f t="shared" si="0"/>
        <v>ia.assorted_string like '%107946-03-2025%' or</v>
      </c>
    </row>
    <row r="37" spans="1:5" x14ac:dyDescent="0.25">
      <c r="A37" s="2" t="s">
        <v>37</v>
      </c>
      <c r="B37" t="s">
        <v>54</v>
      </c>
      <c r="D37">
        <v>107950</v>
      </c>
      <c r="E37" t="str">
        <f t="shared" si="0"/>
        <v>ia.assorted_string like '%107950-03-2025%' or</v>
      </c>
    </row>
    <row r="38" spans="1:5" x14ac:dyDescent="0.25">
      <c r="A38" s="2" t="s">
        <v>38</v>
      </c>
      <c r="B38" t="s">
        <v>54</v>
      </c>
      <c r="D38">
        <v>107957</v>
      </c>
      <c r="E38" t="str">
        <f t="shared" si="0"/>
        <v>ia.assorted_string like '%107957-03-2025%' or</v>
      </c>
    </row>
    <row r="39" spans="1:5" x14ac:dyDescent="0.25">
      <c r="A39" s="2" t="s">
        <v>39</v>
      </c>
      <c r="B39" t="s">
        <v>54</v>
      </c>
      <c r="D39">
        <v>107958</v>
      </c>
      <c r="E39" t="str">
        <f t="shared" si="0"/>
        <v>ia.assorted_string like '%107958-03-2025%' or</v>
      </c>
    </row>
    <row r="40" spans="1:5" x14ac:dyDescent="0.25">
      <c r="A40" s="2" t="s">
        <v>40</v>
      </c>
      <c r="B40" t="s">
        <v>54</v>
      </c>
      <c r="D40">
        <v>108047</v>
      </c>
      <c r="E40" t="str">
        <f t="shared" si="0"/>
        <v>ia.assorted_string like '%108047-03-2025%' or</v>
      </c>
    </row>
    <row r="41" spans="1:5" x14ac:dyDescent="0.25">
      <c r="A41" s="2" t="s">
        <v>41</v>
      </c>
      <c r="B41" t="s">
        <v>54</v>
      </c>
      <c r="D41">
        <v>108117</v>
      </c>
      <c r="E41" t="str">
        <f t="shared" si="0"/>
        <v>ia.assorted_string like '%108117-03-2025%' or</v>
      </c>
    </row>
    <row r="42" spans="1:5" x14ac:dyDescent="0.25">
      <c r="A42" s="2" t="s">
        <v>42</v>
      </c>
      <c r="B42" t="s">
        <v>54</v>
      </c>
      <c r="D42">
        <v>108118</v>
      </c>
      <c r="E42" t="str">
        <f t="shared" si="0"/>
        <v>ia.assorted_string like '%108118-03-2025%' or</v>
      </c>
    </row>
    <row r="43" spans="1:5" x14ac:dyDescent="0.25">
      <c r="A43" s="2" t="s">
        <v>43</v>
      </c>
      <c r="B43" t="s">
        <v>54</v>
      </c>
      <c r="D43">
        <v>108173</v>
      </c>
      <c r="E43" t="str">
        <f t="shared" si="0"/>
        <v>ia.assorted_string like '%108173-03-2025%' or</v>
      </c>
    </row>
    <row r="44" spans="1:5" x14ac:dyDescent="0.25">
      <c r="A44" s="2" t="s">
        <v>44</v>
      </c>
      <c r="B44" t="s">
        <v>55</v>
      </c>
      <c r="D44">
        <v>99708</v>
      </c>
      <c r="E44" t="str">
        <f t="shared" si="0"/>
        <v>ia.assorted_string like '%99708-10-2024%' or</v>
      </c>
    </row>
  </sheetData>
  <conditionalFormatting sqref="A1:A44">
    <cfRule type="duplicateValues" dxfId="21" priority="8"/>
    <cfRule type="duplicateValues" dxfId="20" priority="9"/>
    <cfRule type="duplicateValues" dxfId="19" priority="10"/>
    <cfRule type="duplicateValues" dxfId="18" priority="11"/>
  </conditionalFormatting>
  <conditionalFormatting sqref="A1:A44">
    <cfRule type="duplicateValues" dxfId="17" priority="7"/>
  </conditionalFormatting>
  <conditionalFormatting sqref="A44">
    <cfRule type="duplicateValues" dxfId="16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0F39-5C2C-4724-944F-1F4A8240FEFD}">
  <dimension ref="A1:D46"/>
  <sheetViews>
    <sheetView workbookViewId="0">
      <selection activeCell="C8" sqref="C8"/>
    </sheetView>
  </sheetViews>
  <sheetFormatPr defaultColWidth="7.85546875" defaultRowHeight="15" x14ac:dyDescent="0.25"/>
  <cols>
    <col min="1" max="1" width="3" bestFit="1" customWidth="1"/>
    <col min="2" max="2" width="40" bestFit="1" customWidth="1"/>
    <col min="3" max="3" width="15" bestFit="1" customWidth="1"/>
    <col min="4" max="4" width="12.7109375" customWidth="1"/>
  </cols>
  <sheetData>
    <row r="1" spans="1:4" s="11" customFormat="1" ht="12" x14ac:dyDescent="0.2">
      <c r="A1" s="11" t="s">
        <v>56</v>
      </c>
      <c r="B1" s="11" t="s">
        <v>57</v>
      </c>
      <c r="C1" s="11" t="s">
        <v>58</v>
      </c>
      <c r="D1" s="11" t="s">
        <v>59</v>
      </c>
    </row>
    <row r="2" spans="1:4" x14ac:dyDescent="0.25">
      <c r="A2">
        <v>1</v>
      </c>
      <c r="B2" t="s">
        <v>1</v>
      </c>
      <c r="C2" t="s">
        <v>60</v>
      </c>
      <c r="D2" t="s">
        <v>61</v>
      </c>
    </row>
    <row r="3" spans="1:4" x14ac:dyDescent="0.25">
      <c r="A3">
        <v>2</v>
      </c>
      <c r="B3" t="s">
        <v>62</v>
      </c>
      <c r="C3" t="s">
        <v>63</v>
      </c>
      <c r="D3" t="s">
        <v>64</v>
      </c>
    </row>
    <row r="4" spans="1:4" x14ac:dyDescent="0.25">
      <c r="A4">
        <v>3</v>
      </c>
      <c r="B4" t="s">
        <v>2</v>
      </c>
      <c r="C4" t="s">
        <v>65</v>
      </c>
      <c r="D4" t="s">
        <v>66</v>
      </c>
    </row>
    <row r="5" spans="1:4" x14ac:dyDescent="0.25">
      <c r="A5">
        <v>4</v>
      </c>
      <c r="B5" t="s">
        <v>3</v>
      </c>
      <c r="C5" t="s">
        <v>67</v>
      </c>
      <c r="D5" t="s">
        <v>68</v>
      </c>
    </row>
    <row r="6" spans="1:4" x14ac:dyDescent="0.25">
      <c r="A6">
        <v>5</v>
      </c>
      <c r="B6" t="s">
        <v>44</v>
      </c>
      <c r="C6" t="s">
        <v>69</v>
      </c>
      <c r="D6" t="s">
        <v>70</v>
      </c>
    </row>
    <row r="7" spans="1:4" x14ac:dyDescent="0.25">
      <c r="A7">
        <v>6</v>
      </c>
      <c r="B7" t="s">
        <v>14</v>
      </c>
      <c r="C7" t="s">
        <v>71</v>
      </c>
      <c r="D7" t="s">
        <v>72</v>
      </c>
    </row>
    <row r="8" spans="1:4" x14ac:dyDescent="0.25">
      <c r="A8">
        <v>7</v>
      </c>
      <c r="B8" t="s">
        <v>15</v>
      </c>
      <c r="C8" t="s">
        <v>73</v>
      </c>
      <c r="D8" t="s">
        <v>72</v>
      </c>
    </row>
    <row r="9" spans="1:4" x14ac:dyDescent="0.25">
      <c r="A9">
        <v>8</v>
      </c>
      <c r="B9" t="s">
        <v>19</v>
      </c>
      <c r="C9" t="s">
        <v>74</v>
      </c>
      <c r="D9" t="s">
        <v>75</v>
      </c>
    </row>
    <row r="10" spans="1:4" x14ac:dyDescent="0.25">
      <c r="A10">
        <v>9</v>
      </c>
      <c r="B10" t="s">
        <v>20</v>
      </c>
      <c r="C10" t="s">
        <v>76</v>
      </c>
      <c r="D10" t="s">
        <v>75</v>
      </c>
    </row>
    <row r="11" spans="1:4" x14ac:dyDescent="0.25">
      <c r="A11">
        <v>10</v>
      </c>
      <c r="B11" t="s">
        <v>6</v>
      </c>
      <c r="C11" t="s">
        <v>77</v>
      </c>
      <c r="D11" t="s">
        <v>78</v>
      </c>
    </row>
    <row r="12" spans="1:4" x14ac:dyDescent="0.25">
      <c r="A12">
        <v>11</v>
      </c>
      <c r="B12" t="s">
        <v>16</v>
      </c>
      <c r="C12" t="s">
        <v>79</v>
      </c>
      <c r="D12" t="s">
        <v>61</v>
      </c>
    </row>
    <row r="13" spans="1:4" x14ac:dyDescent="0.25">
      <c r="A13">
        <v>12</v>
      </c>
      <c r="B13" t="s">
        <v>7</v>
      </c>
      <c r="C13" t="s">
        <v>80</v>
      </c>
      <c r="D13" t="s">
        <v>81</v>
      </c>
    </row>
    <row r="14" spans="1:4" x14ac:dyDescent="0.25">
      <c r="A14">
        <v>13</v>
      </c>
      <c r="B14" t="s">
        <v>17</v>
      </c>
      <c r="C14" t="s">
        <v>82</v>
      </c>
      <c r="D14" t="s">
        <v>72</v>
      </c>
    </row>
    <row r="15" spans="1:4" x14ac:dyDescent="0.25">
      <c r="A15">
        <v>14</v>
      </c>
      <c r="B15" t="s">
        <v>5</v>
      </c>
      <c r="C15" t="s">
        <v>83</v>
      </c>
      <c r="D15" t="s">
        <v>84</v>
      </c>
    </row>
    <row r="16" spans="1:4" x14ac:dyDescent="0.25">
      <c r="A16">
        <v>15</v>
      </c>
      <c r="B16" t="s">
        <v>12</v>
      </c>
      <c r="C16" t="s">
        <v>85</v>
      </c>
      <c r="D16" t="s">
        <v>86</v>
      </c>
    </row>
    <row r="17" spans="1:4" x14ac:dyDescent="0.25">
      <c r="A17">
        <v>16</v>
      </c>
      <c r="B17" t="s">
        <v>30</v>
      </c>
      <c r="C17" t="s">
        <v>87</v>
      </c>
      <c r="D17" t="s">
        <v>88</v>
      </c>
    </row>
    <row r="18" spans="1:4" x14ac:dyDescent="0.25">
      <c r="A18">
        <v>17</v>
      </c>
      <c r="B18" t="s">
        <v>11</v>
      </c>
      <c r="C18" t="s">
        <v>89</v>
      </c>
      <c r="D18" t="s">
        <v>90</v>
      </c>
    </row>
    <row r="19" spans="1:4" x14ac:dyDescent="0.25">
      <c r="A19">
        <v>18</v>
      </c>
      <c r="B19" t="s">
        <v>21</v>
      </c>
      <c r="C19" t="s">
        <v>91</v>
      </c>
      <c r="D19" t="s">
        <v>75</v>
      </c>
    </row>
    <row r="20" spans="1:4" x14ac:dyDescent="0.25">
      <c r="A20">
        <v>19</v>
      </c>
      <c r="B20" t="s">
        <v>37</v>
      </c>
      <c r="C20" t="s">
        <v>92</v>
      </c>
      <c r="D20" t="s">
        <v>93</v>
      </c>
    </row>
    <row r="21" spans="1:4" x14ac:dyDescent="0.25">
      <c r="A21">
        <v>20</v>
      </c>
      <c r="B21" t="s">
        <v>38</v>
      </c>
      <c r="C21" t="s">
        <v>94</v>
      </c>
      <c r="D21" t="s">
        <v>95</v>
      </c>
    </row>
    <row r="22" spans="1:4" x14ac:dyDescent="0.25">
      <c r="A22">
        <v>21</v>
      </c>
      <c r="B22" t="s">
        <v>41</v>
      </c>
      <c r="C22" t="s">
        <v>96</v>
      </c>
      <c r="D22" t="s">
        <v>95</v>
      </c>
    </row>
    <row r="23" spans="1:4" x14ac:dyDescent="0.25">
      <c r="A23">
        <v>22</v>
      </c>
      <c r="B23" t="s">
        <v>42</v>
      </c>
      <c r="C23" t="s">
        <v>97</v>
      </c>
      <c r="D23" t="s">
        <v>95</v>
      </c>
    </row>
    <row r="24" spans="1:4" x14ac:dyDescent="0.25">
      <c r="A24">
        <v>23</v>
      </c>
      <c r="B24" t="s">
        <v>34</v>
      </c>
      <c r="C24" t="s">
        <v>98</v>
      </c>
      <c r="D24" t="s">
        <v>99</v>
      </c>
    </row>
    <row r="25" spans="1:4" x14ac:dyDescent="0.25">
      <c r="A25">
        <v>24</v>
      </c>
      <c r="B25" t="s">
        <v>27</v>
      </c>
      <c r="C25" t="s">
        <v>100</v>
      </c>
      <c r="D25" t="s">
        <v>101</v>
      </c>
    </row>
    <row r="26" spans="1:4" x14ac:dyDescent="0.25">
      <c r="A26">
        <v>25</v>
      </c>
      <c r="B26" t="s">
        <v>43</v>
      </c>
      <c r="C26" t="s">
        <v>102</v>
      </c>
      <c r="D26" t="s">
        <v>46</v>
      </c>
    </row>
    <row r="27" spans="1:4" x14ac:dyDescent="0.25">
      <c r="A27">
        <v>26</v>
      </c>
      <c r="B27" t="s">
        <v>22</v>
      </c>
      <c r="C27" t="s">
        <v>103</v>
      </c>
      <c r="D27" t="s">
        <v>75</v>
      </c>
    </row>
    <row r="28" spans="1:4" x14ac:dyDescent="0.25">
      <c r="A28">
        <v>27</v>
      </c>
      <c r="B28" t="s">
        <v>26</v>
      </c>
      <c r="C28" t="s">
        <v>104</v>
      </c>
      <c r="D28" t="s">
        <v>105</v>
      </c>
    </row>
    <row r="29" spans="1:4" x14ac:dyDescent="0.25">
      <c r="A29">
        <v>28</v>
      </c>
      <c r="B29" t="s">
        <v>28</v>
      </c>
      <c r="C29" t="s">
        <v>106</v>
      </c>
      <c r="D29" t="s">
        <v>107</v>
      </c>
    </row>
    <row r="30" spans="1:4" x14ac:dyDescent="0.25">
      <c r="A30">
        <v>29</v>
      </c>
      <c r="B30" t="s">
        <v>40</v>
      </c>
      <c r="C30" t="s">
        <v>108</v>
      </c>
      <c r="D30" t="s">
        <v>109</v>
      </c>
    </row>
    <row r="31" spans="1:4" x14ac:dyDescent="0.25">
      <c r="A31">
        <v>30</v>
      </c>
      <c r="B31" t="s">
        <v>29</v>
      </c>
      <c r="C31" t="s">
        <v>110</v>
      </c>
      <c r="D31" t="s">
        <v>111</v>
      </c>
    </row>
    <row r="32" spans="1:4" x14ac:dyDescent="0.25">
      <c r="A32">
        <v>31</v>
      </c>
      <c r="B32" t="s">
        <v>31</v>
      </c>
      <c r="C32" t="s">
        <v>112</v>
      </c>
      <c r="D32" t="s">
        <v>78</v>
      </c>
    </row>
    <row r="33" spans="1:4" x14ac:dyDescent="0.25">
      <c r="A33">
        <v>32</v>
      </c>
      <c r="B33" t="s">
        <v>8</v>
      </c>
      <c r="C33" t="s">
        <v>113</v>
      </c>
      <c r="D33" t="s">
        <v>114</v>
      </c>
    </row>
    <row r="34" spans="1:4" x14ac:dyDescent="0.25">
      <c r="A34">
        <v>33</v>
      </c>
      <c r="B34" t="s">
        <v>35</v>
      </c>
      <c r="C34" t="s">
        <v>115</v>
      </c>
      <c r="D34" t="s">
        <v>116</v>
      </c>
    </row>
    <row r="35" spans="1:4" x14ac:dyDescent="0.25">
      <c r="A35">
        <v>34</v>
      </c>
      <c r="B35" t="s">
        <v>9</v>
      </c>
      <c r="C35" t="s">
        <v>117</v>
      </c>
      <c r="D35" t="s">
        <v>118</v>
      </c>
    </row>
    <row r="36" spans="1:4" x14ac:dyDescent="0.25">
      <c r="A36">
        <v>35</v>
      </c>
      <c r="B36" t="s">
        <v>25</v>
      </c>
      <c r="C36" t="s">
        <v>119</v>
      </c>
      <c r="D36" t="s">
        <v>68</v>
      </c>
    </row>
    <row r="37" spans="1:4" x14ac:dyDescent="0.25">
      <c r="A37">
        <v>36</v>
      </c>
      <c r="B37" t="s">
        <v>18</v>
      </c>
      <c r="C37" t="s">
        <v>120</v>
      </c>
      <c r="D37" t="s">
        <v>121</v>
      </c>
    </row>
    <row r="38" spans="1:4" x14ac:dyDescent="0.25">
      <c r="A38">
        <v>37</v>
      </c>
      <c r="B38" t="s">
        <v>39</v>
      </c>
      <c r="C38" t="s">
        <v>122</v>
      </c>
      <c r="D38" t="s">
        <v>95</v>
      </c>
    </row>
    <row r="39" spans="1:4" x14ac:dyDescent="0.25">
      <c r="A39">
        <v>38</v>
      </c>
      <c r="B39" t="s">
        <v>13</v>
      </c>
      <c r="C39" t="s">
        <v>123</v>
      </c>
      <c r="D39" t="s">
        <v>124</v>
      </c>
    </row>
    <row r="40" spans="1:4" x14ac:dyDescent="0.25">
      <c r="A40">
        <v>39</v>
      </c>
      <c r="B40" t="s">
        <v>4</v>
      </c>
      <c r="C40" t="s">
        <v>125</v>
      </c>
      <c r="D40" t="s">
        <v>78</v>
      </c>
    </row>
    <row r="41" spans="1:4" x14ac:dyDescent="0.25">
      <c r="A41">
        <v>40</v>
      </c>
      <c r="B41" t="s">
        <v>10</v>
      </c>
      <c r="C41" t="s">
        <v>126</v>
      </c>
      <c r="D41" t="s">
        <v>88</v>
      </c>
    </row>
    <row r="42" spans="1:4" x14ac:dyDescent="0.25">
      <c r="A42">
        <v>41</v>
      </c>
      <c r="B42" t="s">
        <v>32</v>
      </c>
      <c r="C42" t="s">
        <v>127</v>
      </c>
      <c r="D42" t="s">
        <v>128</v>
      </c>
    </row>
    <row r="43" spans="1:4" x14ac:dyDescent="0.25">
      <c r="A43">
        <v>42</v>
      </c>
      <c r="B43" t="s">
        <v>36</v>
      </c>
      <c r="C43" t="s">
        <v>129</v>
      </c>
      <c r="D43" t="s">
        <v>72</v>
      </c>
    </row>
    <row r="44" spans="1:4" x14ac:dyDescent="0.25">
      <c r="A44">
        <v>43</v>
      </c>
      <c r="B44" t="s">
        <v>33</v>
      </c>
      <c r="C44" t="s">
        <v>130</v>
      </c>
      <c r="D44" t="s">
        <v>131</v>
      </c>
    </row>
    <row r="45" spans="1:4" x14ac:dyDescent="0.25">
      <c r="A45">
        <v>44</v>
      </c>
      <c r="B45" t="s">
        <v>23</v>
      </c>
      <c r="C45" t="s">
        <v>132</v>
      </c>
      <c r="D45" t="s">
        <v>101</v>
      </c>
    </row>
    <row r="46" spans="1:4" x14ac:dyDescent="0.25">
      <c r="A46">
        <v>45</v>
      </c>
      <c r="B46" t="s">
        <v>24</v>
      </c>
      <c r="C46" t="s">
        <v>133</v>
      </c>
      <c r="D4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287B-CAB6-4BFB-BF6D-CA84A6090A96}">
  <dimension ref="A1:H45"/>
  <sheetViews>
    <sheetView topLeftCell="G43" workbookViewId="0">
      <selection activeCell="H2" sqref="H2:H45"/>
    </sheetView>
  </sheetViews>
  <sheetFormatPr defaultRowHeight="15" x14ac:dyDescent="0.25"/>
  <cols>
    <col min="1" max="1" width="39.7109375" bestFit="1" customWidth="1"/>
    <col min="2" max="2" width="14.5703125" bestFit="1" customWidth="1"/>
    <col min="3" max="3" width="12.42578125" bestFit="1" customWidth="1"/>
    <col min="4" max="4" width="12" bestFit="1" customWidth="1"/>
    <col min="5" max="5" width="10.140625" bestFit="1" customWidth="1"/>
    <col min="6" max="6" width="109.85546875" customWidth="1"/>
    <col min="7" max="7" width="100.7109375" customWidth="1"/>
    <col min="8" max="8" width="91.5703125" customWidth="1"/>
  </cols>
  <sheetData>
    <row r="1" spans="1:8" x14ac:dyDescent="0.25">
      <c r="A1" s="12" t="s">
        <v>134</v>
      </c>
      <c r="B1" t="s">
        <v>135</v>
      </c>
      <c r="C1" s="13" t="s">
        <v>138</v>
      </c>
      <c r="D1" s="14" t="s">
        <v>137</v>
      </c>
      <c r="E1" s="20"/>
    </row>
    <row r="2" spans="1:8" ht="124.5" customHeight="1" x14ac:dyDescent="0.25">
      <c r="A2" s="2" t="s">
        <v>1</v>
      </c>
      <c r="B2" s="21" t="str">
        <f>VLOOKUP(A2,policycommission!B:C,2,0)</f>
        <v>040000172341</v>
      </c>
      <c r="C2" s="3">
        <v>17250</v>
      </c>
      <c r="D2" s="14" t="s">
        <v>137</v>
      </c>
      <c r="E2" s="22" t="str">
        <f>VLOOKUP(A2,policycommission!B:D,3,0)</f>
        <v>09000748</v>
      </c>
      <c r="F2" s="23" t="str">
        <f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2" s="24" t="str">
        <f t="shared" ref="G2:G45" si="0">"('"&amp;D1&amp;"','"&amp;B2&amp;"','"&amp;C2&amp;"',(select max(to_number(i.premium_rcv_detail_code))+1 from ins_premium_det i),'"&amp;C2&amp;"','"&amp;C2&amp;"','03', '"&amp;E2&amp;"','00');"</f>
        <v>('09Apr250030','040000172341','17250',(select max(to_number(i.premium_rcv_detail_code))+1 from ins_premium_det i),'17250','17250','03', '09000748','00');</v>
      </c>
      <c r="H2" s="25" t="str">
        <f t="shared" ref="H2:H45" si="1">F2&amp;G2</f>
        <v>insert into ins_premium_det (premium_rcv_code,assorted_code, rec_amount,premium_rcv_detail_code,remaining_amt, payrec, mode_code,paid_to_code,class_cd) values('09Apr250030','040000172341','17250',(select max(to_number(i.premium_rcv_detail_code))+1 from ins_premium_det i),'17250','17250','03', '09000748','00');</v>
      </c>
    </row>
    <row r="3" spans="1:8" ht="60" x14ac:dyDescent="0.25">
      <c r="A3" s="2" t="s">
        <v>2</v>
      </c>
      <c r="B3" s="21" t="str">
        <f>VLOOKUP(A3,policycommission!B:C,2,0)</f>
        <v>040000174949</v>
      </c>
      <c r="C3" s="3">
        <v>6500</v>
      </c>
      <c r="D3" s="14" t="s">
        <v>137</v>
      </c>
      <c r="E3" s="22" t="str">
        <f>VLOOKUP(A3,policycommission!B:D,3,0)</f>
        <v>09000806</v>
      </c>
      <c r="F3" s="23" t="str">
        <f t="shared" ref="F3:F45" si="2">"insert into ins_premium_det (premium_rcv_code,assorted_code, rec_amount,premium_rcv_detail_code,remaining_amt, payrec, mode_code,paid_to_code,class_cd) values"</f>
        <v>insert into ins_premium_det (premium_rcv_code,assorted_code, rec_amount,premium_rcv_detail_code,remaining_amt, payrec, mode_code,paid_to_code,class_cd) values</v>
      </c>
      <c r="G3" s="24" t="str">
        <f t="shared" si="0"/>
        <v>('09Apr250030','040000174949','6500',(select max(to_number(i.premium_rcv_detail_code))+1 from ins_premium_det i),'6500','6500','03', '09000806','00');</v>
      </c>
      <c r="H3" s="25" t="str">
        <f t="shared" si="1"/>
        <v>insert into ins_premium_det (premium_rcv_code,assorted_code, rec_amount,premium_rcv_detail_code,remaining_amt, payrec, mode_code,paid_to_code,class_cd) values('09Apr250030','040000174949','6500',(select max(to_number(i.premium_rcv_detail_code))+1 from ins_premium_det i),'6500','6500','03', '09000806','00');</v>
      </c>
    </row>
    <row r="4" spans="1:8" ht="60" x14ac:dyDescent="0.25">
      <c r="A4" s="2" t="s">
        <v>3</v>
      </c>
      <c r="B4" s="21" t="str">
        <f>VLOOKUP(A4,policycommission!B:C,2,0)</f>
        <v>040000179305</v>
      </c>
      <c r="C4" s="3">
        <v>14600</v>
      </c>
      <c r="D4" s="14" t="s">
        <v>137</v>
      </c>
      <c r="E4" s="22" t="str">
        <f>VLOOKUP(A4,policycommission!B:D,3,0)</f>
        <v>09000210</v>
      </c>
      <c r="F4" s="23" t="str">
        <f t="shared" si="2"/>
        <v>insert into ins_premium_det (premium_rcv_code,assorted_code, rec_amount,premium_rcv_detail_code,remaining_amt, payrec, mode_code,paid_to_code,class_cd) values</v>
      </c>
      <c r="G4" s="24" t="str">
        <f t="shared" si="0"/>
        <v>('09Apr250030','040000179305','14600',(select max(to_number(i.premium_rcv_detail_code))+1 from ins_premium_det i),'14600','14600','03', '09000210','00');</v>
      </c>
      <c r="H4" s="25" t="str">
        <f t="shared" si="1"/>
        <v>insert into ins_premium_det (premium_rcv_code,assorted_code, rec_amount,premium_rcv_detail_code,remaining_amt, payrec, mode_code,paid_to_code,class_cd) values('09Apr250030','040000179305','14600',(select max(to_number(i.premium_rcv_detail_code))+1 from ins_premium_det i),'14600','14600','03', '09000210','00');</v>
      </c>
    </row>
    <row r="5" spans="1:8" ht="60" x14ac:dyDescent="0.25">
      <c r="A5" s="2" t="s">
        <v>4</v>
      </c>
      <c r="B5" s="21" t="str">
        <f>VLOOKUP(A5,policycommission!B:C,2,0)</f>
        <v>040000193824</v>
      </c>
      <c r="C5" s="3">
        <v>38564</v>
      </c>
      <c r="D5" s="14" t="s">
        <v>137</v>
      </c>
      <c r="E5" s="22" t="str">
        <f>VLOOKUP(A5,policycommission!B:D,3,0)</f>
        <v>09000918</v>
      </c>
      <c r="F5" s="23" t="str">
        <f t="shared" si="2"/>
        <v>insert into ins_premium_det (premium_rcv_code,assorted_code, rec_amount,premium_rcv_detail_code,remaining_amt, payrec, mode_code,paid_to_code,class_cd) values</v>
      </c>
      <c r="G5" s="24" t="str">
        <f t="shared" si="0"/>
        <v>('09Apr250030','040000193824','38564',(select max(to_number(i.premium_rcv_detail_code))+1 from ins_premium_det i),'38564','38564','03', '09000918','00');</v>
      </c>
      <c r="H5" s="25" t="str">
        <f t="shared" si="1"/>
        <v>insert into ins_premium_det (premium_rcv_code,assorted_code, rec_amount,premium_rcv_detail_code,remaining_amt, payrec, mode_code,paid_to_code,class_cd) values('09Apr250030','040000193824','38564',(select max(to_number(i.premium_rcv_detail_code))+1 from ins_premium_det i),'38564','38564','03', '09000918','00');</v>
      </c>
    </row>
    <row r="6" spans="1:8" ht="60" x14ac:dyDescent="0.25">
      <c r="A6" s="2" t="s">
        <v>5</v>
      </c>
      <c r="B6" s="21" t="str">
        <f>VLOOKUP(A6,policycommission!B:C,2,0)</f>
        <v>040000194108</v>
      </c>
      <c r="C6" s="3">
        <v>42996</v>
      </c>
      <c r="D6" s="14" t="s">
        <v>137</v>
      </c>
      <c r="E6" s="22" t="str">
        <f>VLOOKUP(A6,policycommission!B:D,3,0)</f>
        <v>09000905</v>
      </c>
      <c r="F6" s="23" t="str">
        <f t="shared" si="2"/>
        <v>insert into ins_premium_det (premium_rcv_code,assorted_code, rec_amount,premium_rcv_detail_code,remaining_amt, payrec, mode_code,paid_to_code,class_cd) values</v>
      </c>
      <c r="G6" s="24" t="str">
        <f t="shared" si="0"/>
        <v>('09Apr250030','040000194108','42996',(select max(to_number(i.premium_rcv_detail_code))+1 from ins_premium_det i),'42996','42996','03', '09000905','00');</v>
      </c>
      <c r="H6" s="25" t="str">
        <f t="shared" si="1"/>
        <v>insert into ins_premium_det (premium_rcv_code,assorted_code, rec_amount,premium_rcv_detail_code,remaining_amt, payrec, mode_code,paid_to_code,class_cd) values('09Apr250030','040000194108','42996',(select max(to_number(i.premium_rcv_detail_code))+1 from ins_premium_det i),'42996','42996','03', '09000905','00');</v>
      </c>
    </row>
    <row r="7" spans="1:8" ht="60" x14ac:dyDescent="0.25">
      <c r="A7" s="2" t="s">
        <v>6</v>
      </c>
      <c r="B7" s="21" t="str">
        <f>VLOOKUP(A7,policycommission!B:C,2,0)</f>
        <v>040000194826</v>
      </c>
      <c r="C7" s="3">
        <v>53564</v>
      </c>
      <c r="D7" s="14" t="s">
        <v>137</v>
      </c>
      <c r="E7" s="22" t="str">
        <f>VLOOKUP(A7,policycommission!B:D,3,0)</f>
        <v>09000918</v>
      </c>
      <c r="F7" s="23" t="str">
        <f t="shared" si="2"/>
        <v>insert into ins_premium_det (premium_rcv_code,assorted_code, rec_amount,premium_rcv_detail_code,remaining_amt, payrec, mode_code,paid_to_code,class_cd) values</v>
      </c>
      <c r="G7" s="24" t="str">
        <f t="shared" si="0"/>
        <v>('09Apr250030','040000194826','53564',(select max(to_number(i.premium_rcv_detail_code))+1 from ins_premium_det i),'53564','53564','03', '09000918','00');</v>
      </c>
      <c r="H7" s="25" t="str">
        <f t="shared" si="1"/>
        <v>insert into ins_premium_det (premium_rcv_code,assorted_code, rec_amount,premium_rcv_detail_code,remaining_amt, payrec, mode_code,paid_to_code,class_cd) values('09Apr250030','040000194826','53564',(select max(to_number(i.premium_rcv_detail_code))+1 from ins_premium_det i),'53564','53564','03', '09000918','00');</v>
      </c>
    </row>
    <row r="8" spans="1:8" ht="60" x14ac:dyDescent="0.25">
      <c r="A8" s="2" t="s">
        <v>7</v>
      </c>
      <c r="B8" s="21" t="str">
        <f>VLOOKUP(A8,policycommission!B:C,2,0)</f>
        <v>040000195275</v>
      </c>
      <c r="C8" s="3">
        <v>19867</v>
      </c>
      <c r="D8" s="14" t="s">
        <v>137</v>
      </c>
      <c r="E8" s="22" t="str">
        <f>VLOOKUP(A8,policycommission!B:D,3,0)</f>
        <v>09000952</v>
      </c>
      <c r="F8" s="23" t="str">
        <f t="shared" si="2"/>
        <v>insert into ins_premium_det (premium_rcv_code,assorted_code, rec_amount,premium_rcv_detail_code,remaining_amt, payrec, mode_code,paid_to_code,class_cd) values</v>
      </c>
      <c r="G8" s="24" t="str">
        <f t="shared" si="0"/>
        <v>('09Apr250030','040000195275','19867',(select max(to_number(i.premium_rcv_detail_code))+1 from ins_premium_det i),'19867','19867','03', '09000952','00');</v>
      </c>
      <c r="H8" s="25" t="str">
        <f t="shared" si="1"/>
        <v>insert into ins_premium_det (premium_rcv_code,assorted_code, rec_amount,premium_rcv_detail_code,remaining_amt, payrec, mode_code,paid_to_code,class_cd) values('09Apr250030','040000195275','19867',(select max(to_number(i.premium_rcv_detail_code))+1 from ins_premium_det i),'19867','19867','03', '09000952','00');</v>
      </c>
    </row>
    <row r="9" spans="1:8" ht="60" x14ac:dyDescent="0.25">
      <c r="A9" s="2" t="s">
        <v>8</v>
      </c>
      <c r="B9" s="21" t="str">
        <f>VLOOKUP(A9,policycommission!B:C,2,0)</f>
        <v>040000195370</v>
      </c>
      <c r="C9" s="3">
        <v>2500</v>
      </c>
      <c r="D9" s="14" t="s">
        <v>137</v>
      </c>
      <c r="E9" s="22" t="str">
        <f>VLOOKUP(A9,policycommission!B:D,3,0)</f>
        <v>09000732</v>
      </c>
      <c r="F9" s="23" t="str">
        <f t="shared" si="2"/>
        <v>insert into ins_premium_det (premium_rcv_code,assorted_code, rec_amount,premium_rcv_detail_code,remaining_amt, payrec, mode_code,paid_to_code,class_cd) values</v>
      </c>
      <c r="G9" s="24" t="str">
        <f t="shared" si="0"/>
        <v>('09Apr250030','040000195370','2500',(select max(to_number(i.premium_rcv_detail_code))+1 from ins_premium_det i),'2500','2500','03', '09000732','00');</v>
      </c>
      <c r="H9" s="25" t="str">
        <f t="shared" si="1"/>
        <v>insert into ins_premium_det (premium_rcv_code,assorted_code, rec_amount,premium_rcv_detail_code,remaining_amt, payrec, mode_code,paid_to_code,class_cd) values('09Apr250030','040000195370','2500',(select max(to_number(i.premium_rcv_detail_code))+1 from ins_premium_det i),'2500','2500','03', '09000732','00');</v>
      </c>
    </row>
    <row r="10" spans="1:8" ht="60" x14ac:dyDescent="0.25">
      <c r="A10" s="2" t="s">
        <v>9</v>
      </c>
      <c r="B10" s="21" t="str">
        <f>VLOOKUP(A10,policycommission!B:C,2,0)</f>
        <v>040000195415</v>
      </c>
      <c r="C10" s="3">
        <v>8460</v>
      </c>
      <c r="D10" s="14" t="s">
        <v>137</v>
      </c>
      <c r="E10" s="22" t="str">
        <f>VLOOKUP(A10,policycommission!B:D,3,0)</f>
        <v>09000795</v>
      </c>
      <c r="F10" s="23" t="str">
        <f t="shared" si="2"/>
        <v>insert into ins_premium_det (premium_rcv_code,assorted_code, rec_amount,premium_rcv_detail_code,remaining_amt, payrec, mode_code,paid_to_code,class_cd) values</v>
      </c>
      <c r="G10" s="24" t="str">
        <f t="shared" si="0"/>
        <v>('09Apr250030','040000195415','8460',(select max(to_number(i.premium_rcv_detail_code))+1 from ins_premium_det i),'8460','8460','03', '09000795','00');</v>
      </c>
      <c r="H10" s="25" t="str">
        <f t="shared" si="1"/>
        <v>insert into ins_premium_det (premium_rcv_code,assorted_code, rec_amount,premium_rcv_detail_code,remaining_amt, payrec, mode_code,paid_to_code,class_cd) values('09Apr250030','040000195415','8460',(select max(to_number(i.premium_rcv_detail_code))+1 from ins_premium_det i),'8460','8460','03', '09000795','00');</v>
      </c>
    </row>
    <row r="11" spans="1:8" ht="60" x14ac:dyDescent="0.25">
      <c r="A11" s="2" t="s">
        <v>10</v>
      </c>
      <c r="B11" s="21" t="str">
        <f>VLOOKUP(A11,policycommission!B:C,2,0)</f>
        <v>040000195425</v>
      </c>
      <c r="C11" s="3">
        <v>22573</v>
      </c>
      <c r="D11" s="14" t="s">
        <v>137</v>
      </c>
      <c r="E11" s="22" t="str">
        <f>VLOOKUP(A11,policycommission!B:D,3,0)</f>
        <v>09000945</v>
      </c>
      <c r="F11" s="23" t="str">
        <f t="shared" si="2"/>
        <v>insert into ins_premium_det (premium_rcv_code,assorted_code, rec_amount,premium_rcv_detail_code,remaining_amt, payrec, mode_code,paid_to_code,class_cd) values</v>
      </c>
      <c r="G11" s="24" t="str">
        <f t="shared" si="0"/>
        <v>('09Apr250030','040000195425','22573',(select max(to_number(i.premium_rcv_detail_code))+1 from ins_premium_det i),'22573','22573','03', '09000945','00');</v>
      </c>
      <c r="H11" s="25" t="str">
        <f t="shared" si="1"/>
        <v>insert into ins_premium_det (premium_rcv_code,assorted_code, rec_amount,premium_rcv_detail_code,remaining_amt, payrec, mode_code,paid_to_code,class_cd) values('09Apr250030','040000195425','22573',(select max(to_number(i.premium_rcv_detail_code))+1 from ins_premium_det i),'22573','22573','03', '09000945','00');</v>
      </c>
    </row>
    <row r="12" spans="1:8" ht="60" x14ac:dyDescent="0.25">
      <c r="A12" s="2" t="s">
        <v>11</v>
      </c>
      <c r="B12" s="21" t="str">
        <f>VLOOKUP(A12,policycommission!B:C,2,0)</f>
        <v>040000195481</v>
      </c>
      <c r="C12" s="3">
        <v>12137</v>
      </c>
      <c r="D12" s="14" t="s">
        <v>137</v>
      </c>
      <c r="E12" s="22" t="str">
        <f>VLOOKUP(A12,policycommission!B:D,3,0)</f>
        <v>09000949</v>
      </c>
      <c r="F12" s="23" t="str">
        <f t="shared" si="2"/>
        <v>insert into ins_premium_det (premium_rcv_code,assorted_code, rec_amount,premium_rcv_detail_code,remaining_amt, payrec, mode_code,paid_to_code,class_cd) values</v>
      </c>
      <c r="G12" s="24" t="str">
        <f t="shared" si="0"/>
        <v>('09Apr250030','040000195481','12137',(select max(to_number(i.premium_rcv_detail_code))+1 from ins_premium_det i),'12137','12137','03', '09000949','00');</v>
      </c>
      <c r="H12" s="25" t="str">
        <f t="shared" si="1"/>
        <v>insert into ins_premium_det (premium_rcv_code,assorted_code, rec_amount,premium_rcv_detail_code,remaining_amt, payrec, mode_code,paid_to_code,class_cd) values('09Apr250030','040000195481','12137',(select max(to_number(i.premium_rcv_detail_code))+1 from ins_premium_det i),'12137','12137','03', '09000949','00');</v>
      </c>
    </row>
    <row r="13" spans="1:8" ht="60" x14ac:dyDescent="0.25">
      <c r="A13" s="2" t="s">
        <v>12</v>
      </c>
      <c r="B13" s="21" t="str">
        <f>VLOOKUP(A13,policycommission!B:C,2,0)</f>
        <v>040000195569</v>
      </c>
      <c r="C13" s="3">
        <v>14500</v>
      </c>
      <c r="D13" s="14" t="s">
        <v>137</v>
      </c>
      <c r="E13" s="22" t="str">
        <f>VLOOKUP(A13,policycommission!B:D,3,0)</f>
        <v>09000867</v>
      </c>
      <c r="F13" s="23" t="str">
        <f t="shared" si="2"/>
        <v>insert into ins_premium_det (premium_rcv_code,assorted_code, rec_amount,premium_rcv_detail_code,remaining_amt, payrec, mode_code,paid_to_code,class_cd) values</v>
      </c>
      <c r="G13" s="24" t="str">
        <f t="shared" si="0"/>
        <v>('09Apr250030','040000195569','14500',(select max(to_number(i.premium_rcv_detail_code))+1 from ins_premium_det i),'14500','14500','03', '09000867','00');</v>
      </c>
      <c r="H13" s="25" t="str">
        <f t="shared" si="1"/>
        <v>insert into ins_premium_det (premium_rcv_code,assorted_code, rec_amount,premium_rcv_detail_code,remaining_amt, payrec, mode_code,paid_to_code,class_cd) values('09Apr250030','040000195569','14500',(select max(to_number(i.premium_rcv_detail_code))+1 from ins_premium_det i),'14500','14500','03', '09000867','00');</v>
      </c>
    </row>
    <row r="14" spans="1:8" ht="60" x14ac:dyDescent="0.25">
      <c r="A14" s="2" t="s">
        <v>13</v>
      </c>
      <c r="B14" s="21" t="str">
        <f>VLOOKUP(A14,policycommission!B:C,2,0)</f>
        <v>040000195603</v>
      </c>
      <c r="C14" s="3">
        <v>25400</v>
      </c>
      <c r="D14" s="14" t="s">
        <v>137</v>
      </c>
      <c r="E14" s="22" t="str">
        <f>VLOOKUP(A14,policycommission!B:D,3,0)</f>
        <v>09000933</v>
      </c>
      <c r="F14" s="23" t="str">
        <f t="shared" si="2"/>
        <v>insert into ins_premium_det (premium_rcv_code,assorted_code, rec_amount,premium_rcv_detail_code,remaining_amt, payrec, mode_code,paid_to_code,class_cd) values</v>
      </c>
      <c r="G14" s="24" t="str">
        <f t="shared" si="0"/>
        <v>('09Apr250030','040000195603','25400',(select max(to_number(i.premium_rcv_detail_code))+1 from ins_premium_det i),'25400','25400','03', '09000933','00');</v>
      </c>
      <c r="H14" s="25" t="str">
        <f t="shared" si="1"/>
        <v>insert into ins_premium_det (premium_rcv_code,assorted_code, rec_amount,premium_rcv_detail_code,remaining_amt, payrec, mode_code,paid_to_code,class_cd) values('09Apr250030','040000195603','25400',(select max(to_number(i.premium_rcv_detail_code))+1 from ins_premium_det i),'25400','25400','03', '09000933','00');</v>
      </c>
    </row>
    <row r="15" spans="1:8" ht="60" x14ac:dyDescent="0.25">
      <c r="A15" s="2" t="s">
        <v>14</v>
      </c>
      <c r="B15" s="21" t="str">
        <f>VLOOKUP(A15,policycommission!B:C,2,0)</f>
        <v>040000195643</v>
      </c>
      <c r="C15" s="3">
        <v>185</v>
      </c>
      <c r="D15" s="14" t="s">
        <v>137</v>
      </c>
      <c r="E15" s="22" t="str">
        <f>VLOOKUP(A15,policycommission!B:D,3,0)</f>
        <v>09000463</v>
      </c>
      <c r="F15" s="23" t="str">
        <f t="shared" si="2"/>
        <v>insert into ins_premium_det (premium_rcv_code,assorted_code, rec_amount,premium_rcv_detail_code,remaining_amt, payrec, mode_code,paid_to_code,class_cd) values</v>
      </c>
      <c r="G15" s="24" t="str">
        <f t="shared" si="0"/>
        <v>('09Apr250030','040000195643','185',(select max(to_number(i.premium_rcv_detail_code))+1 from ins_premium_det i),'185','185','03', '09000463','00');</v>
      </c>
      <c r="H15" s="25" t="str">
        <f t="shared" si="1"/>
        <v>insert into ins_premium_det (premium_rcv_code,assorted_code, rec_amount,premium_rcv_detail_code,remaining_amt, payrec, mode_code,paid_to_code,class_cd) values('09Apr250030','040000195643','185',(select max(to_number(i.premium_rcv_detail_code))+1 from ins_premium_det i),'185','185','03', '09000463','00');</v>
      </c>
    </row>
    <row r="16" spans="1:8" ht="60" x14ac:dyDescent="0.25">
      <c r="A16" s="2" t="s">
        <v>15</v>
      </c>
      <c r="B16" s="21" t="str">
        <f>VLOOKUP(A16,policycommission!B:C,2,0)</f>
        <v>040000195645</v>
      </c>
      <c r="C16" s="3">
        <v>10</v>
      </c>
      <c r="D16" s="14" t="s">
        <v>137</v>
      </c>
      <c r="E16" s="22" t="str">
        <f>VLOOKUP(A16,policycommission!B:D,3,0)</f>
        <v>09000463</v>
      </c>
      <c r="F16" s="23" t="str">
        <f t="shared" si="2"/>
        <v>insert into ins_premium_det (premium_rcv_code,assorted_code, rec_amount,premium_rcv_detail_code,remaining_amt, payrec, mode_code,paid_to_code,class_cd) values</v>
      </c>
      <c r="G16" s="24" t="str">
        <f t="shared" si="0"/>
        <v>('09Apr250030','040000195645','10',(select max(to_number(i.premium_rcv_detail_code))+1 from ins_premium_det i),'10','10','03', '09000463','00');</v>
      </c>
      <c r="H16" s="25" t="str">
        <f t="shared" si="1"/>
        <v>insert into ins_premium_det (premium_rcv_code,assorted_code, rec_amount,premium_rcv_detail_code,remaining_amt, payrec, mode_code,paid_to_code,class_cd) values('09Apr250030','040000195645','10',(select max(to_number(i.premium_rcv_detail_code))+1 from ins_premium_det i),'10','10','03', '09000463','00');</v>
      </c>
    </row>
    <row r="17" spans="1:8" ht="60" x14ac:dyDescent="0.25">
      <c r="A17" s="2" t="s">
        <v>16</v>
      </c>
      <c r="B17" s="21" t="str">
        <f>VLOOKUP(A17,policycommission!B:C,2,0)</f>
        <v>040000195713</v>
      </c>
      <c r="C17" s="3">
        <v>1</v>
      </c>
      <c r="D17" s="14" t="s">
        <v>137</v>
      </c>
      <c r="E17" s="22" t="str">
        <f>VLOOKUP(A17,policycommission!B:D,3,0)</f>
        <v>09000748</v>
      </c>
      <c r="F17" s="23" t="str">
        <f t="shared" si="2"/>
        <v>insert into ins_premium_det (premium_rcv_code,assorted_code, rec_amount,premium_rcv_detail_code,remaining_amt, payrec, mode_code,paid_to_code,class_cd) values</v>
      </c>
      <c r="G17" s="24" t="str">
        <f t="shared" si="0"/>
        <v>('09Apr250030','040000195713','1',(select max(to_number(i.premium_rcv_detail_code))+1 from ins_premium_det i),'1','1','03', '09000748','00');</v>
      </c>
      <c r="H17" s="25" t="str">
        <f t="shared" si="1"/>
        <v>insert into ins_premium_det (premium_rcv_code,assorted_code, rec_amount,premium_rcv_detail_code,remaining_amt, payrec, mode_code,paid_to_code,class_cd) values('09Apr250030','040000195713','1',(select max(to_number(i.premium_rcv_detail_code))+1 from ins_premium_det i),'1','1','03', '09000748','00');</v>
      </c>
    </row>
    <row r="18" spans="1:8" ht="60" x14ac:dyDescent="0.25">
      <c r="A18" s="2" t="s">
        <v>17</v>
      </c>
      <c r="B18" s="21" t="str">
        <f>VLOOKUP(A18,policycommission!B:C,2,0)</f>
        <v>040000195792</v>
      </c>
      <c r="C18" s="3">
        <v>15624</v>
      </c>
      <c r="D18" s="14" t="s">
        <v>137</v>
      </c>
      <c r="E18" s="22" t="str">
        <f>VLOOKUP(A18,policycommission!B:D,3,0)</f>
        <v>09000463</v>
      </c>
      <c r="F18" s="23" t="str">
        <f t="shared" si="2"/>
        <v>insert into ins_premium_det (premium_rcv_code,assorted_code, rec_amount,premium_rcv_detail_code,remaining_amt, payrec, mode_code,paid_to_code,class_cd) values</v>
      </c>
      <c r="G18" s="24" t="str">
        <f t="shared" si="0"/>
        <v>('09Apr250030','040000195792','15624',(select max(to_number(i.premium_rcv_detail_code))+1 from ins_premium_det i),'15624','15624','03', '09000463','00');</v>
      </c>
      <c r="H18" s="25" t="str">
        <f t="shared" si="1"/>
        <v>insert into ins_premium_det (premium_rcv_code,assorted_code, rec_amount,premium_rcv_detail_code,remaining_amt, payrec, mode_code,paid_to_code,class_cd) values('09Apr250030','040000195792','15624',(select max(to_number(i.premium_rcv_detail_code))+1 from ins_premium_det i),'15624','15624','03', '09000463','00');</v>
      </c>
    </row>
    <row r="19" spans="1:8" ht="60" x14ac:dyDescent="0.25">
      <c r="A19" s="2" t="s">
        <v>18</v>
      </c>
      <c r="B19" s="21" t="str">
        <f>VLOOKUP(A19,policycommission!B:C,2,0)</f>
        <v>040000195896</v>
      </c>
      <c r="C19" s="3">
        <v>19170</v>
      </c>
      <c r="D19" s="14" t="s">
        <v>137</v>
      </c>
      <c r="E19" s="22" t="str">
        <f>VLOOKUP(A19,policycommission!B:D,3,0)</f>
        <v>09000420</v>
      </c>
      <c r="F19" s="23" t="str">
        <f t="shared" si="2"/>
        <v>insert into ins_premium_det (premium_rcv_code,assorted_code, rec_amount,premium_rcv_detail_code,remaining_amt, payrec, mode_code,paid_to_code,class_cd) values</v>
      </c>
      <c r="G19" s="24" t="str">
        <f t="shared" si="0"/>
        <v>('09Apr250030','040000195896','19170',(select max(to_number(i.premium_rcv_detail_code))+1 from ins_premium_det i),'19170','19170','03', '09000420','00');</v>
      </c>
      <c r="H19" s="25" t="str">
        <f t="shared" si="1"/>
        <v>insert into ins_premium_det (premium_rcv_code,assorted_code, rec_amount,premium_rcv_detail_code,remaining_amt, payrec, mode_code,paid_to_code,class_cd) values('09Apr250030','040000195896','19170',(select max(to_number(i.premium_rcv_detail_code))+1 from ins_premium_det i),'19170','19170','03', '09000420','00');</v>
      </c>
    </row>
    <row r="20" spans="1:8" ht="60" x14ac:dyDescent="0.25">
      <c r="A20" s="2" t="s">
        <v>19</v>
      </c>
      <c r="B20" s="21" t="str">
        <f>VLOOKUP(A20,policycommission!B:C,2,0)</f>
        <v>040000195931</v>
      </c>
      <c r="C20" s="3">
        <v>10764</v>
      </c>
      <c r="D20" s="14" t="s">
        <v>137</v>
      </c>
      <c r="E20" s="22" t="str">
        <f>VLOOKUP(A20,policycommission!B:D,3,0)</f>
        <v>09000440</v>
      </c>
      <c r="F20" s="23" t="str">
        <f t="shared" si="2"/>
        <v>insert into ins_premium_det (premium_rcv_code,assorted_code, rec_amount,premium_rcv_detail_code,remaining_amt, payrec, mode_code,paid_to_code,class_cd) values</v>
      </c>
      <c r="G20" s="24" t="str">
        <f t="shared" si="0"/>
        <v>('09Apr250030','040000195931','10764',(select max(to_number(i.premium_rcv_detail_code))+1 from ins_premium_det i),'10764','10764','03', '09000440','00');</v>
      </c>
      <c r="H20" s="25" t="str">
        <f t="shared" si="1"/>
        <v>insert into ins_premium_det (premium_rcv_code,assorted_code, rec_amount,premium_rcv_detail_code,remaining_amt, payrec, mode_code,paid_to_code,class_cd) values('09Apr250030','040000195931','10764',(select max(to_number(i.premium_rcv_detail_code))+1 from ins_premium_det i),'10764','10764','03', '09000440','00');</v>
      </c>
    </row>
    <row r="21" spans="1:8" ht="60" x14ac:dyDescent="0.25">
      <c r="A21" s="2" t="s">
        <v>20</v>
      </c>
      <c r="B21" s="21" t="str">
        <f>VLOOKUP(A21,policycommission!B:C,2,0)</f>
        <v>040000195934</v>
      </c>
      <c r="C21" s="3">
        <v>10764</v>
      </c>
      <c r="D21" s="14" t="s">
        <v>137</v>
      </c>
      <c r="E21" s="22" t="str">
        <f>VLOOKUP(A21,policycommission!B:D,3,0)</f>
        <v>09000440</v>
      </c>
      <c r="F21" s="23" t="str">
        <f t="shared" si="2"/>
        <v>insert into ins_premium_det (premium_rcv_code,assorted_code, rec_amount,premium_rcv_detail_code,remaining_amt, payrec, mode_code,paid_to_code,class_cd) values</v>
      </c>
      <c r="G21" s="24" t="str">
        <f t="shared" si="0"/>
        <v>('09Apr250030','040000195934','10764',(select max(to_number(i.premium_rcv_detail_code))+1 from ins_premium_det i),'10764','10764','03', '09000440','00');</v>
      </c>
      <c r="H21" s="25" t="str">
        <f t="shared" si="1"/>
        <v>insert into ins_premium_det (premium_rcv_code,assorted_code, rec_amount,premium_rcv_detail_code,remaining_amt, payrec, mode_code,paid_to_code,class_cd) values('09Apr250030','040000195934','10764',(select max(to_number(i.premium_rcv_detail_code))+1 from ins_premium_det i),'10764','10764','03', '09000440','00');</v>
      </c>
    </row>
    <row r="22" spans="1:8" ht="60" x14ac:dyDescent="0.25">
      <c r="A22" s="2" t="s">
        <v>21</v>
      </c>
      <c r="B22" s="21" t="str">
        <f>VLOOKUP(A22,policycommission!B:C,2,0)</f>
        <v>040000195935</v>
      </c>
      <c r="C22" s="3">
        <v>28200</v>
      </c>
      <c r="D22" s="14" t="s">
        <v>137</v>
      </c>
      <c r="E22" s="22" t="str">
        <f>VLOOKUP(A22,policycommission!B:D,3,0)</f>
        <v>09000440</v>
      </c>
      <c r="F22" s="23" t="str">
        <f t="shared" si="2"/>
        <v>insert into ins_premium_det (premium_rcv_code,assorted_code, rec_amount,premium_rcv_detail_code,remaining_amt, payrec, mode_code,paid_to_code,class_cd) values</v>
      </c>
      <c r="G22" s="24" t="str">
        <f t="shared" si="0"/>
        <v>('09Apr250030','040000195935','28200',(select max(to_number(i.premium_rcv_detail_code))+1 from ins_premium_det i),'28200','28200','03', '09000440','00');</v>
      </c>
      <c r="H22" s="25" t="str">
        <f t="shared" si="1"/>
        <v>insert into ins_premium_det (premium_rcv_code,assorted_code, rec_amount,premium_rcv_detail_code,remaining_amt, payrec, mode_code,paid_to_code,class_cd) values('09Apr250030','040000195935','28200',(select max(to_number(i.premium_rcv_detail_code))+1 from ins_premium_det i),'28200','28200','03', '09000440','00');</v>
      </c>
    </row>
    <row r="23" spans="1:8" ht="60" x14ac:dyDescent="0.25">
      <c r="A23" s="2" t="s">
        <v>22</v>
      </c>
      <c r="B23" s="21" t="str">
        <f>VLOOKUP(A23,policycommission!B:C,2,0)</f>
        <v>040000195938</v>
      </c>
      <c r="C23" s="3">
        <v>16994</v>
      </c>
      <c r="D23" s="14" t="s">
        <v>137</v>
      </c>
      <c r="E23" s="22" t="str">
        <f>VLOOKUP(A23,policycommission!B:D,3,0)</f>
        <v>09000440</v>
      </c>
      <c r="F23" s="23" t="str">
        <f t="shared" si="2"/>
        <v>insert into ins_premium_det (premium_rcv_code,assorted_code, rec_amount,premium_rcv_detail_code,remaining_amt, payrec, mode_code,paid_to_code,class_cd) values</v>
      </c>
      <c r="G23" s="24" t="str">
        <f t="shared" si="0"/>
        <v>('09Apr250030','040000195938','16994',(select max(to_number(i.premium_rcv_detail_code))+1 from ins_premium_det i),'16994','16994','03', '09000440','00');</v>
      </c>
      <c r="H23" s="25" t="str">
        <f t="shared" si="1"/>
        <v>insert into ins_premium_det (premium_rcv_code,assorted_code, rec_amount,premium_rcv_detail_code,remaining_amt, payrec, mode_code,paid_to_code,class_cd) values('09Apr250030','040000195938','16994',(select max(to_number(i.premium_rcv_detail_code))+1 from ins_premium_det i),'16994','16994','03', '09000440','00');</v>
      </c>
    </row>
    <row r="24" spans="1:8" ht="60" x14ac:dyDescent="0.25">
      <c r="A24" s="2" t="s">
        <v>23</v>
      </c>
      <c r="B24" s="21" t="str">
        <f>VLOOKUP(A24,policycommission!B:C,2,0)</f>
        <v>040000195939</v>
      </c>
      <c r="C24" s="3">
        <v>7500</v>
      </c>
      <c r="D24" s="14" t="s">
        <v>137</v>
      </c>
      <c r="E24" s="22" t="str">
        <f>VLOOKUP(A24,policycommission!B:D,3,0)</f>
        <v>09000793</v>
      </c>
      <c r="F24" s="23" t="str">
        <f t="shared" si="2"/>
        <v>insert into ins_premium_det (premium_rcv_code,assorted_code, rec_amount,premium_rcv_detail_code,remaining_amt, payrec, mode_code,paid_to_code,class_cd) values</v>
      </c>
      <c r="G24" s="24" t="str">
        <f t="shared" si="0"/>
        <v>('09Apr250030','040000195939','7500',(select max(to_number(i.premium_rcv_detail_code))+1 from ins_premium_det i),'7500','7500','03', '09000793','00');</v>
      </c>
      <c r="H24" s="25" t="str">
        <f t="shared" si="1"/>
        <v>insert into ins_premium_det (premium_rcv_code,assorted_code, rec_amount,premium_rcv_detail_code,remaining_amt, payrec, mode_code,paid_to_code,class_cd) values('09Apr250030','040000195939','7500',(select max(to_number(i.premium_rcv_detail_code))+1 from ins_premium_det i),'7500','7500','03', '09000793','00');</v>
      </c>
    </row>
    <row r="25" spans="1:8" ht="60" x14ac:dyDescent="0.25">
      <c r="A25" s="2" t="s">
        <v>24</v>
      </c>
      <c r="B25" s="21" t="str">
        <f>VLOOKUP(A25,policycommission!B:C,2,0)</f>
        <v>040000195963</v>
      </c>
      <c r="C25" s="3">
        <v>1</v>
      </c>
      <c r="D25" s="14" t="s">
        <v>137</v>
      </c>
      <c r="E25" s="22" t="str">
        <f>VLOOKUP(A25,policycommission!B:D,3,0)</f>
        <v>09000210</v>
      </c>
      <c r="F25" s="23" t="str">
        <f t="shared" si="2"/>
        <v>insert into ins_premium_det (premium_rcv_code,assorted_code, rec_amount,premium_rcv_detail_code,remaining_amt, payrec, mode_code,paid_to_code,class_cd) values</v>
      </c>
      <c r="G25" s="24" t="str">
        <f t="shared" si="0"/>
        <v>('09Apr250030','040000195963','1',(select max(to_number(i.premium_rcv_detail_code))+1 from ins_premium_det i),'1','1','03', '09000210','00');</v>
      </c>
      <c r="H25" s="25" t="str">
        <f t="shared" si="1"/>
        <v>insert into ins_premium_det (premium_rcv_code,assorted_code, rec_amount,premium_rcv_detail_code,remaining_amt, payrec, mode_code,paid_to_code,class_cd) values('09Apr250030','040000195963','1',(select max(to_number(i.premium_rcv_detail_code))+1 from ins_premium_det i),'1','1','03', '09000210','00');</v>
      </c>
    </row>
    <row r="26" spans="1:8" ht="60" x14ac:dyDescent="0.25">
      <c r="A26" s="2" t="s">
        <v>25</v>
      </c>
      <c r="B26" s="21" t="str">
        <f>VLOOKUP(A26,policycommission!B:C,2,0)</f>
        <v>040000196058</v>
      </c>
      <c r="C26" s="3">
        <v>8</v>
      </c>
      <c r="D26" s="14" t="s">
        <v>137</v>
      </c>
      <c r="E26" s="22" t="str">
        <f>VLOOKUP(A26,policycommission!B:D,3,0)</f>
        <v>09000210</v>
      </c>
      <c r="F26" s="23" t="str">
        <f t="shared" si="2"/>
        <v>insert into ins_premium_det (premium_rcv_code,assorted_code, rec_amount,premium_rcv_detail_code,remaining_amt, payrec, mode_code,paid_to_code,class_cd) values</v>
      </c>
      <c r="G26" s="24" t="str">
        <f t="shared" si="0"/>
        <v>('09Apr250030','040000196058','8',(select max(to_number(i.premium_rcv_detail_code))+1 from ins_premium_det i),'8','8','03', '09000210','00');</v>
      </c>
      <c r="H26" s="25" t="str">
        <f t="shared" si="1"/>
        <v>insert into ins_premium_det (premium_rcv_code,assorted_code, rec_amount,premium_rcv_detail_code,remaining_amt, payrec, mode_code,paid_to_code,class_cd) values('09Apr250030','040000196058','8',(select max(to_number(i.premium_rcv_detail_code))+1 from ins_premium_det i),'8','8','03', '09000210','00');</v>
      </c>
    </row>
    <row r="27" spans="1:8" ht="60" x14ac:dyDescent="0.25">
      <c r="A27" s="2" t="s">
        <v>26</v>
      </c>
      <c r="B27" s="21" t="str">
        <f>VLOOKUP(A27,policycommission!B:C,2,0)</f>
        <v>040000196125</v>
      </c>
      <c r="C27" s="3">
        <v>5</v>
      </c>
      <c r="D27" s="14" t="s">
        <v>137</v>
      </c>
      <c r="E27" s="22" t="str">
        <f>VLOOKUP(A27,policycommission!B:D,3,0)</f>
        <v>09000432</v>
      </c>
      <c r="F27" s="23" t="str">
        <f t="shared" si="2"/>
        <v>insert into ins_premium_det (premium_rcv_code,assorted_code, rec_amount,premium_rcv_detail_code,remaining_amt, payrec, mode_code,paid_to_code,class_cd) values</v>
      </c>
      <c r="G27" s="24" t="str">
        <f t="shared" si="0"/>
        <v>('09Apr250030','040000196125','5',(select max(to_number(i.premium_rcv_detail_code))+1 from ins_premium_det i),'5','5','03', '09000432','00');</v>
      </c>
      <c r="H27" s="25" t="str">
        <f t="shared" si="1"/>
        <v>insert into ins_premium_det (premium_rcv_code,assorted_code, rec_amount,premium_rcv_detail_code,remaining_amt, payrec, mode_code,paid_to_code,class_cd) values('09Apr250030','040000196125','5',(select max(to_number(i.premium_rcv_detail_code))+1 from ins_premium_det i),'5','5','03', '09000432','00');</v>
      </c>
    </row>
    <row r="28" spans="1:8" ht="60" x14ac:dyDescent="0.25">
      <c r="A28" s="2" t="s">
        <v>27</v>
      </c>
      <c r="B28" s="21" t="str">
        <f>VLOOKUP(A28,policycommission!B:C,2,0)</f>
        <v>040000196155</v>
      </c>
      <c r="C28" s="3">
        <v>49970</v>
      </c>
      <c r="D28" s="14" t="s">
        <v>137</v>
      </c>
      <c r="E28" s="22" t="str">
        <f>VLOOKUP(A28,policycommission!B:D,3,0)</f>
        <v>09000793</v>
      </c>
      <c r="F28" s="23" t="str">
        <f t="shared" si="2"/>
        <v>insert into ins_premium_det (premium_rcv_code,assorted_code, rec_amount,premium_rcv_detail_code,remaining_amt, payrec, mode_code,paid_to_code,class_cd) values</v>
      </c>
      <c r="G28" s="24" t="str">
        <f t="shared" si="0"/>
        <v>('09Apr250030','040000196155','49970',(select max(to_number(i.premium_rcv_detail_code))+1 from ins_premium_det i),'49970','49970','03', '09000793','00');</v>
      </c>
      <c r="H28" s="25" t="str">
        <f t="shared" si="1"/>
        <v>insert into ins_premium_det (premium_rcv_code,assorted_code, rec_amount,premium_rcv_detail_code,remaining_amt, payrec, mode_code,paid_to_code,class_cd) values('09Apr250030','040000196155','49970',(select max(to_number(i.premium_rcv_detail_code))+1 from ins_premium_det i),'49970','49970','03', '09000793','00');</v>
      </c>
    </row>
    <row r="29" spans="1:8" ht="60" x14ac:dyDescent="0.25">
      <c r="A29" s="2" t="s">
        <v>28</v>
      </c>
      <c r="B29" s="21" t="str">
        <f>VLOOKUP(A29,policycommission!B:C,2,0)</f>
        <v>040000196228</v>
      </c>
      <c r="C29" s="3">
        <v>13439</v>
      </c>
      <c r="D29" s="14" t="s">
        <v>137</v>
      </c>
      <c r="E29" s="22" t="str">
        <f>VLOOKUP(A29,policycommission!B:D,3,0)</f>
        <v>09000829</v>
      </c>
      <c r="F29" s="23" t="str">
        <f t="shared" si="2"/>
        <v>insert into ins_premium_det (premium_rcv_code,assorted_code, rec_amount,premium_rcv_detail_code,remaining_amt, payrec, mode_code,paid_to_code,class_cd) values</v>
      </c>
      <c r="G29" s="24" t="str">
        <f t="shared" si="0"/>
        <v>('09Apr250030','040000196228','13439',(select max(to_number(i.premium_rcv_detail_code))+1 from ins_premium_det i),'13439','13439','03', '09000829','00');</v>
      </c>
      <c r="H29" s="25" t="str">
        <f t="shared" si="1"/>
        <v>insert into ins_premium_det (premium_rcv_code,assorted_code, rec_amount,premium_rcv_detail_code,remaining_amt, payrec, mode_code,paid_to_code,class_cd) values('09Apr250030','040000196228','13439',(select max(to_number(i.premium_rcv_detail_code))+1 from ins_premium_det i),'13439','13439','03', '09000829','00');</v>
      </c>
    </row>
    <row r="30" spans="1:8" ht="60" x14ac:dyDescent="0.25">
      <c r="A30" s="2" t="s">
        <v>29</v>
      </c>
      <c r="B30" s="21" t="str">
        <f>VLOOKUP(A30,policycommission!B:C,2,0)</f>
        <v>040000196524</v>
      </c>
      <c r="C30" s="3">
        <v>42613</v>
      </c>
      <c r="D30" s="14" t="s">
        <v>137</v>
      </c>
      <c r="E30" s="22" t="str">
        <f>VLOOKUP(A30,policycommission!B:D,3,0)</f>
        <v>09000794</v>
      </c>
      <c r="F30" s="23" t="str">
        <f t="shared" si="2"/>
        <v>insert into ins_premium_det (premium_rcv_code,assorted_code, rec_amount,premium_rcv_detail_code,remaining_amt, payrec, mode_code,paid_to_code,class_cd) values</v>
      </c>
      <c r="G30" s="24" t="str">
        <f t="shared" si="0"/>
        <v>('09Apr250030','040000196524','42613',(select max(to_number(i.premium_rcv_detail_code))+1 from ins_premium_det i),'42613','42613','03', '09000794','00');</v>
      </c>
      <c r="H30" s="25" t="str">
        <f t="shared" si="1"/>
        <v>insert into ins_premium_det (premium_rcv_code,assorted_code, rec_amount,premium_rcv_detail_code,remaining_amt, payrec, mode_code,paid_to_code,class_cd) values('09Apr250030','040000196524','42613',(select max(to_number(i.premium_rcv_detail_code))+1 from ins_premium_det i),'42613','42613','03', '09000794','00');</v>
      </c>
    </row>
    <row r="31" spans="1:8" ht="60" x14ac:dyDescent="0.25">
      <c r="A31" s="2" t="s">
        <v>30</v>
      </c>
      <c r="B31" s="21" t="str">
        <f>VLOOKUP(A31,policycommission!B:C,2,0)</f>
        <v>040000196532</v>
      </c>
      <c r="C31" s="3">
        <v>9868</v>
      </c>
      <c r="D31" s="14" t="s">
        <v>137</v>
      </c>
      <c r="E31" s="22" t="str">
        <f>VLOOKUP(A31,policycommission!B:D,3,0)</f>
        <v>09000945</v>
      </c>
      <c r="F31" s="23" t="str">
        <f t="shared" si="2"/>
        <v>insert into ins_premium_det (premium_rcv_code,assorted_code, rec_amount,premium_rcv_detail_code,remaining_amt, payrec, mode_code,paid_to_code,class_cd) values</v>
      </c>
      <c r="G31" s="24" t="str">
        <f t="shared" si="0"/>
        <v>('09Apr250030','040000196532','9868',(select max(to_number(i.premium_rcv_detail_code))+1 from ins_premium_det i),'9868','9868','03', '09000945','00');</v>
      </c>
      <c r="H31" s="25" t="str">
        <f t="shared" si="1"/>
        <v>insert into ins_premium_det (premium_rcv_code,assorted_code, rec_amount,premium_rcv_detail_code,remaining_amt, payrec, mode_code,paid_to_code,class_cd) values('09Apr250030','040000196532','9868',(select max(to_number(i.premium_rcv_detail_code))+1 from ins_premium_det i),'9868','9868','03', '09000945','00');</v>
      </c>
    </row>
    <row r="32" spans="1:8" ht="60" x14ac:dyDescent="0.25">
      <c r="A32" s="2" t="s">
        <v>31</v>
      </c>
      <c r="B32" s="21" t="str">
        <f>VLOOKUP(A32,policycommission!B:C,2,0)</f>
        <v>040000196534</v>
      </c>
      <c r="C32" s="3">
        <v>12152</v>
      </c>
      <c r="D32" s="14" t="s">
        <v>137</v>
      </c>
      <c r="E32" s="22" t="str">
        <f>VLOOKUP(A32,policycommission!B:D,3,0)</f>
        <v>09000918</v>
      </c>
      <c r="F32" s="23" t="str">
        <f t="shared" si="2"/>
        <v>insert into ins_premium_det (premium_rcv_code,assorted_code, rec_amount,premium_rcv_detail_code,remaining_amt, payrec, mode_code,paid_to_code,class_cd) values</v>
      </c>
      <c r="G32" s="24" t="str">
        <f t="shared" si="0"/>
        <v>('09Apr250030','040000196534','12152',(select max(to_number(i.premium_rcv_detail_code))+1 from ins_premium_det i),'12152','12152','03', '09000918','00');</v>
      </c>
      <c r="H32" s="25" t="str">
        <f t="shared" si="1"/>
        <v>insert into ins_premium_det (premium_rcv_code,assorted_code, rec_amount,premium_rcv_detail_code,remaining_amt, payrec, mode_code,paid_to_code,class_cd) values('09Apr250030','040000196534','12152',(select max(to_number(i.premium_rcv_detail_code))+1 from ins_premium_det i),'12152','12152','03', '09000918','00');</v>
      </c>
    </row>
    <row r="33" spans="1:8" ht="60" x14ac:dyDescent="0.25">
      <c r="A33" s="2" t="s">
        <v>32</v>
      </c>
      <c r="B33" s="21" t="str">
        <f>VLOOKUP(A33,policycommission!B:C,2,0)</f>
        <v>040000196630</v>
      </c>
      <c r="C33" s="3">
        <v>6824</v>
      </c>
      <c r="D33" s="14" t="s">
        <v>137</v>
      </c>
      <c r="E33" s="22" t="str">
        <f>VLOOKUP(A33,policycommission!B:D,3,0)</f>
        <v>09000422</v>
      </c>
      <c r="F33" s="23" t="str">
        <f t="shared" si="2"/>
        <v>insert into ins_premium_det (premium_rcv_code,assorted_code, rec_amount,premium_rcv_detail_code,remaining_amt, payrec, mode_code,paid_to_code,class_cd) values</v>
      </c>
      <c r="G33" s="24" t="str">
        <f t="shared" si="0"/>
        <v>('09Apr250030','040000196630','6824',(select max(to_number(i.premium_rcv_detail_code))+1 from ins_premium_det i),'6824','6824','03', '09000422','00');</v>
      </c>
      <c r="H33" s="25" t="str">
        <f t="shared" si="1"/>
        <v>insert into ins_premium_det (premium_rcv_code,assorted_code, rec_amount,premium_rcv_detail_code,remaining_amt, payrec, mode_code,paid_to_code,class_cd) values('09Apr250030','040000196630','6824',(select max(to_number(i.premium_rcv_detail_code))+1 from ins_premium_det i),'6824','6824','03', '09000422','00');</v>
      </c>
    </row>
    <row r="34" spans="1:8" ht="60" x14ac:dyDescent="0.25">
      <c r="A34" s="2" t="s">
        <v>33</v>
      </c>
      <c r="B34" s="21" t="str">
        <f>VLOOKUP(A34,policycommission!B:C,2,0)</f>
        <v>040000196645</v>
      </c>
      <c r="C34" s="3">
        <v>4848</v>
      </c>
      <c r="D34" s="14" t="s">
        <v>137</v>
      </c>
      <c r="E34" s="22" t="str">
        <f>VLOOKUP(A34,policycommission!B:D,3,0)</f>
        <v>09000436</v>
      </c>
      <c r="F34" s="23" t="str">
        <f t="shared" si="2"/>
        <v>insert into ins_premium_det (premium_rcv_code,assorted_code, rec_amount,premium_rcv_detail_code,remaining_amt, payrec, mode_code,paid_to_code,class_cd) values</v>
      </c>
      <c r="G34" s="24" t="str">
        <f t="shared" si="0"/>
        <v>('09Apr250030','040000196645','4848',(select max(to_number(i.premium_rcv_detail_code))+1 from ins_premium_det i),'4848','4848','03', '09000436','00');</v>
      </c>
      <c r="H34" s="25" t="str">
        <f t="shared" si="1"/>
        <v>insert into ins_premium_det (premium_rcv_code,assorted_code, rec_amount,premium_rcv_detail_code,remaining_amt, payrec, mode_code,paid_to_code,class_cd) values('09Apr250030','040000196645','4848',(select max(to_number(i.premium_rcv_detail_code))+1 from ins_premium_det i),'4848','4848','03', '09000436','00');</v>
      </c>
    </row>
    <row r="35" spans="1:8" ht="60" x14ac:dyDescent="0.25">
      <c r="A35" s="2" t="s">
        <v>34</v>
      </c>
      <c r="B35" s="21" t="str">
        <f>VLOOKUP(A35,policycommission!B:C,2,0)</f>
        <v>040000196646</v>
      </c>
      <c r="C35" s="3">
        <v>13591</v>
      </c>
      <c r="D35" s="14" t="s">
        <v>137</v>
      </c>
      <c r="E35" s="22" t="str">
        <f>VLOOKUP(A35,policycommission!B:D,3,0)</f>
        <v>09000928</v>
      </c>
      <c r="F35" s="23" t="str">
        <f t="shared" si="2"/>
        <v>insert into ins_premium_det (premium_rcv_code,assorted_code, rec_amount,premium_rcv_detail_code,remaining_amt, payrec, mode_code,paid_to_code,class_cd) values</v>
      </c>
      <c r="G35" s="24" t="str">
        <f t="shared" si="0"/>
        <v>('09Apr250030','040000196646','13591',(select max(to_number(i.premium_rcv_detail_code))+1 from ins_premium_det i),'13591','13591','03', '09000928','00');</v>
      </c>
      <c r="H35" s="25" t="str">
        <f t="shared" si="1"/>
        <v>insert into ins_premium_det (premium_rcv_code,assorted_code, rec_amount,premium_rcv_detail_code,remaining_amt, payrec, mode_code,paid_to_code,class_cd) values('09Apr250030','040000196646','13591',(select max(to_number(i.premium_rcv_detail_code))+1 from ins_premium_det i),'13591','13591','03', '09000928','00');</v>
      </c>
    </row>
    <row r="36" spans="1:8" ht="60" x14ac:dyDescent="0.25">
      <c r="A36" s="2" t="s">
        <v>35</v>
      </c>
      <c r="B36" s="21" t="str">
        <f>VLOOKUP(A36,policycommission!B:C,2,0)</f>
        <v>040000196749</v>
      </c>
      <c r="C36" s="3">
        <v>19103</v>
      </c>
      <c r="D36" s="14" t="s">
        <v>137</v>
      </c>
      <c r="E36" s="22" t="str">
        <f>VLOOKUP(A36,policycommission!B:D,3,0)</f>
        <v>09000858</v>
      </c>
      <c r="F36" s="23" t="str">
        <f t="shared" si="2"/>
        <v>insert into ins_premium_det (premium_rcv_code,assorted_code, rec_amount,premium_rcv_detail_code,remaining_amt, payrec, mode_code,paid_to_code,class_cd) values</v>
      </c>
      <c r="G36" s="24" t="str">
        <f t="shared" si="0"/>
        <v>('09Apr250030','040000196749','19103',(select max(to_number(i.premium_rcv_detail_code))+1 from ins_premium_det i),'19103','19103','03', '09000858','00');</v>
      </c>
      <c r="H36" s="25" t="str">
        <f t="shared" si="1"/>
        <v>insert into ins_premium_det (premium_rcv_code,assorted_code, rec_amount,premium_rcv_detail_code,remaining_amt, payrec, mode_code,paid_to_code,class_cd) values('09Apr250030','040000196749','19103',(select max(to_number(i.premium_rcv_detail_code))+1 from ins_premium_det i),'19103','19103','03', '09000858','00');</v>
      </c>
    </row>
    <row r="37" spans="1:8" ht="60" x14ac:dyDescent="0.25">
      <c r="A37" s="2" t="s">
        <v>36</v>
      </c>
      <c r="B37" s="21" t="str">
        <f>VLOOKUP(A37,policycommission!B:C,2,0)</f>
        <v>040000196807</v>
      </c>
      <c r="C37" s="3">
        <v>16012</v>
      </c>
      <c r="D37" s="14" t="s">
        <v>137</v>
      </c>
      <c r="E37" s="22" t="str">
        <f>VLOOKUP(A37,policycommission!B:D,3,0)</f>
        <v>09000463</v>
      </c>
      <c r="F37" s="23" t="str">
        <f t="shared" si="2"/>
        <v>insert into ins_premium_det (premium_rcv_code,assorted_code, rec_amount,premium_rcv_detail_code,remaining_amt, payrec, mode_code,paid_to_code,class_cd) values</v>
      </c>
      <c r="G37" s="24" t="str">
        <f t="shared" si="0"/>
        <v>('09Apr250030','040000196807','16012',(select max(to_number(i.premium_rcv_detail_code))+1 from ins_premium_det i),'16012','16012','03', '09000463','00');</v>
      </c>
      <c r="H37" s="25" t="str">
        <f t="shared" si="1"/>
        <v>insert into ins_premium_det (premium_rcv_code,assorted_code, rec_amount,premium_rcv_detail_code,remaining_amt, payrec, mode_code,paid_to_code,class_cd) values('09Apr250030','040000196807','16012',(select max(to_number(i.premium_rcv_detail_code))+1 from ins_premium_det i),'16012','16012','03', '09000463','00');</v>
      </c>
    </row>
    <row r="38" spans="1:8" ht="60" x14ac:dyDescent="0.25">
      <c r="A38" s="2" t="s">
        <v>37</v>
      </c>
      <c r="B38" s="21" t="str">
        <f>VLOOKUP(A38,policycommission!B:C,2,0)</f>
        <v>040000196817</v>
      </c>
      <c r="C38" s="3">
        <v>12124</v>
      </c>
      <c r="D38" s="14" t="s">
        <v>137</v>
      </c>
      <c r="E38" s="22" t="str">
        <f>VLOOKUP(A38,policycommission!B:D,3,0)</f>
        <v>09000954</v>
      </c>
      <c r="F38" s="23" t="str">
        <f t="shared" si="2"/>
        <v>insert into ins_premium_det (premium_rcv_code,assorted_code, rec_amount,premium_rcv_detail_code,remaining_amt, payrec, mode_code,paid_to_code,class_cd) values</v>
      </c>
      <c r="G38" s="24" t="str">
        <f t="shared" si="0"/>
        <v>('09Apr250030','040000196817','12124',(select max(to_number(i.premium_rcv_detail_code))+1 from ins_premium_det i),'12124','12124','03', '09000954','00');</v>
      </c>
      <c r="H38" s="25" t="str">
        <f t="shared" si="1"/>
        <v>insert into ins_premium_det (premium_rcv_code,assorted_code, rec_amount,premium_rcv_detail_code,remaining_amt, payrec, mode_code,paid_to_code,class_cd) values('09Apr250030','040000196817','12124',(select max(to_number(i.premium_rcv_detail_code))+1 from ins_premium_det i),'12124','12124','03', '09000954','00');</v>
      </c>
    </row>
    <row r="39" spans="1:8" ht="60" x14ac:dyDescent="0.25">
      <c r="A39" s="2" t="s">
        <v>38</v>
      </c>
      <c r="B39" s="21" t="str">
        <f>VLOOKUP(A39,policycommission!B:C,2,0)</f>
        <v>040000196826</v>
      </c>
      <c r="C39" s="3">
        <v>9450</v>
      </c>
      <c r="D39" s="14" t="s">
        <v>137</v>
      </c>
      <c r="E39" s="22" t="str">
        <f>VLOOKUP(A39,policycommission!B:D,3,0)</f>
        <v>09000496</v>
      </c>
      <c r="F39" s="23" t="str">
        <f t="shared" si="2"/>
        <v>insert into ins_premium_det (premium_rcv_code,assorted_code, rec_amount,premium_rcv_detail_code,remaining_amt, payrec, mode_code,paid_to_code,class_cd) values</v>
      </c>
      <c r="G39" s="24" t="str">
        <f t="shared" si="0"/>
        <v>('09Apr250030','040000196826','9450',(select max(to_number(i.premium_rcv_detail_code))+1 from ins_premium_det i),'9450','9450','03', '09000496','00');</v>
      </c>
      <c r="H39" s="25" t="str">
        <f t="shared" si="1"/>
        <v>insert into ins_premium_det (premium_rcv_code,assorted_code, rec_amount,premium_rcv_detail_code,remaining_amt, payrec, mode_code,paid_to_code,class_cd) values('09Apr250030','040000196826','9450',(select max(to_number(i.premium_rcv_detail_code))+1 from ins_premium_det i),'9450','9450','03', '09000496','00');</v>
      </c>
    </row>
    <row r="40" spans="1:8" ht="60" x14ac:dyDescent="0.25">
      <c r="A40" s="2" t="s">
        <v>39</v>
      </c>
      <c r="B40" s="21" t="str">
        <f>VLOOKUP(A40,policycommission!B:C,2,0)</f>
        <v>040000196827</v>
      </c>
      <c r="C40" s="3">
        <v>12180</v>
      </c>
      <c r="D40" s="14" t="s">
        <v>137</v>
      </c>
      <c r="E40" s="22" t="str">
        <f>VLOOKUP(A40,policycommission!B:D,3,0)</f>
        <v>09000496</v>
      </c>
      <c r="F40" s="23" t="str">
        <f t="shared" si="2"/>
        <v>insert into ins_premium_det (premium_rcv_code,assorted_code, rec_amount,premium_rcv_detail_code,remaining_amt, payrec, mode_code,paid_to_code,class_cd) values</v>
      </c>
      <c r="G40" s="24" t="str">
        <f t="shared" si="0"/>
        <v>('09Apr250030','040000196827','12180',(select max(to_number(i.premium_rcv_detail_code))+1 from ins_premium_det i),'12180','12180','03', '09000496','00');</v>
      </c>
      <c r="H40" s="25" t="str">
        <f t="shared" si="1"/>
        <v>insert into ins_premium_det (premium_rcv_code,assorted_code, rec_amount,premium_rcv_detail_code,remaining_amt, payrec, mode_code,paid_to_code,class_cd) values('09Apr250030','040000196827','12180',(select max(to_number(i.premium_rcv_detail_code))+1 from ins_premium_det i),'12180','12180','03', '09000496','00');</v>
      </c>
    </row>
    <row r="41" spans="1:8" ht="60" x14ac:dyDescent="0.25">
      <c r="A41" s="2" t="s">
        <v>40</v>
      </c>
      <c r="B41" s="21" t="str">
        <f>VLOOKUP(A41,policycommission!B:C,2,0)</f>
        <v>040000196960</v>
      </c>
      <c r="C41" s="3">
        <v>10900</v>
      </c>
      <c r="D41" s="14" t="s">
        <v>137</v>
      </c>
      <c r="E41" s="22" t="str">
        <f>VLOOKUP(A41,policycommission!B:D,3,0)</f>
        <v>09000524</v>
      </c>
      <c r="F41" s="23" t="str">
        <f t="shared" si="2"/>
        <v>insert into ins_premium_det (premium_rcv_code,assorted_code, rec_amount,premium_rcv_detail_code,remaining_amt, payrec, mode_code,paid_to_code,class_cd) values</v>
      </c>
      <c r="G41" s="24" t="str">
        <f t="shared" si="0"/>
        <v>('09Apr250030','040000196960','10900',(select max(to_number(i.premium_rcv_detail_code))+1 from ins_premium_det i),'10900','10900','03', '09000524','00');</v>
      </c>
      <c r="H41" s="25" t="str">
        <f t="shared" si="1"/>
        <v>insert into ins_premium_det (premium_rcv_code,assorted_code, rec_amount,premium_rcv_detail_code,remaining_amt, payrec, mode_code,paid_to_code,class_cd) values('09Apr250030','040000196960','10900',(select max(to_number(i.premium_rcv_detail_code))+1 from ins_premium_det i),'10900','10900','03', '09000524','00');</v>
      </c>
    </row>
    <row r="42" spans="1:8" ht="60" x14ac:dyDescent="0.25">
      <c r="A42" s="2" t="s">
        <v>41</v>
      </c>
      <c r="B42" s="21" t="str">
        <f>VLOOKUP(A42,policycommission!B:C,2,0)</f>
        <v>040000197069</v>
      </c>
      <c r="C42" s="3">
        <v>8015</v>
      </c>
      <c r="D42" s="14" t="s">
        <v>137</v>
      </c>
      <c r="E42" s="22" t="str">
        <f>VLOOKUP(A42,policycommission!B:D,3,0)</f>
        <v>09000496</v>
      </c>
      <c r="F42" s="23" t="str">
        <f t="shared" si="2"/>
        <v>insert into ins_premium_det (premium_rcv_code,assorted_code, rec_amount,premium_rcv_detail_code,remaining_amt, payrec, mode_code,paid_to_code,class_cd) values</v>
      </c>
      <c r="G42" s="24" t="str">
        <f t="shared" si="0"/>
        <v>('09Apr250030','040000197069','8015',(select max(to_number(i.premium_rcv_detail_code))+1 from ins_premium_det i),'8015','8015','03', '09000496','00');</v>
      </c>
      <c r="H42" s="25" t="str">
        <f t="shared" si="1"/>
        <v>insert into ins_premium_det (premium_rcv_code,assorted_code, rec_amount,premium_rcv_detail_code,remaining_amt, payrec, mode_code,paid_to_code,class_cd) values('09Apr250030','040000197069','8015',(select max(to_number(i.premium_rcv_detail_code))+1 from ins_premium_det i),'8015','8015','03', '09000496','00');</v>
      </c>
    </row>
    <row r="43" spans="1:8" ht="60" x14ac:dyDescent="0.25">
      <c r="A43" s="2" t="s">
        <v>42</v>
      </c>
      <c r="B43" s="21" t="str">
        <f>VLOOKUP(A43,policycommission!B:C,2,0)</f>
        <v>040000197070</v>
      </c>
      <c r="C43" s="3">
        <v>9725</v>
      </c>
      <c r="D43" s="14" t="s">
        <v>137</v>
      </c>
      <c r="E43" s="22" t="str">
        <f>VLOOKUP(A43,policycommission!B:D,3,0)</f>
        <v>09000496</v>
      </c>
      <c r="F43" s="23" t="str">
        <f t="shared" si="2"/>
        <v>insert into ins_premium_det (premium_rcv_code,assorted_code, rec_amount,premium_rcv_detail_code,remaining_amt, payrec, mode_code,paid_to_code,class_cd) values</v>
      </c>
      <c r="G43" s="24" t="str">
        <f t="shared" si="0"/>
        <v>('09Apr250030','040000197070','9725',(select max(to_number(i.premium_rcv_detail_code))+1 from ins_premium_det i),'9725','9725','03', '09000496','00');</v>
      </c>
      <c r="H43" s="25" t="str">
        <f t="shared" si="1"/>
        <v>insert into ins_premium_det (premium_rcv_code,assorted_code, rec_amount,premium_rcv_detail_code,remaining_amt, payrec, mode_code,paid_to_code,class_cd) values('09Apr250030','040000197070','9725',(select max(to_number(i.premium_rcv_detail_code))+1 from ins_premium_det i),'9725','9725','03', '09000496','00');</v>
      </c>
    </row>
    <row r="44" spans="1:8" ht="60" x14ac:dyDescent="0.25">
      <c r="A44" s="2" t="s">
        <v>43</v>
      </c>
      <c r="B44" s="21" t="str">
        <f>VLOOKUP(A44,policycommission!B:C,2,0)</f>
        <v>040000197147</v>
      </c>
      <c r="C44" s="3">
        <v>98771</v>
      </c>
      <c r="D44" s="14" t="s">
        <v>137</v>
      </c>
      <c r="E44" s="22" t="str">
        <f>VLOOKUP(A44,policycommission!B:D,3,0)</f>
        <v>09000836</v>
      </c>
      <c r="F44" s="23" t="str">
        <f t="shared" si="2"/>
        <v>insert into ins_premium_det (premium_rcv_code,assorted_code, rec_amount,premium_rcv_detail_code,remaining_amt, payrec, mode_code,paid_to_code,class_cd) values</v>
      </c>
      <c r="G44" s="24" t="str">
        <f t="shared" si="0"/>
        <v>('09Apr250030','040000197147','98771',(select max(to_number(i.premium_rcv_detail_code))+1 from ins_premium_det i),'98771','98771','03', '09000836','00');</v>
      </c>
      <c r="H44" s="25" t="str">
        <f t="shared" si="1"/>
        <v>insert into ins_premium_det (premium_rcv_code,assorted_code, rec_amount,premium_rcv_detail_code,remaining_amt, payrec, mode_code,paid_to_code,class_cd) values('09Apr250030','040000197147','98771',(select max(to_number(i.premium_rcv_detail_code))+1 from ins_premium_det i),'98771','98771','03', '09000836','00');</v>
      </c>
    </row>
    <row r="45" spans="1:8" ht="60" x14ac:dyDescent="0.25">
      <c r="A45" s="2" t="s">
        <v>44</v>
      </c>
      <c r="B45" s="21" t="str">
        <f>VLOOKUP(A45,policycommission!B:C,2,0)</f>
        <v>040000186754</v>
      </c>
      <c r="C45" s="3">
        <v>-270</v>
      </c>
      <c r="D45" s="14" t="s">
        <v>137</v>
      </c>
      <c r="E45" s="22" t="str">
        <f>VLOOKUP(A45,policycommission!B:D,3,0)</f>
        <v>09000518</v>
      </c>
      <c r="F45" s="23" t="str">
        <f t="shared" si="2"/>
        <v>insert into ins_premium_det (premium_rcv_code,assorted_code, rec_amount,premium_rcv_detail_code,remaining_amt, payrec, mode_code,paid_to_code,class_cd) values</v>
      </c>
      <c r="G45" s="24" t="str">
        <f t="shared" si="0"/>
        <v>('09Apr250030','040000186754','-270',(select max(to_number(i.premium_rcv_detail_code))+1 from ins_premium_det i),'-270','-270','03', '09000518','00');</v>
      </c>
      <c r="H45" s="25" t="str">
        <f t="shared" si="1"/>
        <v>insert into ins_premium_det (premium_rcv_code,assorted_code, rec_amount,premium_rcv_detail_code,remaining_amt, payrec, mode_code,paid_to_code,class_cd) values('09Apr250030','040000186754','-270',(select max(to_number(i.premium_rcv_detail_code))+1 from ins_premium_det i),'-270','-270','03', '09000518','00');</v>
      </c>
    </row>
  </sheetData>
  <conditionalFormatting sqref="A1">
    <cfRule type="duplicateValues" dxfId="9" priority="10"/>
  </conditionalFormatting>
  <conditionalFormatting sqref="A2:A45">
    <cfRule type="duplicateValues" dxfId="5" priority="2"/>
    <cfRule type="duplicateValues" dxfId="4" priority="3"/>
    <cfRule type="duplicateValues" dxfId="3" priority="4"/>
    <cfRule type="duplicateValues" dxfId="2" priority="5"/>
  </conditionalFormatting>
  <conditionalFormatting sqref="A2:A45">
    <cfRule type="duplicateValues" dxfId="1" priority="1"/>
  </conditionalFormatting>
  <conditionalFormatting sqref="A45">
    <cfRule type="duplicateValues" dxfId="0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1B3B-FA4B-4096-930C-3F1CEB470D48}">
  <dimension ref="A1:E44"/>
  <sheetViews>
    <sheetView workbookViewId="0">
      <selection activeCell="I13" sqref="I13"/>
    </sheetView>
  </sheetViews>
  <sheetFormatPr defaultRowHeight="15" x14ac:dyDescent="0.25"/>
  <cols>
    <col min="1" max="1" width="39.7109375" bestFit="1" customWidth="1"/>
  </cols>
  <sheetData>
    <row r="1" spans="1:5" x14ac:dyDescent="0.25">
      <c r="A1" s="2" t="s">
        <v>1</v>
      </c>
      <c r="B1" t="s">
        <v>49</v>
      </c>
      <c r="D1">
        <v>88176</v>
      </c>
      <c r="E1" t="str">
        <f>"ia.assorted_string like '%"&amp;D1&amp;B1&amp;"%' or"</f>
        <v>ia.assorted_string like '%88176-04-2024%' or</v>
      </c>
    </row>
    <row r="2" spans="1:5" x14ac:dyDescent="0.25">
      <c r="A2" s="2" t="s">
        <v>2</v>
      </c>
      <c r="B2" t="s">
        <v>50</v>
      </c>
      <c r="D2">
        <v>90140</v>
      </c>
      <c r="E2" t="str">
        <f t="shared" ref="E2:E44" si="0">"ia.assorted_string like '%"&amp;D2&amp;B2&amp;"%' or"</f>
        <v>ia.assorted_string like '%90140-06-2024%' or</v>
      </c>
    </row>
    <row r="3" spans="1:5" x14ac:dyDescent="0.25">
      <c r="A3" s="2" t="s">
        <v>3</v>
      </c>
      <c r="B3" t="s">
        <v>51</v>
      </c>
      <c r="D3">
        <v>93455</v>
      </c>
      <c r="E3" t="str">
        <f t="shared" si="0"/>
        <v>ia.assorted_string like '%93455-07-2024%' or</v>
      </c>
    </row>
    <row r="4" spans="1:5" x14ac:dyDescent="0.25">
      <c r="A4" s="2" t="s">
        <v>4</v>
      </c>
      <c r="B4" t="s">
        <v>52</v>
      </c>
      <c r="D4">
        <v>105642</v>
      </c>
      <c r="E4" t="str">
        <f t="shared" si="0"/>
        <v>ia.assorted_string like '%105642-01-2025%' or</v>
      </c>
    </row>
    <row r="5" spans="1:5" x14ac:dyDescent="0.25">
      <c r="A5" s="2" t="s">
        <v>5</v>
      </c>
      <c r="B5" t="s">
        <v>52</v>
      </c>
      <c r="D5">
        <v>105885</v>
      </c>
      <c r="E5" t="str">
        <f t="shared" si="0"/>
        <v>ia.assorted_string like '%105885-01-2025%' or</v>
      </c>
    </row>
    <row r="6" spans="1:5" x14ac:dyDescent="0.25">
      <c r="A6" s="2" t="s">
        <v>6</v>
      </c>
      <c r="B6" t="s">
        <v>52</v>
      </c>
      <c r="D6">
        <v>106469</v>
      </c>
      <c r="E6" t="str">
        <f t="shared" si="0"/>
        <v>ia.assorted_string like '%106469-01-2025%' or</v>
      </c>
    </row>
    <row r="7" spans="1:5" x14ac:dyDescent="0.25">
      <c r="A7" s="2" t="s">
        <v>7</v>
      </c>
      <c r="B7" t="s">
        <v>52</v>
      </c>
      <c r="D7">
        <v>106777</v>
      </c>
      <c r="E7" t="str">
        <f t="shared" si="0"/>
        <v>ia.assorted_string like '%106777-01-2025%' or</v>
      </c>
    </row>
    <row r="8" spans="1:5" x14ac:dyDescent="0.25">
      <c r="A8" s="2" t="s">
        <v>8</v>
      </c>
      <c r="B8" t="s">
        <v>52</v>
      </c>
      <c r="D8">
        <v>106814</v>
      </c>
      <c r="E8" t="str">
        <f t="shared" si="0"/>
        <v>ia.assorted_string like '%106814-01-2025%' or</v>
      </c>
    </row>
    <row r="9" spans="1:5" x14ac:dyDescent="0.25">
      <c r="A9" s="2" t="s">
        <v>9</v>
      </c>
      <c r="B9" t="s">
        <v>52</v>
      </c>
      <c r="D9">
        <v>106853</v>
      </c>
      <c r="E9" t="str">
        <f t="shared" si="0"/>
        <v>ia.assorted_string like '%106853-01-2025%' or</v>
      </c>
    </row>
    <row r="10" spans="1:5" x14ac:dyDescent="0.25">
      <c r="A10" s="2" t="s">
        <v>10</v>
      </c>
      <c r="B10" t="s">
        <v>52</v>
      </c>
      <c r="D10">
        <v>106863</v>
      </c>
      <c r="E10" t="str">
        <f t="shared" si="0"/>
        <v>ia.assorted_string like '%106863-01-2025%' or</v>
      </c>
    </row>
    <row r="11" spans="1:5" x14ac:dyDescent="0.25">
      <c r="A11" s="2" t="s">
        <v>11</v>
      </c>
      <c r="B11" t="s">
        <v>52</v>
      </c>
      <c r="D11">
        <v>106912</v>
      </c>
      <c r="E11" t="str">
        <f t="shared" si="0"/>
        <v>ia.assorted_string like '%106912-01-2025%' or</v>
      </c>
    </row>
    <row r="12" spans="1:5" x14ac:dyDescent="0.25">
      <c r="A12" s="2" t="s">
        <v>12</v>
      </c>
      <c r="B12" t="s">
        <v>53</v>
      </c>
      <c r="D12">
        <v>106993</v>
      </c>
      <c r="E12" t="str">
        <f t="shared" si="0"/>
        <v>ia.assorted_string like '%106993-02-2025%' or</v>
      </c>
    </row>
    <row r="13" spans="1:5" x14ac:dyDescent="0.25">
      <c r="A13" s="2" t="s">
        <v>13</v>
      </c>
      <c r="B13" t="s">
        <v>53</v>
      </c>
      <c r="D13">
        <v>107024</v>
      </c>
      <c r="E13" t="str">
        <f t="shared" si="0"/>
        <v>ia.assorted_string like '%107024-02-2025%' or</v>
      </c>
    </row>
    <row r="14" spans="1:5" x14ac:dyDescent="0.25">
      <c r="A14" s="2" t="s">
        <v>14</v>
      </c>
      <c r="B14" t="s">
        <v>53</v>
      </c>
      <c r="D14">
        <v>107058</v>
      </c>
      <c r="E14" t="str">
        <f t="shared" si="0"/>
        <v>ia.assorted_string like '%107058-02-2025%' or</v>
      </c>
    </row>
    <row r="15" spans="1:5" x14ac:dyDescent="0.25">
      <c r="A15" s="2" t="s">
        <v>15</v>
      </c>
      <c r="B15" t="s">
        <v>53</v>
      </c>
      <c r="D15">
        <v>107059</v>
      </c>
      <c r="E15" t="str">
        <f t="shared" si="0"/>
        <v>ia.assorted_string like '%107059-02-2025%' or</v>
      </c>
    </row>
    <row r="16" spans="1:5" x14ac:dyDescent="0.25">
      <c r="A16" s="2" t="s">
        <v>16</v>
      </c>
      <c r="B16" t="s">
        <v>53</v>
      </c>
      <c r="D16">
        <v>107111</v>
      </c>
      <c r="E16" t="str">
        <f t="shared" si="0"/>
        <v>ia.assorted_string like '%107111-02-2025%' or</v>
      </c>
    </row>
    <row r="17" spans="1:5" x14ac:dyDescent="0.25">
      <c r="A17" s="2" t="s">
        <v>17</v>
      </c>
      <c r="B17" t="s">
        <v>53</v>
      </c>
      <c r="D17">
        <v>107182</v>
      </c>
      <c r="E17" t="str">
        <f t="shared" si="0"/>
        <v>ia.assorted_string like '%107182-02-2025%' or</v>
      </c>
    </row>
    <row r="18" spans="1:5" x14ac:dyDescent="0.25">
      <c r="A18" s="2" t="s">
        <v>18</v>
      </c>
      <c r="B18" t="s">
        <v>53</v>
      </c>
      <c r="D18">
        <v>107252</v>
      </c>
      <c r="E18" t="str">
        <f t="shared" si="0"/>
        <v>ia.assorted_string like '%107252-02-2025%' or</v>
      </c>
    </row>
    <row r="19" spans="1:5" x14ac:dyDescent="0.25">
      <c r="A19" s="2" t="s">
        <v>19</v>
      </c>
      <c r="B19" t="s">
        <v>53</v>
      </c>
      <c r="D19">
        <v>107274</v>
      </c>
      <c r="E19" t="str">
        <f t="shared" si="0"/>
        <v>ia.assorted_string like '%107274-02-2025%' or</v>
      </c>
    </row>
    <row r="20" spans="1:5" x14ac:dyDescent="0.25">
      <c r="A20" s="2" t="s">
        <v>20</v>
      </c>
      <c r="B20" t="s">
        <v>53</v>
      </c>
      <c r="D20">
        <v>107275</v>
      </c>
      <c r="E20" t="str">
        <f t="shared" si="0"/>
        <v>ia.assorted_string like '%107275-02-2025%' or</v>
      </c>
    </row>
    <row r="21" spans="1:5" x14ac:dyDescent="0.25">
      <c r="A21" s="2" t="s">
        <v>21</v>
      </c>
      <c r="B21" t="s">
        <v>53</v>
      </c>
      <c r="D21">
        <v>107276</v>
      </c>
      <c r="E21" t="str">
        <f t="shared" si="0"/>
        <v>ia.assorted_string like '%107276-02-2025%' or</v>
      </c>
    </row>
    <row r="22" spans="1:5" x14ac:dyDescent="0.25">
      <c r="A22" s="2" t="s">
        <v>22</v>
      </c>
      <c r="B22" t="s">
        <v>53</v>
      </c>
      <c r="D22">
        <v>107279</v>
      </c>
      <c r="E22" t="str">
        <f t="shared" si="0"/>
        <v>ia.assorted_string like '%107279-02-2025%' or</v>
      </c>
    </row>
    <row r="23" spans="1:5" x14ac:dyDescent="0.25">
      <c r="A23" s="2" t="s">
        <v>23</v>
      </c>
      <c r="B23" t="s">
        <v>53</v>
      </c>
      <c r="D23">
        <v>107280</v>
      </c>
      <c r="E23" t="str">
        <f t="shared" si="0"/>
        <v>ia.assorted_string like '%107280-02-2025%' or</v>
      </c>
    </row>
    <row r="24" spans="1:5" x14ac:dyDescent="0.25">
      <c r="A24" s="2" t="s">
        <v>24</v>
      </c>
      <c r="B24" t="s">
        <v>53</v>
      </c>
      <c r="D24">
        <v>107304</v>
      </c>
      <c r="E24" t="str">
        <f t="shared" si="0"/>
        <v>ia.assorted_string like '%107304-02-2025%' or</v>
      </c>
    </row>
    <row r="25" spans="1:5" x14ac:dyDescent="0.25">
      <c r="A25" s="2" t="s">
        <v>25</v>
      </c>
      <c r="B25" t="s">
        <v>53</v>
      </c>
      <c r="D25">
        <v>107384</v>
      </c>
      <c r="E25" t="str">
        <f t="shared" si="0"/>
        <v>ia.assorted_string like '%107384-02-2025%' or</v>
      </c>
    </row>
    <row r="26" spans="1:5" x14ac:dyDescent="0.25">
      <c r="A26" s="2" t="s">
        <v>26</v>
      </c>
      <c r="B26" t="s">
        <v>53</v>
      </c>
      <c r="D26">
        <v>107422</v>
      </c>
      <c r="E26" t="str">
        <f t="shared" si="0"/>
        <v>ia.assorted_string like '%107422-02-2025%' or</v>
      </c>
    </row>
    <row r="27" spans="1:5" x14ac:dyDescent="0.25">
      <c r="A27" s="2" t="s">
        <v>27</v>
      </c>
      <c r="B27" t="s">
        <v>53</v>
      </c>
      <c r="D27">
        <v>107447</v>
      </c>
      <c r="E27" t="str">
        <f t="shared" si="0"/>
        <v>ia.assorted_string like '%107447-02-2025%' or</v>
      </c>
    </row>
    <row r="28" spans="1:5" x14ac:dyDescent="0.25">
      <c r="A28" s="2" t="s">
        <v>28</v>
      </c>
      <c r="B28" t="s">
        <v>53</v>
      </c>
      <c r="D28">
        <v>107508</v>
      </c>
      <c r="E28" t="str">
        <f t="shared" si="0"/>
        <v>ia.assorted_string like '%107508-02-2025%' or</v>
      </c>
    </row>
    <row r="29" spans="1:5" x14ac:dyDescent="0.25">
      <c r="A29" s="2" t="s">
        <v>29</v>
      </c>
      <c r="B29" t="s">
        <v>53</v>
      </c>
      <c r="D29">
        <v>107716</v>
      </c>
      <c r="E29" t="str">
        <f t="shared" si="0"/>
        <v>ia.assorted_string like '%107716-02-2025%' or</v>
      </c>
    </row>
    <row r="30" spans="1:5" x14ac:dyDescent="0.25">
      <c r="A30" s="2" t="s">
        <v>30</v>
      </c>
      <c r="B30" t="s">
        <v>53</v>
      </c>
      <c r="D30">
        <v>107723</v>
      </c>
      <c r="E30" t="str">
        <f t="shared" si="0"/>
        <v>ia.assorted_string like '%107723-02-2025%' or</v>
      </c>
    </row>
    <row r="31" spans="1:5" x14ac:dyDescent="0.25">
      <c r="A31" s="2" t="s">
        <v>31</v>
      </c>
      <c r="B31" t="s">
        <v>53</v>
      </c>
      <c r="D31">
        <v>107725</v>
      </c>
      <c r="E31" t="str">
        <f t="shared" si="0"/>
        <v>ia.assorted_string like '%107725-02-2025%' or</v>
      </c>
    </row>
    <row r="32" spans="1:5" x14ac:dyDescent="0.25">
      <c r="A32" s="2" t="s">
        <v>32</v>
      </c>
      <c r="B32" t="s">
        <v>54</v>
      </c>
      <c r="D32">
        <v>107817</v>
      </c>
      <c r="E32" t="str">
        <f t="shared" si="0"/>
        <v>ia.assorted_string like '%107817-03-2025%' or</v>
      </c>
    </row>
    <row r="33" spans="1:5" x14ac:dyDescent="0.25">
      <c r="A33" s="2" t="s">
        <v>33</v>
      </c>
      <c r="B33" t="s">
        <v>54</v>
      </c>
      <c r="D33">
        <v>107826</v>
      </c>
      <c r="E33" t="str">
        <f t="shared" si="0"/>
        <v>ia.assorted_string like '%107826-03-2025%' or</v>
      </c>
    </row>
    <row r="34" spans="1:5" x14ac:dyDescent="0.25">
      <c r="A34" s="2" t="s">
        <v>34</v>
      </c>
      <c r="B34" t="s">
        <v>54</v>
      </c>
      <c r="D34">
        <v>107827</v>
      </c>
      <c r="E34" t="str">
        <f t="shared" si="0"/>
        <v>ia.assorted_string like '%107827-03-2025%' or</v>
      </c>
    </row>
    <row r="35" spans="1:5" x14ac:dyDescent="0.25">
      <c r="A35" s="2" t="s">
        <v>35</v>
      </c>
      <c r="B35" t="s">
        <v>54</v>
      </c>
      <c r="D35">
        <v>107902</v>
      </c>
      <c r="E35" t="str">
        <f t="shared" si="0"/>
        <v>ia.assorted_string like '%107902-03-2025%' or</v>
      </c>
    </row>
    <row r="36" spans="1:5" x14ac:dyDescent="0.25">
      <c r="A36" s="2" t="s">
        <v>36</v>
      </c>
      <c r="B36" t="s">
        <v>54</v>
      </c>
      <c r="D36">
        <v>107946</v>
      </c>
      <c r="E36" t="str">
        <f t="shared" si="0"/>
        <v>ia.assorted_string like '%107946-03-2025%' or</v>
      </c>
    </row>
    <row r="37" spans="1:5" x14ac:dyDescent="0.25">
      <c r="A37" s="2" t="s">
        <v>37</v>
      </c>
      <c r="B37" t="s">
        <v>54</v>
      </c>
      <c r="D37">
        <v>107950</v>
      </c>
      <c r="E37" t="str">
        <f t="shared" si="0"/>
        <v>ia.assorted_string like '%107950-03-2025%' or</v>
      </c>
    </row>
    <row r="38" spans="1:5" x14ac:dyDescent="0.25">
      <c r="A38" s="2" t="s">
        <v>38</v>
      </c>
      <c r="B38" t="s">
        <v>54</v>
      </c>
      <c r="D38">
        <v>107957</v>
      </c>
      <c r="E38" t="str">
        <f t="shared" si="0"/>
        <v>ia.assorted_string like '%107957-03-2025%' or</v>
      </c>
    </row>
    <row r="39" spans="1:5" x14ac:dyDescent="0.25">
      <c r="A39" s="2" t="s">
        <v>39</v>
      </c>
      <c r="B39" t="s">
        <v>54</v>
      </c>
      <c r="D39">
        <v>107958</v>
      </c>
      <c r="E39" t="str">
        <f t="shared" si="0"/>
        <v>ia.assorted_string like '%107958-03-2025%' or</v>
      </c>
    </row>
    <row r="40" spans="1:5" x14ac:dyDescent="0.25">
      <c r="A40" s="2" t="s">
        <v>40</v>
      </c>
      <c r="B40" t="s">
        <v>54</v>
      </c>
      <c r="D40">
        <v>108047</v>
      </c>
      <c r="E40" t="str">
        <f t="shared" si="0"/>
        <v>ia.assorted_string like '%108047-03-2025%' or</v>
      </c>
    </row>
    <row r="41" spans="1:5" x14ac:dyDescent="0.25">
      <c r="A41" s="2" t="s">
        <v>41</v>
      </c>
      <c r="B41" t="s">
        <v>54</v>
      </c>
      <c r="D41">
        <v>108117</v>
      </c>
      <c r="E41" t="str">
        <f t="shared" si="0"/>
        <v>ia.assorted_string like '%108117-03-2025%' or</v>
      </c>
    </row>
    <row r="42" spans="1:5" x14ac:dyDescent="0.25">
      <c r="A42" s="2" t="s">
        <v>42</v>
      </c>
      <c r="B42" t="s">
        <v>54</v>
      </c>
      <c r="D42">
        <v>108118</v>
      </c>
      <c r="E42" t="str">
        <f t="shared" si="0"/>
        <v>ia.assorted_string like '%108118-03-2025%' or</v>
      </c>
    </row>
    <row r="43" spans="1:5" x14ac:dyDescent="0.25">
      <c r="A43" s="2" t="s">
        <v>43</v>
      </c>
      <c r="B43" t="s">
        <v>54</v>
      </c>
      <c r="D43">
        <v>108173</v>
      </c>
      <c r="E43" t="str">
        <f t="shared" si="0"/>
        <v>ia.assorted_string like '%108173-03-2025%' or</v>
      </c>
    </row>
    <row r="44" spans="1:5" x14ac:dyDescent="0.25">
      <c r="A44" s="2" t="s">
        <v>44</v>
      </c>
      <c r="B44" t="s">
        <v>55</v>
      </c>
      <c r="D44">
        <v>99708</v>
      </c>
      <c r="E44" t="str">
        <f t="shared" si="0"/>
        <v>ia.assorted_string like '%99708-10-2024%' or</v>
      </c>
    </row>
  </sheetData>
  <conditionalFormatting sqref="A1:A44">
    <cfRule type="duplicateValues" dxfId="15" priority="8"/>
    <cfRule type="duplicateValues" dxfId="14" priority="9"/>
    <cfRule type="duplicateValues" dxfId="13" priority="10"/>
    <cfRule type="duplicateValues" dxfId="12" priority="11"/>
  </conditionalFormatting>
  <conditionalFormatting sqref="A1:A44">
    <cfRule type="duplicateValues" dxfId="11" priority="7"/>
  </conditionalFormatting>
  <conditionalFormatting sqref="A44">
    <cfRule type="duplicateValues" dxfId="10" priority="1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041F-496E-4666-A090-EB6439CB937E}">
  <dimension ref="A1:D46"/>
  <sheetViews>
    <sheetView workbookViewId="0">
      <selection activeCell="G8" sqref="G8"/>
    </sheetView>
  </sheetViews>
  <sheetFormatPr defaultColWidth="7.85546875" defaultRowHeight="15" x14ac:dyDescent="0.25"/>
  <cols>
    <col min="1" max="1" width="2.42578125" customWidth="1"/>
    <col min="2" max="2" width="33.28515625" customWidth="1"/>
    <col min="3" max="3" width="14" customWidth="1"/>
    <col min="4" max="4" width="12.7109375" customWidth="1"/>
  </cols>
  <sheetData>
    <row r="1" spans="1:4" s="11" customFormat="1" ht="12" x14ac:dyDescent="0.2">
      <c r="A1" s="11" t="s">
        <v>56</v>
      </c>
      <c r="B1" s="11" t="s">
        <v>57</v>
      </c>
      <c r="C1" s="11" t="s">
        <v>58</v>
      </c>
      <c r="D1" s="11" t="s">
        <v>59</v>
      </c>
    </row>
    <row r="2" spans="1:4" x14ac:dyDescent="0.25">
      <c r="A2">
        <v>1</v>
      </c>
      <c r="B2" t="s">
        <v>1</v>
      </c>
      <c r="C2" t="s">
        <v>60</v>
      </c>
      <c r="D2" t="s">
        <v>61</v>
      </c>
    </row>
    <row r="3" spans="1:4" x14ac:dyDescent="0.25">
      <c r="A3">
        <v>2</v>
      </c>
      <c r="B3" t="s">
        <v>62</v>
      </c>
      <c r="C3" t="s">
        <v>63</v>
      </c>
      <c r="D3" t="s">
        <v>64</v>
      </c>
    </row>
    <row r="4" spans="1:4" x14ac:dyDescent="0.25">
      <c r="A4">
        <v>3</v>
      </c>
      <c r="B4" t="s">
        <v>2</v>
      </c>
      <c r="C4" t="s">
        <v>65</v>
      </c>
      <c r="D4" t="s">
        <v>66</v>
      </c>
    </row>
    <row r="5" spans="1:4" x14ac:dyDescent="0.25">
      <c r="A5">
        <v>4</v>
      </c>
      <c r="B5" t="s">
        <v>3</v>
      </c>
      <c r="C5" t="s">
        <v>67</v>
      </c>
      <c r="D5" t="s">
        <v>68</v>
      </c>
    </row>
    <row r="6" spans="1:4" x14ac:dyDescent="0.25">
      <c r="A6">
        <v>5</v>
      </c>
      <c r="B6" t="s">
        <v>44</v>
      </c>
      <c r="C6" t="s">
        <v>69</v>
      </c>
      <c r="D6" t="s">
        <v>70</v>
      </c>
    </row>
    <row r="7" spans="1:4" x14ac:dyDescent="0.25">
      <c r="A7">
        <v>6</v>
      </c>
      <c r="B7" t="s">
        <v>14</v>
      </c>
      <c r="C7" t="s">
        <v>71</v>
      </c>
      <c r="D7" t="s">
        <v>72</v>
      </c>
    </row>
    <row r="8" spans="1:4" x14ac:dyDescent="0.25">
      <c r="A8">
        <v>7</v>
      </c>
      <c r="B8" t="s">
        <v>15</v>
      </c>
      <c r="C8" t="s">
        <v>73</v>
      </c>
      <c r="D8" t="s">
        <v>72</v>
      </c>
    </row>
    <row r="9" spans="1:4" x14ac:dyDescent="0.25">
      <c r="A9">
        <v>8</v>
      </c>
      <c r="B9" t="s">
        <v>19</v>
      </c>
      <c r="C9" t="s">
        <v>74</v>
      </c>
      <c r="D9" t="s">
        <v>75</v>
      </c>
    </row>
    <row r="10" spans="1:4" x14ac:dyDescent="0.25">
      <c r="A10">
        <v>9</v>
      </c>
      <c r="B10" t="s">
        <v>20</v>
      </c>
      <c r="C10" t="s">
        <v>76</v>
      </c>
      <c r="D10" t="s">
        <v>75</v>
      </c>
    </row>
    <row r="11" spans="1:4" x14ac:dyDescent="0.25">
      <c r="A11">
        <v>10</v>
      </c>
      <c r="B11" t="s">
        <v>6</v>
      </c>
      <c r="C11" t="s">
        <v>77</v>
      </c>
      <c r="D11" t="s">
        <v>78</v>
      </c>
    </row>
    <row r="12" spans="1:4" x14ac:dyDescent="0.25">
      <c r="A12">
        <v>11</v>
      </c>
      <c r="B12" t="s">
        <v>16</v>
      </c>
      <c r="C12" t="s">
        <v>79</v>
      </c>
      <c r="D12" t="s">
        <v>61</v>
      </c>
    </row>
    <row r="13" spans="1:4" x14ac:dyDescent="0.25">
      <c r="A13">
        <v>12</v>
      </c>
      <c r="B13" t="s">
        <v>7</v>
      </c>
      <c r="C13" t="s">
        <v>80</v>
      </c>
      <c r="D13" t="s">
        <v>81</v>
      </c>
    </row>
    <row r="14" spans="1:4" x14ac:dyDescent="0.25">
      <c r="A14">
        <v>13</v>
      </c>
      <c r="B14" t="s">
        <v>17</v>
      </c>
      <c r="C14" t="s">
        <v>82</v>
      </c>
      <c r="D14" t="s">
        <v>72</v>
      </c>
    </row>
    <row r="15" spans="1:4" x14ac:dyDescent="0.25">
      <c r="A15">
        <v>14</v>
      </c>
      <c r="B15" t="s">
        <v>5</v>
      </c>
      <c r="C15" t="s">
        <v>83</v>
      </c>
      <c r="D15" t="s">
        <v>84</v>
      </c>
    </row>
    <row r="16" spans="1:4" x14ac:dyDescent="0.25">
      <c r="A16">
        <v>15</v>
      </c>
      <c r="B16" t="s">
        <v>12</v>
      </c>
      <c r="C16" t="s">
        <v>85</v>
      </c>
      <c r="D16" t="s">
        <v>86</v>
      </c>
    </row>
    <row r="17" spans="1:4" x14ac:dyDescent="0.25">
      <c r="A17">
        <v>16</v>
      </c>
      <c r="B17" t="s">
        <v>30</v>
      </c>
      <c r="C17" t="s">
        <v>87</v>
      </c>
      <c r="D17" t="s">
        <v>88</v>
      </c>
    </row>
    <row r="18" spans="1:4" x14ac:dyDescent="0.25">
      <c r="A18">
        <v>17</v>
      </c>
      <c r="B18" t="s">
        <v>11</v>
      </c>
      <c r="C18" t="s">
        <v>89</v>
      </c>
      <c r="D18" t="s">
        <v>90</v>
      </c>
    </row>
    <row r="19" spans="1:4" x14ac:dyDescent="0.25">
      <c r="A19">
        <v>18</v>
      </c>
      <c r="B19" t="s">
        <v>21</v>
      </c>
      <c r="C19" t="s">
        <v>91</v>
      </c>
      <c r="D19" t="s">
        <v>75</v>
      </c>
    </row>
    <row r="20" spans="1:4" x14ac:dyDescent="0.25">
      <c r="A20">
        <v>19</v>
      </c>
      <c r="B20" t="s">
        <v>37</v>
      </c>
      <c r="C20" t="s">
        <v>92</v>
      </c>
      <c r="D20" t="s">
        <v>93</v>
      </c>
    </row>
    <row r="21" spans="1:4" x14ac:dyDescent="0.25">
      <c r="A21">
        <v>20</v>
      </c>
      <c r="B21" t="s">
        <v>38</v>
      </c>
      <c r="C21" t="s">
        <v>94</v>
      </c>
      <c r="D21" t="s">
        <v>95</v>
      </c>
    </row>
    <row r="22" spans="1:4" x14ac:dyDescent="0.25">
      <c r="A22">
        <v>21</v>
      </c>
      <c r="B22" t="s">
        <v>41</v>
      </c>
      <c r="C22" t="s">
        <v>96</v>
      </c>
      <c r="D22" t="s">
        <v>95</v>
      </c>
    </row>
    <row r="23" spans="1:4" x14ac:dyDescent="0.25">
      <c r="A23">
        <v>22</v>
      </c>
      <c r="B23" t="s">
        <v>42</v>
      </c>
      <c r="C23" t="s">
        <v>97</v>
      </c>
      <c r="D23" t="s">
        <v>95</v>
      </c>
    </row>
    <row r="24" spans="1:4" x14ac:dyDescent="0.25">
      <c r="A24">
        <v>23</v>
      </c>
      <c r="B24" t="s">
        <v>34</v>
      </c>
      <c r="C24" t="s">
        <v>98</v>
      </c>
      <c r="D24" t="s">
        <v>99</v>
      </c>
    </row>
    <row r="25" spans="1:4" x14ac:dyDescent="0.25">
      <c r="A25">
        <v>24</v>
      </c>
      <c r="B25" t="s">
        <v>27</v>
      </c>
      <c r="C25" t="s">
        <v>100</v>
      </c>
      <c r="D25" t="s">
        <v>101</v>
      </c>
    </row>
    <row r="26" spans="1:4" x14ac:dyDescent="0.25">
      <c r="A26">
        <v>25</v>
      </c>
      <c r="B26" t="s">
        <v>43</v>
      </c>
      <c r="C26" t="s">
        <v>102</v>
      </c>
      <c r="D26" t="s">
        <v>46</v>
      </c>
    </row>
    <row r="27" spans="1:4" x14ac:dyDescent="0.25">
      <c r="A27">
        <v>26</v>
      </c>
      <c r="B27" t="s">
        <v>22</v>
      </c>
      <c r="C27" t="s">
        <v>103</v>
      </c>
      <c r="D27" t="s">
        <v>75</v>
      </c>
    </row>
    <row r="28" spans="1:4" x14ac:dyDescent="0.25">
      <c r="A28">
        <v>27</v>
      </c>
      <c r="B28" t="s">
        <v>26</v>
      </c>
      <c r="C28" t="s">
        <v>104</v>
      </c>
      <c r="D28" t="s">
        <v>105</v>
      </c>
    </row>
    <row r="29" spans="1:4" x14ac:dyDescent="0.25">
      <c r="A29">
        <v>28</v>
      </c>
      <c r="B29" t="s">
        <v>28</v>
      </c>
      <c r="C29" t="s">
        <v>106</v>
      </c>
      <c r="D29" t="s">
        <v>107</v>
      </c>
    </row>
    <row r="30" spans="1:4" x14ac:dyDescent="0.25">
      <c r="A30">
        <v>29</v>
      </c>
      <c r="B30" t="s">
        <v>40</v>
      </c>
      <c r="C30" t="s">
        <v>108</v>
      </c>
      <c r="D30" t="s">
        <v>109</v>
      </c>
    </row>
    <row r="31" spans="1:4" x14ac:dyDescent="0.25">
      <c r="A31">
        <v>30</v>
      </c>
      <c r="B31" t="s">
        <v>29</v>
      </c>
      <c r="C31" t="s">
        <v>110</v>
      </c>
      <c r="D31" t="s">
        <v>111</v>
      </c>
    </row>
    <row r="32" spans="1:4" x14ac:dyDescent="0.25">
      <c r="A32">
        <v>31</v>
      </c>
      <c r="B32" t="s">
        <v>31</v>
      </c>
      <c r="C32" t="s">
        <v>112</v>
      </c>
      <c r="D32" t="s">
        <v>78</v>
      </c>
    </row>
    <row r="33" spans="1:4" x14ac:dyDescent="0.25">
      <c r="A33">
        <v>32</v>
      </c>
      <c r="B33" t="s">
        <v>8</v>
      </c>
      <c r="C33" t="s">
        <v>113</v>
      </c>
      <c r="D33" t="s">
        <v>114</v>
      </c>
    </row>
    <row r="34" spans="1:4" x14ac:dyDescent="0.25">
      <c r="A34">
        <v>33</v>
      </c>
      <c r="B34" t="s">
        <v>35</v>
      </c>
      <c r="C34" t="s">
        <v>115</v>
      </c>
      <c r="D34" t="s">
        <v>116</v>
      </c>
    </row>
    <row r="35" spans="1:4" x14ac:dyDescent="0.25">
      <c r="A35">
        <v>34</v>
      </c>
      <c r="B35" t="s">
        <v>9</v>
      </c>
      <c r="C35" t="s">
        <v>117</v>
      </c>
      <c r="D35" t="s">
        <v>118</v>
      </c>
    </row>
    <row r="36" spans="1:4" x14ac:dyDescent="0.25">
      <c r="A36">
        <v>35</v>
      </c>
      <c r="B36" t="s">
        <v>25</v>
      </c>
      <c r="C36" t="s">
        <v>119</v>
      </c>
      <c r="D36" t="s">
        <v>68</v>
      </c>
    </row>
    <row r="37" spans="1:4" x14ac:dyDescent="0.25">
      <c r="A37">
        <v>36</v>
      </c>
      <c r="B37" t="s">
        <v>18</v>
      </c>
      <c r="C37" t="s">
        <v>120</v>
      </c>
      <c r="D37" t="s">
        <v>121</v>
      </c>
    </row>
    <row r="38" spans="1:4" x14ac:dyDescent="0.25">
      <c r="A38">
        <v>37</v>
      </c>
      <c r="B38" t="s">
        <v>39</v>
      </c>
      <c r="C38" t="s">
        <v>122</v>
      </c>
      <c r="D38" t="s">
        <v>95</v>
      </c>
    </row>
    <row r="39" spans="1:4" x14ac:dyDescent="0.25">
      <c r="A39">
        <v>38</v>
      </c>
      <c r="B39" t="s">
        <v>13</v>
      </c>
      <c r="C39" t="s">
        <v>123</v>
      </c>
      <c r="D39" t="s">
        <v>124</v>
      </c>
    </row>
    <row r="40" spans="1:4" x14ac:dyDescent="0.25">
      <c r="A40">
        <v>39</v>
      </c>
      <c r="B40" t="s">
        <v>4</v>
      </c>
      <c r="C40" t="s">
        <v>125</v>
      </c>
      <c r="D40" t="s">
        <v>78</v>
      </c>
    </row>
    <row r="41" spans="1:4" x14ac:dyDescent="0.25">
      <c r="A41">
        <v>40</v>
      </c>
      <c r="B41" t="s">
        <v>10</v>
      </c>
      <c r="C41" t="s">
        <v>126</v>
      </c>
      <c r="D41" t="s">
        <v>88</v>
      </c>
    </row>
    <row r="42" spans="1:4" x14ac:dyDescent="0.25">
      <c r="A42">
        <v>41</v>
      </c>
      <c r="B42" t="s">
        <v>32</v>
      </c>
      <c r="C42" t="s">
        <v>127</v>
      </c>
      <c r="D42" t="s">
        <v>128</v>
      </c>
    </row>
    <row r="43" spans="1:4" x14ac:dyDescent="0.25">
      <c r="A43">
        <v>42</v>
      </c>
      <c r="B43" t="s">
        <v>36</v>
      </c>
      <c r="C43" t="s">
        <v>129</v>
      </c>
      <c r="D43" t="s">
        <v>72</v>
      </c>
    </row>
    <row r="44" spans="1:4" x14ac:dyDescent="0.25">
      <c r="A44">
        <v>43</v>
      </c>
      <c r="B44" t="s">
        <v>33</v>
      </c>
      <c r="C44" t="s">
        <v>130</v>
      </c>
      <c r="D44" t="s">
        <v>131</v>
      </c>
    </row>
    <row r="45" spans="1:4" x14ac:dyDescent="0.25">
      <c r="A45">
        <v>44</v>
      </c>
      <c r="B45" t="s">
        <v>23</v>
      </c>
      <c r="C45" t="s">
        <v>132</v>
      </c>
      <c r="D45" t="s">
        <v>101</v>
      </c>
    </row>
    <row r="46" spans="1:4" x14ac:dyDescent="0.25">
      <c r="A46">
        <v>45</v>
      </c>
      <c r="B46" t="s">
        <v>24</v>
      </c>
      <c r="C46" t="s">
        <v>133</v>
      </c>
      <c r="D4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working</vt:lpstr>
      <vt:lpstr>Sheet3</vt:lpstr>
      <vt:lpstr>policy</vt:lpstr>
      <vt:lpstr>working-commission</vt:lpstr>
      <vt:lpstr>Sheet6</vt:lpstr>
      <vt:lpstr>policycommission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Bhatti</dc:creator>
  <cp:lastModifiedBy>IT User Software</cp:lastModifiedBy>
  <dcterms:created xsi:type="dcterms:W3CDTF">2025-04-10T04:26:03Z</dcterms:created>
  <dcterms:modified xsi:type="dcterms:W3CDTF">2025-04-10T09:18:18Z</dcterms:modified>
</cp:coreProperties>
</file>